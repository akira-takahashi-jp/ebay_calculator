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計算式" sheetId="1" r:id="rId5"/>
    <sheet state="visible" name="カテゴリー手数料一覧" sheetId="2" r:id="rId6"/>
    <sheet state="visible" name="送料" sheetId="3" r:id="rId7"/>
    <sheet state="visible" name="エコノミー送料" sheetId="4" r:id="rId8"/>
    <sheet state="visible" name="FedEx 送料" sheetId="5" r:id="rId9"/>
    <sheet state="visible" name="DHL　送料" sheetId="6" r:id="rId10"/>
    <sheet state="visible" name="計算詳細" sheetId="7" r:id="rId11"/>
    <sheet state="visible" name="設定" sheetId="8" r:id="rId12"/>
    <sheet state="visible" name="使い方" sheetId="9" r:id="rId13"/>
  </sheets>
  <definedNames/>
  <calcPr/>
</workbook>
</file>

<file path=xl/sharedStrings.xml><?xml version="1.0" encoding="utf-8"?>
<sst xmlns="http://schemas.openxmlformats.org/spreadsheetml/2006/main" count="6091" uniqueCount="5788">
  <si>
    <t>カテゴリNoカウント</t>
  </si>
  <si>
    <t>国際エアパケットEU</t>
  </si>
  <si>
    <t>割増金</t>
  </si>
  <si>
    <t>国際エアパケットUS</t>
  </si>
  <si>
    <t>書状書留</t>
  </si>
  <si>
    <t>eBay販売価格（USD）</t>
  </si>
  <si>
    <t>エンベロープ</t>
  </si>
  <si>
    <t>仕入価格（税込・円）</t>
  </si>
  <si>
    <t>パック(pak)</t>
  </si>
  <si>
    <t>実重量（g）</t>
  </si>
  <si>
    <t>カテゴリNo</t>
  </si>
  <si>
    <t>US Economy</t>
  </si>
  <si>
    <t>プライオリティ(IP)</t>
  </si>
  <si>
    <t>EU Economy</t>
  </si>
  <si>
    <t>基本送料</t>
  </si>
  <si>
    <t>69528</t>
  </si>
  <si>
    <t>US地域</t>
  </si>
  <si>
    <t>EMS</t>
  </si>
  <si>
    <t>本土48州</t>
  </si>
  <si>
    <t>長さ（cm）</t>
  </si>
  <si>
    <t>幅（cm）</t>
  </si>
  <si>
    <t>高さ（cm）</t>
  </si>
  <si>
    <t>適用手数料</t>
  </si>
  <si>
    <t>エコノミー(IE)</t>
  </si>
  <si>
    <t>購入者送料（USD）</t>
  </si>
  <si>
    <t>USD/JPY</t>
  </si>
  <si>
    <t>燃油サーチャージ</t>
  </si>
  <si>
    <t>体積重量A（g）</t>
  </si>
  <si>
    <t>体積重量B（g）</t>
  </si>
  <si>
    <t>EU配送先</t>
  </si>
  <si>
    <t>その他送料加算</t>
  </si>
  <si>
    <t>EU基本送料</t>
  </si>
  <si>
    <t>印刷物書留</t>
  </si>
  <si>
    <t>配送方法</t>
  </si>
  <si>
    <t>Zonos</t>
  </si>
  <si>
    <t>Zonos(関税対象外)</t>
  </si>
  <si>
    <t>Zonos(EU)</t>
  </si>
  <si>
    <t>利益</t>
  </si>
  <si>
    <t>送料合計</t>
  </si>
  <si>
    <t>EU全費用</t>
  </si>
  <si>
    <t>還付込み</t>
  </si>
  <si>
    <t>推定関税</t>
  </si>
  <si>
    <t>US全費用</t>
  </si>
  <si>
    <t>ベース手数料</t>
  </si>
  <si>
    <t>送料（円）</t>
  </si>
  <si>
    <t>割引①(＄)</t>
  </si>
  <si>
    <t>割引①</t>
  </si>
  <si>
    <t>処理・通関費</t>
  </si>
  <si>
    <t>割引②(＄)</t>
  </si>
  <si>
    <t>割引②</t>
  </si>
  <si>
    <t>95493</t>
  </si>
  <si>
    <t>262054</t>
  </si>
  <si>
    <t>41407</t>
  </si>
  <si>
    <t>US基本送料</t>
  </si>
  <si>
    <t>1244</t>
  </si>
  <si>
    <t>15709</t>
  </si>
  <si>
    <t>34942</t>
  </si>
  <si>
    <t>149944</t>
  </si>
  <si>
    <t>169367</t>
  </si>
  <si>
    <t>175575</t>
  </si>
  <si>
    <t>21035</t>
  </si>
  <si>
    <t>182139</t>
  </si>
  <si>
    <t>179460</t>
  </si>
  <si>
    <t>259113</t>
  </si>
  <si>
    <t>10324</t>
  </si>
  <si>
    <t>177125</t>
  </si>
  <si>
    <t>169291</t>
  </si>
  <si>
    <t>261986</t>
  </si>
  <si>
    <t>120869</t>
  </si>
  <si>
    <t>11725</t>
  </si>
  <si>
    <t>162925</t>
  </si>
  <si>
    <t>97122</t>
  </si>
  <si>
    <t>262051</t>
  </si>
  <si>
    <t>22669</t>
  </si>
  <si>
    <t>179</t>
  </si>
  <si>
    <t>95672</t>
  </si>
  <si>
    <t>177656</t>
  </si>
  <si>
    <t>41109</t>
  </si>
  <si>
    <t>96370</t>
  </si>
  <si>
    <t>263048</t>
  </si>
  <si>
    <t>262</t>
  </si>
  <si>
    <t>182140</t>
  </si>
  <si>
    <t>179416</t>
  </si>
  <si>
    <t>259114</t>
  </si>
  <si>
    <t>260331</t>
  </si>
  <si>
    <t>177076</t>
  </si>
  <si>
    <t>262021</t>
  </si>
  <si>
    <t>29223</t>
  </si>
  <si>
    <t>119018</t>
  </si>
  <si>
    <t>162926</t>
  </si>
  <si>
    <t>73120</t>
  </si>
  <si>
    <t>262056</t>
  </si>
  <si>
    <t>41415</t>
  </si>
  <si>
    <t>111418</t>
  </si>
  <si>
    <t>3361</t>
  </si>
  <si>
    <t>162224</t>
  </si>
  <si>
    <t>38642</t>
  </si>
  <si>
    <t>175573</t>
  </si>
  <si>
    <t>263</t>
  </si>
  <si>
    <t>182142</t>
  </si>
  <si>
    <t>179471</t>
  </si>
  <si>
    <t>259115</t>
  </si>
  <si>
    <t>260332</t>
  </si>
  <si>
    <t>177078</t>
  </si>
  <si>
    <t>261975</t>
  </si>
  <si>
    <t>45113</t>
  </si>
  <si>
    <t>151236</t>
  </si>
  <si>
    <t>162927</t>
  </si>
  <si>
    <t>183952</t>
  </si>
  <si>
    <t>262052</t>
  </si>
  <si>
    <t>47067</t>
  </si>
  <si>
    <t>131511</t>
  </si>
  <si>
    <t>177657</t>
  </si>
  <si>
    <t>3430</t>
  </si>
  <si>
    <t>138857</t>
  </si>
  <si>
    <t>171111</t>
  </si>
  <si>
    <t>264</t>
  </si>
  <si>
    <t>182146</t>
  </si>
  <si>
    <t>43987</t>
  </si>
  <si>
    <t>259118</t>
  </si>
  <si>
    <t>発送費用合計</t>
  </si>
  <si>
    <t>260330</t>
  </si>
  <si>
    <t>177084</t>
  </si>
  <si>
    <t>261979</t>
  </si>
  <si>
    <t>381</t>
  </si>
  <si>
    <t>66694</t>
  </si>
  <si>
    <t>37909</t>
  </si>
  <si>
    <t>259042</t>
  </si>
  <si>
    <t>262055</t>
  </si>
  <si>
    <t>33050</t>
  </si>
  <si>
    <t>56083</t>
  </si>
  <si>
    <t>39489</t>
  </si>
  <si>
    <t>3405</t>
  </si>
  <si>
    <t>38771</t>
  </si>
  <si>
    <t>50071</t>
  </si>
  <si>
    <t>265</t>
  </si>
  <si>
    <t>182143</t>
  </si>
  <si>
    <t>179427</t>
  </si>
  <si>
    <t>259117</t>
  </si>
  <si>
    <t>260329</t>
  </si>
  <si>
    <t>177077</t>
  </si>
  <si>
    <t>261988</t>
  </si>
  <si>
    <t>118254</t>
  </si>
  <si>
    <t>131487</t>
  </si>
  <si>
    <t>63516</t>
  </si>
  <si>
    <t>97185</t>
  </si>
  <si>
    <t>262050</t>
  </si>
  <si>
    <t>41417</t>
  </si>
  <si>
    <t>175670</t>
  </si>
  <si>
    <t>166679</t>
  </si>
  <si>
    <t>172173</t>
  </si>
  <si>
    <t>エコノミー(US)</t>
  </si>
  <si>
    <t>38776</t>
  </si>
  <si>
    <t>175574</t>
  </si>
  <si>
    <t>30261</t>
  </si>
  <si>
    <t>182144</t>
  </si>
  <si>
    <t>179439</t>
  </si>
  <si>
    <t>259119</t>
  </si>
  <si>
    <t>適用重量（kg）</t>
  </si>
  <si>
    <t>260326</t>
  </si>
  <si>
    <t>177080</t>
  </si>
  <si>
    <t>261976</t>
  </si>
  <si>
    <t>45114</t>
  </si>
  <si>
    <t>185118</t>
  </si>
  <si>
    <t>162928</t>
  </si>
  <si>
    <t>エコノミー(EU)</t>
  </si>
  <si>
    <t>95495</t>
  </si>
  <si>
    <t>262053</t>
  </si>
  <si>
    <t>41412</t>
  </si>
  <si>
    <t>80053</t>
  </si>
  <si>
    <t>177652</t>
  </si>
  <si>
    <t>162134</t>
  </si>
  <si>
    <t>53908</t>
  </si>
  <si>
    <t>179680</t>
  </si>
  <si>
    <t>30262</t>
  </si>
  <si>
    <t>182145</t>
  </si>
  <si>
    <t>179424</t>
  </si>
  <si>
    <t>259120</t>
  </si>
  <si>
    <t>FedEx(US)</t>
  </si>
  <si>
    <t>98624</t>
  </si>
  <si>
    <t>177081</t>
  </si>
  <si>
    <t>262004</t>
  </si>
  <si>
    <t>63821</t>
  </si>
  <si>
    <t>158816</t>
  </si>
  <si>
    <t>162929</t>
  </si>
  <si>
    <t>61568</t>
  </si>
  <si>
    <t>41421</t>
  </si>
  <si>
    <t>177</t>
  </si>
  <si>
    <t>FedEx(EU)</t>
  </si>
  <si>
    <t>179531</t>
  </si>
  <si>
    <t>174122</t>
  </si>
  <si>
    <t>175576</t>
  </si>
  <si>
    <t>3461</t>
  </si>
  <si>
    <t>101554</t>
  </si>
  <si>
    <t>179455</t>
  </si>
  <si>
    <t>259123</t>
  </si>
  <si>
    <t>98625</t>
  </si>
  <si>
    <t>DHL(US)</t>
  </si>
  <si>
    <t>177085</t>
  </si>
  <si>
    <t>261983</t>
  </si>
  <si>
    <t>164028</t>
  </si>
  <si>
    <t>178896</t>
  </si>
  <si>
    <t>37910</t>
  </si>
  <si>
    <t>97121</t>
  </si>
  <si>
    <t>46680</t>
  </si>
  <si>
    <t>171485</t>
  </si>
  <si>
    <t>139965</t>
  </si>
  <si>
    <t>535</t>
  </si>
  <si>
    <t>DHL(EU)</t>
  </si>
  <si>
    <t>185017</t>
  </si>
  <si>
    <t>175577</t>
  </si>
  <si>
    <t>3462</t>
  </si>
  <si>
    <t>179014</t>
  </si>
  <si>
    <t xml:space="preserve">重量（kg） 最大 </t>
  </si>
  <si>
    <t>179414</t>
  </si>
  <si>
    <t>259122</t>
  </si>
  <si>
    <t>117039</t>
  </si>
  <si>
    <t>177079</t>
  </si>
  <si>
    <t>261982</t>
  </si>
  <si>
    <t>171273</t>
  </si>
  <si>
    <t>14935</t>
  </si>
  <si>
    <t>重量（g） 最大</t>
  </si>
  <si>
    <t>63517</t>
  </si>
  <si>
    <t>JPY</t>
  </si>
  <si>
    <t>25253</t>
  </si>
  <si>
    <t>41431</t>
  </si>
  <si>
    <t>1245</t>
  </si>
  <si>
    <t>180910</t>
  </si>
  <si>
    <t>3360</t>
  </si>
  <si>
    <t>184979</t>
  </si>
  <si>
    <t>180242</t>
  </si>
  <si>
    <t>3463</t>
  </si>
  <si>
    <t>75557</t>
  </si>
  <si>
    <t>179458</t>
  </si>
  <si>
    <t>259125</t>
  </si>
  <si>
    <t>165144</t>
  </si>
  <si>
    <t>kg上限</t>
  </si>
  <si>
    <t>177118</t>
  </si>
  <si>
    <t>261977</t>
  </si>
  <si>
    <t>1105</t>
  </si>
  <si>
    <t>29954</t>
  </si>
  <si>
    <t>g上限</t>
  </si>
  <si>
    <t>63518</t>
  </si>
  <si>
    <t>DE</t>
  </si>
  <si>
    <t>92152</t>
  </si>
  <si>
    <t>101974</t>
  </si>
  <si>
    <t>AT</t>
  </si>
  <si>
    <t>164</t>
  </si>
  <si>
    <t>BE</t>
  </si>
  <si>
    <t>177653</t>
  </si>
  <si>
    <t>BG</t>
  </si>
  <si>
    <t>149926</t>
  </si>
  <si>
    <t>184651</t>
  </si>
  <si>
    <t>CY</t>
  </si>
  <si>
    <t>124313</t>
  </si>
  <si>
    <t>CZ</t>
  </si>
  <si>
    <t>3464</t>
  </si>
  <si>
    <t>DK</t>
  </si>
  <si>
    <t>41396</t>
  </si>
  <si>
    <t>EE</t>
  </si>
  <si>
    <t>179432</t>
  </si>
  <si>
    <t>ES</t>
  </si>
  <si>
    <t>259128</t>
  </si>
  <si>
    <t>FI</t>
  </si>
  <si>
    <t>57721</t>
  </si>
  <si>
    <t>FR</t>
  </si>
  <si>
    <t>177114</t>
  </si>
  <si>
    <t>GR</t>
  </si>
  <si>
    <t>261981</t>
  </si>
  <si>
    <t>HR</t>
  </si>
  <si>
    <t>52554</t>
  </si>
  <si>
    <t>HU</t>
  </si>
  <si>
    <t>175717</t>
  </si>
  <si>
    <t>IE</t>
  </si>
  <si>
    <t>4708</t>
  </si>
  <si>
    <t>IT</t>
  </si>
  <si>
    <t>LT</t>
  </si>
  <si>
    <t>73155</t>
  </si>
  <si>
    <t>LU</t>
  </si>
  <si>
    <t>41423</t>
  </si>
  <si>
    <t>175669</t>
  </si>
  <si>
    <t>LV</t>
  </si>
  <si>
    <t>41087</t>
  </si>
  <si>
    <t>MT</t>
  </si>
  <si>
    <t>122188</t>
  </si>
  <si>
    <t>NL</t>
  </si>
  <si>
    <t>175572</t>
  </si>
  <si>
    <t>3470</t>
  </si>
  <si>
    <t>PL</t>
  </si>
  <si>
    <t>159943</t>
  </si>
  <si>
    <t>PT</t>
  </si>
  <si>
    <t>179446</t>
  </si>
  <si>
    <t>259129</t>
  </si>
  <si>
    <t>RO</t>
  </si>
  <si>
    <t>57720</t>
  </si>
  <si>
    <t>SE</t>
  </si>
  <si>
    <t>177115</t>
  </si>
  <si>
    <t>261974</t>
  </si>
  <si>
    <t>SI</t>
  </si>
  <si>
    <t>52473</t>
  </si>
  <si>
    <t>SK</t>
  </si>
  <si>
    <t>162044</t>
  </si>
  <si>
    <t>37912</t>
  </si>
  <si>
    <t>73094</t>
  </si>
  <si>
    <t>7266</t>
  </si>
  <si>
    <t>131553</t>
  </si>
  <si>
    <t>34943</t>
  </si>
  <si>
    <t>149943</t>
  </si>
  <si>
    <t>169391</t>
  </si>
  <si>
    <t>3471</t>
  </si>
  <si>
    <t>64374</t>
  </si>
  <si>
    <t>179429</t>
  </si>
  <si>
    <t>259130</t>
  </si>
  <si>
    <t>57723</t>
  </si>
  <si>
    <t>177116</t>
  </si>
  <si>
    <t>261991</t>
  </si>
  <si>
    <t>69496</t>
  </si>
  <si>
    <t>29986</t>
  </si>
  <si>
    <t>37914</t>
  </si>
  <si>
    <t>63924</t>
  </si>
  <si>
    <t>181220</t>
  </si>
  <si>
    <t>139971</t>
  </si>
  <si>
    <t>162133</t>
  </si>
  <si>
    <t>173605</t>
  </si>
  <si>
    <t>184978</t>
  </si>
  <si>
    <t>3472</t>
  </si>
  <si>
    <t>16215</t>
  </si>
  <si>
    <t>179442</t>
  </si>
  <si>
    <t>259131</t>
  </si>
  <si>
    <t>57715</t>
  </si>
  <si>
    <t>177119</t>
  </si>
  <si>
    <t>261993</t>
  </si>
  <si>
    <t>132975</t>
  </si>
  <si>
    <t>175705</t>
  </si>
  <si>
    <t>37916</t>
  </si>
  <si>
    <t>95494</t>
  </si>
  <si>
    <t>41420</t>
  </si>
  <si>
    <t>106273</t>
  </si>
  <si>
    <t>178906</t>
  </si>
  <si>
    <t>173589</t>
  </si>
  <si>
    <t>179671</t>
  </si>
  <si>
    <t>3473</t>
  </si>
  <si>
    <t>159945</t>
  </si>
  <si>
    <t>180038</t>
  </si>
  <si>
    <t>259132</t>
  </si>
  <si>
    <t>57714</t>
  </si>
  <si>
    <t>177117</t>
  </si>
  <si>
    <t>261990</t>
  </si>
  <si>
    <t>309</t>
  </si>
  <si>
    <t>29990</t>
  </si>
  <si>
    <t>162933</t>
  </si>
  <si>
    <t>73121</t>
  </si>
  <si>
    <t>101973</t>
  </si>
  <si>
    <t>170083</t>
  </si>
  <si>
    <t>162147</t>
  </si>
  <si>
    <t>138855</t>
  </si>
  <si>
    <t>3474</t>
  </si>
  <si>
    <t>620</t>
  </si>
  <si>
    <t>179454</t>
  </si>
  <si>
    <t>259133</t>
  </si>
  <si>
    <t>3937</t>
  </si>
  <si>
    <t>177120</t>
  </si>
  <si>
    <t>262016</t>
  </si>
  <si>
    <t>618</t>
  </si>
  <si>
    <t>175701</t>
  </si>
  <si>
    <t>162934</t>
  </si>
  <si>
    <t>259041</t>
  </si>
  <si>
    <t>41406</t>
  </si>
  <si>
    <t>111422</t>
  </si>
  <si>
    <t>3447</t>
  </si>
  <si>
    <t>184625</t>
  </si>
  <si>
    <t>3475</t>
  </si>
  <si>
    <t>261874</t>
  </si>
  <si>
    <t>179480</t>
  </si>
  <si>
    <t>燃油率</t>
  </si>
  <si>
    <t>259134</t>
  </si>
  <si>
    <t>31387</t>
  </si>
  <si>
    <t>177106</t>
  </si>
  <si>
    <t>262010</t>
  </si>
  <si>
    <t>617</t>
  </si>
  <si>
    <t>170067</t>
  </si>
  <si>
    <t>162935</t>
  </si>
  <si>
    <t>41492</t>
  </si>
  <si>
    <t>41414</t>
  </si>
  <si>
    <t>173631</t>
  </si>
  <si>
    <t>96371</t>
  </si>
  <si>
    <t>3476</t>
  </si>
  <si>
    <t>182141</t>
  </si>
  <si>
    <t>179417</t>
  </si>
  <si>
    <t>259105</t>
  </si>
  <si>
    <t>51020</t>
  </si>
  <si>
    <t>177107</t>
  </si>
  <si>
    <t>261999</t>
  </si>
  <si>
    <t>29792</t>
  </si>
  <si>
    <t>29991</t>
  </si>
  <si>
    <t>184487</t>
  </si>
  <si>
    <t>97123</t>
  </si>
  <si>
    <t>41434</t>
  </si>
  <si>
    <t>173593</t>
  </si>
  <si>
    <t>169358</t>
  </si>
  <si>
    <t>3480</t>
  </si>
  <si>
    <t>261876</t>
  </si>
  <si>
    <t>259104</t>
  </si>
  <si>
    <t>93720</t>
  </si>
  <si>
    <t>177121</t>
  </si>
  <si>
    <t>261998</t>
  </si>
  <si>
    <t>176983</t>
  </si>
  <si>
    <t>29980</t>
  </si>
  <si>
    <t>37913</t>
  </si>
  <si>
    <t>184249</t>
  </si>
  <si>
    <t>22966</t>
  </si>
  <si>
    <t>173648</t>
  </si>
  <si>
    <t>61012</t>
  </si>
  <si>
    <t>3481</t>
  </si>
  <si>
    <t>261875</t>
  </si>
  <si>
    <t>179463</t>
  </si>
  <si>
    <t>259106</t>
  </si>
  <si>
    <t>260328</t>
  </si>
  <si>
    <t>177101</t>
  </si>
  <si>
    <t>261997</t>
  </si>
  <si>
    <t>41676</t>
  </si>
  <si>
    <t>170066</t>
  </si>
  <si>
    <t>37915</t>
  </si>
  <si>
    <t>26249</t>
  </si>
  <si>
    <t>41408</t>
  </si>
  <si>
    <t>173599</t>
  </si>
  <si>
    <t>174119</t>
  </si>
  <si>
    <t>3482</t>
  </si>
  <si>
    <t>159944</t>
  </si>
  <si>
    <t>179459</t>
  </si>
  <si>
    <t>259107</t>
  </si>
  <si>
    <t>177112</t>
  </si>
  <si>
    <t>US寸法割増（円）</t>
  </si>
  <si>
    <t>261995</t>
  </si>
  <si>
    <t>171223</t>
  </si>
  <si>
    <t>167943</t>
  </si>
  <si>
    <t>162930</t>
  </si>
  <si>
    <t>58178</t>
  </si>
  <si>
    <t>22671</t>
  </si>
  <si>
    <t>176961</t>
  </si>
  <si>
    <t>60999</t>
  </si>
  <si>
    <t>3485</t>
  </si>
  <si>
    <t>16216</t>
  </si>
  <si>
    <t>179452</t>
  </si>
  <si>
    <t>259109</t>
  </si>
  <si>
    <t>177113</t>
  </si>
  <si>
    <t>262005</t>
  </si>
  <si>
    <t>176984</t>
  </si>
  <si>
    <t>29993</t>
  </si>
  <si>
    <t>66637</t>
  </si>
  <si>
    <t>58161</t>
  </si>
  <si>
    <t>33034</t>
  </si>
  <si>
    <t>168684</t>
  </si>
  <si>
    <t>EUバルキー（円）</t>
  </si>
  <si>
    <t>169382</t>
  </si>
  <si>
    <t>3486</t>
  </si>
  <si>
    <t>16214</t>
  </si>
  <si>
    <t>34999</t>
  </si>
  <si>
    <t>259110</t>
  </si>
  <si>
    <t>177110</t>
  </si>
  <si>
    <t>262006</t>
  </si>
  <si>
    <t>261186</t>
  </si>
  <si>
    <t>162485</t>
  </si>
  <si>
    <t>162931</t>
  </si>
  <si>
    <t>91953</t>
  </si>
  <si>
    <t>41424</t>
  </si>
  <si>
    <t>173620</t>
  </si>
  <si>
    <t>169389</t>
  </si>
  <si>
    <t>3489</t>
  </si>
  <si>
    <t>179015</t>
  </si>
  <si>
    <t>179481</t>
  </si>
  <si>
    <t>259111</t>
  </si>
  <si>
    <t>177109</t>
  </si>
  <si>
    <t>262008</t>
  </si>
  <si>
    <t>11442</t>
  </si>
  <si>
    <t>29970</t>
  </si>
  <si>
    <t>162932</t>
  </si>
  <si>
    <t>EU混雑時料金（円）</t>
  </si>
  <si>
    <t>177642</t>
  </si>
  <si>
    <t>4713</t>
  </si>
  <si>
    <t>11964</t>
  </si>
  <si>
    <t>184626</t>
  </si>
  <si>
    <t>3490</t>
  </si>
  <si>
    <t>39179</t>
  </si>
  <si>
    <t>179488</t>
  </si>
  <si>
    <t>259112</t>
  </si>
  <si>
    <t>177105</t>
  </si>
  <si>
    <t>262003</t>
  </si>
  <si>
    <t>11233</t>
  </si>
  <si>
    <t>172516</t>
  </si>
  <si>
    <t>1207</t>
  </si>
  <si>
    <t>177643</t>
  </si>
  <si>
    <t>41418</t>
  </si>
  <si>
    <t>162152</t>
  </si>
  <si>
    <t>185012</t>
  </si>
  <si>
    <t>3494</t>
  </si>
  <si>
    <t>41404</t>
  </si>
  <si>
    <t>179436</t>
  </si>
  <si>
    <t>259124</t>
  </si>
  <si>
    <t>177102</t>
  </si>
  <si>
    <t>262002</t>
  </si>
  <si>
    <t>29965</t>
  </si>
  <si>
    <t>162936</t>
  </si>
  <si>
    <t>258645</t>
  </si>
  <si>
    <t>22672</t>
  </si>
  <si>
    <t>3446</t>
  </si>
  <si>
    <t>185021</t>
  </si>
  <si>
    <t>3500</t>
  </si>
  <si>
    <t>101555</t>
  </si>
  <si>
    <t>179486</t>
  </si>
  <si>
    <t>259126</t>
  </si>
  <si>
    <t>177103</t>
  </si>
  <si>
    <t>262013</t>
  </si>
  <si>
    <t>162048</t>
  </si>
  <si>
    <t>167948</t>
  </si>
  <si>
    <t>46697</t>
  </si>
  <si>
    <t>148648</t>
  </si>
  <si>
    <t>3448</t>
  </si>
  <si>
    <t>169368</t>
  </si>
  <si>
    <t>3505</t>
  </si>
  <si>
    <t>1288</t>
  </si>
  <si>
    <t>179418</t>
  </si>
  <si>
    <t>259127</t>
  </si>
  <si>
    <t>177104</t>
  </si>
  <si>
    <t>262015</t>
  </si>
  <si>
    <t>29983</t>
  </si>
  <si>
    <t>171170</t>
  </si>
  <si>
    <t>97125</t>
  </si>
  <si>
    <t>101976</t>
  </si>
  <si>
    <t>173688</t>
  </si>
  <si>
    <t>258035</t>
  </si>
  <si>
    <t>3507</t>
  </si>
  <si>
    <t>64388</t>
  </si>
  <si>
    <t>179437</t>
  </si>
  <si>
    <t>259150</t>
  </si>
  <si>
    <t>177108</t>
  </si>
  <si>
    <t>262018</t>
  </si>
  <si>
    <t>169</t>
  </si>
  <si>
    <t>162937</t>
  </si>
  <si>
    <t>41419</t>
  </si>
  <si>
    <t>167964</t>
  </si>
  <si>
    <t>169473</t>
  </si>
  <si>
    <t>3508</t>
  </si>
  <si>
    <t>182150</t>
  </si>
  <si>
    <t>179473</t>
  </si>
  <si>
    <t>259149</t>
  </si>
  <si>
    <t>261280</t>
  </si>
  <si>
    <t>262012</t>
  </si>
  <si>
    <t>EU混雑時適用</t>
  </si>
  <si>
    <t>162075</t>
  </si>
  <si>
    <t>63519</t>
  </si>
  <si>
    <t>119544</t>
  </si>
  <si>
    <t>118376</t>
  </si>
  <si>
    <t>169374</t>
  </si>
  <si>
    <t>3509</t>
  </si>
  <si>
    <t>64604</t>
  </si>
  <si>
    <t>179444</t>
  </si>
  <si>
    <t>259148</t>
  </si>
  <si>
    <t>261282</t>
  </si>
  <si>
    <t>262017</t>
  </si>
  <si>
    <t>29985</t>
  </si>
  <si>
    <t>151721</t>
  </si>
  <si>
    <t>41422</t>
  </si>
  <si>
    <t>41102</t>
  </si>
  <si>
    <t>174118</t>
  </si>
  <si>
    <t>3510</t>
  </si>
  <si>
    <t>50590</t>
  </si>
  <si>
    <t>259145</t>
  </si>
  <si>
    <t>261271</t>
  </si>
  <si>
    <t>262020</t>
  </si>
  <si>
    <t>29973</t>
  </si>
  <si>
    <t>112084</t>
  </si>
  <si>
    <t>38072</t>
  </si>
  <si>
    <t>58511</t>
  </si>
  <si>
    <t>169375</t>
  </si>
  <si>
    <t>35284</t>
  </si>
  <si>
    <t>64605</t>
  </si>
  <si>
    <t>179489</t>
  </si>
  <si>
    <t>259146</t>
  </si>
  <si>
    <t>261268</t>
  </si>
  <si>
    <t>262009</t>
  </si>
  <si>
    <t>追加送料（円）</t>
  </si>
  <si>
    <t>185053</t>
  </si>
  <si>
    <t>37917</t>
  </si>
  <si>
    <t>46678</t>
  </si>
  <si>
    <t>162171</t>
  </si>
  <si>
    <t>174121</t>
  </si>
  <si>
    <t>35285</t>
  </si>
  <si>
    <t>64602</t>
  </si>
  <si>
    <t>179479</t>
  </si>
  <si>
    <t>259147</t>
  </si>
  <si>
    <t>261275</t>
  </si>
  <si>
    <t>262022</t>
  </si>
  <si>
    <t>37918</t>
  </si>
  <si>
    <t>41416</t>
  </si>
  <si>
    <t>149945</t>
  </si>
  <si>
    <t>184980</t>
  </si>
  <si>
    <t>35286</t>
  </si>
  <si>
    <t>64606</t>
  </si>
  <si>
    <t>179428</t>
  </si>
  <si>
    <t>259151</t>
  </si>
  <si>
    <t>261287</t>
  </si>
  <si>
    <t>261992</t>
  </si>
  <si>
    <t>63520</t>
  </si>
  <si>
    <t>33021</t>
  </si>
  <si>
    <t>162192</t>
  </si>
  <si>
    <t>14262</t>
  </si>
  <si>
    <t>35288</t>
  </si>
  <si>
    <t>308</t>
  </si>
  <si>
    <t>179445</t>
  </si>
  <si>
    <t>259152</t>
  </si>
  <si>
    <t>261283</t>
  </si>
  <si>
    <t>262011</t>
  </si>
  <si>
    <t>11724</t>
  </si>
  <si>
    <t>162938</t>
  </si>
  <si>
    <t>41411</t>
  </si>
  <si>
    <t>162208</t>
  </si>
  <si>
    <t>184624</t>
  </si>
  <si>
    <t>35289</t>
  </si>
  <si>
    <t>41449</t>
  </si>
  <si>
    <t>179467</t>
  </si>
  <si>
    <t>259153</t>
  </si>
  <si>
    <t>261284</t>
  </si>
  <si>
    <t>98478</t>
  </si>
  <si>
    <t>48909</t>
  </si>
  <si>
    <t>162939</t>
  </si>
  <si>
    <t>101975</t>
  </si>
  <si>
    <t>179534</t>
  </si>
  <si>
    <t>14273</t>
  </si>
  <si>
    <t>36716</t>
  </si>
  <si>
    <t>10173</t>
  </si>
  <si>
    <t>259154</t>
  </si>
  <si>
    <t>261286</t>
  </si>
  <si>
    <t>98477</t>
  </si>
  <si>
    <t>182069</t>
  </si>
  <si>
    <t>162940</t>
  </si>
  <si>
    <t>46682</t>
  </si>
  <si>
    <t>173685</t>
  </si>
  <si>
    <t>169350</t>
  </si>
  <si>
    <t>37172</t>
  </si>
  <si>
    <t>47579</t>
  </si>
  <si>
    <t>179485</t>
  </si>
  <si>
    <t>259155</t>
  </si>
  <si>
    <t>261285</t>
  </si>
  <si>
    <t>98476</t>
  </si>
  <si>
    <t>167938</t>
  </si>
  <si>
    <t>37920</t>
  </si>
  <si>
    <t>41413</t>
  </si>
  <si>
    <t>エアパケ(US)</t>
  </si>
  <si>
    <t>173613</t>
  </si>
  <si>
    <t>138856</t>
  </si>
  <si>
    <t>3751</t>
  </si>
  <si>
    <t>41453</t>
  </si>
  <si>
    <t>179469</t>
  </si>
  <si>
    <t>259156</t>
  </si>
  <si>
    <t>261281</t>
  </si>
  <si>
    <t>84607</t>
  </si>
  <si>
    <t>29978</t>
  </si>
  <si>
    <t>162941</t>
  </si>
  <si>
    <t>エアパケ(EU)</t>
  </si>
  <si>
    <t>101977</t>
  </si>
  <si>
    <t>45152</t>
  </si>
  <si>
    <t>38759</t>
  </si>
  <si>
    <t>40370</t>
  </si>
  <si>
    <t>47084</t>
  </si>
  <si>
    <t>179441</t>
  </si>
  <si>
    <t>259157</t>
  </si>
  <si>
    <t>183514</t>
  </si>
  <si>
    <t>110634</t>
  </si>
  <si>
    <t>37921</t>
  </si>
  <si>
    <t>EMS(US)</t>
  </si>
  <si>
    <t>148640</t>
  </si>
  <si>
    <t>162209</t>
  </si>
  <si>
    <t>169347</t>
  </si>
  <si>
    <t>40395</t>
  </si>
  <si>
    <t>41441</t>
  </si>
  <si>
    <t>179440</t>
  </si>
  <si>
    <t>259158</t>
  </si>
  <si>
    <t>183518</t>
  </si>
  <si>
    <t>110645</t>
  </si>
  <si>
    <t>158817</t>
  </si>
  <si>
    <t>37922</t>
  </si>
  <si>
    <t>621</t>
  </si>
  <si>
    <t>167970</t>
  </si>
  <si>
    <t>14268</t>
  </si>
  <si>
    <t>40411</t>
  </si>
  <si>
    <t>38093</t>
  </si>
  <si>
    <t>180040</t>
  </si>
  <si>
    <t>259159</t>
  </si>
  <si>
    <t>183505</t>
  </si>
  <si>
    <t>110666</t>
  </si>
  <si>
    <t>149971</t>
  </si>
  <si>
    <t>162966</t>
  </si>
  <si>
    <t>47076</t>
  </si>
  <si>
    <t>162190</t>
  </si>
  <si>
    <t>169324</t>
  </si>
  <si>
    <t>40413</t>
  </si>
  <si>
    <t>38069</t>
  </si>
  <si>
    <t>179476</t>
  </si>
  <si>
    <t>出典：eBay SpeedPAK Economy、2026-07-30版、6・7・13・14・16頁。</t>
  </si>
  <si>
    <t>259160</t>
  </si>
  <si>
    <t>183506</t>
  </si>
  <si>
    <t>101437</t>
  </si>
  <si>
    <t>29981</t>
  </si>
  <si>
    <t>162967</t>
  </si>
  <si>
    <t>159952</t>
  </si>
  <si>
    <t>3449</t>
  </si>
  <si>
    <t>179673</t>
  </si>
  <si>
    <t>40417</t>
  </si>
  <si>
    <t>10175</t>
  </si>
  <si>
    <t>259161</t>
  </si>
  <si>
    <t>183507</t>
  </si>
  <si>
    <t>110620</t>
  </si>
  <si>
    <t>162968</t>
  </si>
  <si>
    <t>181219</t>
  </si>
  <si>
    <t>燃油：Orange Connex公式、2026-10-01発効14.5%。</t>
  </si>
  <si>
    <t>122492</t>
  </si>
  <si>
    <t>169335</t>
  </si>
  <si>
    <t>40419</t>
  </si>
  <si>
    <t>38097</t>
  </si>
  <si>
    <t>259162</t>
  </si>
  <si>
    <t>183508</t>
  </si>
  <si>
    <t>60115</t>
  </si>
  <si>
    <t>185116</t>
  </si>
  <si>
    <t>37923</t>
  </si>
  <si>
    <t>183389</t>
  </si>
  <si>
    <t>167156</t>
  </si>
  <si>
    <t>40016</t>
  </si>
  <si>
    <t>40422</t>
  </si>
  <si>
    <t>38095</t>
  </si>
  <si>
    <t>179450</t>
  </si>
  <si>
    <t>259163</t>
  </si>
  <si>
    <t>183509</t>
  </si>
  <si>
    <t>50677</t>
  </si>
  <si>
    <t>EU基本料金表の掲載上限は20kg。超過は見積確認。</t>
  </si>
  <si>
    <t>37924</t>
  </si>
  <si>
    <t>181221</t>
  </si>
  <si>
    <t>173594</t>
  </si>
  <si>
    <t>42829</t>
  </si>
  <si>
    <t>38096</t>
  </si>
  <si>
    <t>179431</t>
  </si>
  <si>
    <t>259164</t>
  </si>
  <si>
    <t>183510</t>
  </si>
  <si>
    <t>50647</t>
  </si>
  <si>
    <t>16204</t>
  </si>
  <si>
    <t>37925</t>
  </si>
  <si>
    <t>85856</t>
  </si>
  <si>
    <t>3445</t>
  </si>
  <si>
    <t>179676</t>
  </si>
  <si>
    <t>資料末尾に÷6,000の注記もあるため、基本料金ページの÷8,000を採用。</t>
  </si>
  <si>
    <t>47148</t>
  </si>
  <si>
    <t>93771</t>
  </si>
  <si>
    <t>179448</t>
  </si>
  <si>
    <t>259165</t>
  </si>
  <si>
    <t>183511</t>
  </si>
  <si>
    <t>50692</t>
  </si>
  <si>
    <t>175676</t>
  </si>
  <si>
    <t>162942</t>
  </si>
  <si>
    <t>159948</t>
  </si>
  <si>
    <t>45163</t>
  </si>
  <si>
    <t>179675</t>
  </si>
  <si>
    <t>47149</t>
  </si>
  <si>
    <t>181229</t>
  </si>
  <si>
    <t>259166</t>
  </si>
  <si>
    <t>https://www.orangeconnex.jp/newsDetail?title=Fuel+Surcharge+Update+for+Economy+Service+%E2%80%94+Effective+October+1,+2026</t>
  </si>
  <si>
    <t>183512</t>
  </si>
  <si>
    <t>67681</t>
  </si>
  <si>
    <t>15199</t>
  </si>
  <si>
    <t>184440</t>
  </si>
  <si>
    <t>85857</t>
  </si>
  <si>
    <t>149937</t>
  </si>
  <si>
    <t>169357</t>
  </si>
  <si>
    <t>47150</t>
  </si>
  <si>
    <t>181230</t>
  </si>
  <si>
    <t>179470</t>
  </si>
  <si>
    <t>259167</t>
  </si>
  <si>
    <t>183513</t>
  </si>
  <si>
    <t>155101</t>
  </si>
  <si>
    <t>175699</t>
  </si>
  <si>
    <t>37926</t>
  </si>
  <si>
    <t>170605</t>
  </si>
  <si>
    <t>173690</t>
  </si>
  <si>
    <t>179677</t>
  </si>
  <si>
    <t>47151</t>
  </si>
  <si>
    <t>181231</t>
  </si>
  <si>
    <t>263397</t>
  </si>
  <si>
    <t>259168</t>
  </si>
  <si>
    <t>184476</t>
  </si>
  <si>
    <t>164351</t>
  </si>
  <si>
    <t>162943</t>
  </si>
  <si>
    <t>46677</t>
  </si>
  <si>
    <t>173601</t>
  </si>
  <si>
    <t>169395</t>
  </si>
  <si>
    <t>47159</t>
  </si>
  <si>
    <t>181232</t>
  </si>
  <si>
    <t>263398</t>
  </si>
  <si>
    <t>259169</t>
  </si>
  <si>
    <t>50427</t>
  </si>
  <si>
    <t>140010</t>
  </si>
  <si>
    <t>154956</t>
  </si>
  <si>
    <t>162944</t>
  </si>
  <si>
    <t>3858</t>
  </si>
  <si>
    <t>45157</t>
  </si>
  <si>
    <t>174120</t>
  </si>
  <si>
    <t>47160</t>
  </si>
  <si>
    <t>181234</t>
  </si>
  <si>
    <t>263400</t>
  </si>
  <si>
    <t>259170</t>
  </si>
  <si>
    <t>50431</t>
  </si>
  <si>
    <t>177649</t>
  </si>
  <si>
    <t>261865</t>
  </si>
  <si>
    <t>162945</t>
  </si>
  <si>
    <t>118378</t>
  </si>
  <si>
    <t>47162</t>
  </si>
  <si>
    <t>181233</t>
  </si>
  <si>
    <t>263401</t>
  </si>
  <si>
    <t>259171</t>
  </si>
  <si>
    <t>50426</t>
  </si>
  <si>
    <t>137843</t>
  </si>
  <si>
    <t>29994</t>
  </si>
  <si>
    <t>37927</t>
  </si>
  <si>
    <t>176960</t>
  </si>
  <si>
    <t>179678</t>
  </si>
  <si>
    <t>47163</t>
  </si>
  <si>
    <t>181235</t>
  </si>
  <si>
    <t>263402</t>
  </si>
  <si>
    <t>259172</t>
  </si>
  <si>
    <t>6753</t>
  </si>
  <si>
    <t>137839</t>
  </si>
  <si>
    <t>185061</t>
  </si>
  <si>
    <t>73465</t>
  </si>
  <si>
    <t>173600</t>
  </si>
  <si>
    <t>179670</t>
  </si>
  <si>
    <t>47164</t>
  </si>
  <si>
    <t>261863</t>
  </si>
  <si>
    <t>263403</t>
  </si>
  <si>
    <t>259173</t>
  </si>
  <si>
    <t>100446</t>
  </si>
  <si>
    <t>137856</t>
  </si>
  <si>
    <t>186075</t>
  </si>
  <si>
    <t>38124</t>
  </si>
  <si>
    <t>90641</t>
  </si>
  <si>
    <t>47165</t>
  </si>
  <si>
    <t>181236</t>
  </si>
  <si>
    <t>263404</t>
  </si>
  <si>
    <t>259174</t>
  </si>
  <si>
    <t>72531</t>
  </si>
  <si>
    <t>10285</t>
  </si>
  <si>
    <t>185060</t>
  </si>
  <si>
    <t>37928</t>
  </si>
  <si>
    <t>41099</t>
  </si>
  <si>
    <t>184652</t>
  </si>
  <si>
    <t>47167</t>
  </si>
  <si>
    <t>181245</t>
  </si>
  <si>
    <t>263406</t>
  </si>
  <si>
    <t>259175</t>
  </si>
  <si>
    <t>56421</t>
  </si>
  <si>
    <t>10292</t>
  </si>
  <si>
    <t>35089</t>
  </si>
  <si>
    <t>37929</t>
  </si>
  <si>
    <t>173616</t>
  </si>
  <si>
    <t>185019</t>
  </si>
  <si>
    <t>47169</t>
  </si>
  <si>
    <t>181239</t>
  </si>
  <si>
    <t>263407</t>
  </si>
  <si>
    <t>259176</t>
  </si>
  <si>
    <t>261269</t>
  </si>
  <si>
    <t>10298</t>
  </si>
  <si>
    <t>175708</t>
  </si>
  <si>
    <t>162946</t>
  </si>
  <si>
    <t>173627</t>
  </si>
  <si>
    <t>47171</t>
  </si>
  <si>
    <t>181241</t>
  </si>
  <si>
    <t>263408</t>
  </si>
  <si>
    <t>259177</t>
  </si>
  <si>
    <t>262027</t>
  </si>
  <si>
    <t>49082</t>
  </si>
  <si>
    <t>155352</t>
  </si>
  <si>
    <t>173630</t>
  </si>
  <si>
    <t>47172</t>
  </si>
  <si>
    <t>181243</t>
  </si>
  <si>
    <t>263409</t>
  </si>
  <si>
    <t>259178</t>
  </si>
  <si>
    <t>262023</t>
  </si>
  <si>
    <t>162947</t>
  </si>
  <si>
    <t>162206</t>
  </si>
  <si>
    <t>47173</t>
  </si>
  <si>
    <t>148621</t>
  </si>
  <si>
    <t>263410</t>
  </si>
  <si>
    <t>259179</t>
  </si>
  <si>
    <t>262026</t>
  </si>
  <si>
    <t>185119</t>
  </si>
  <si>
    <t>37930</t>
  </si>
  <si>
    <t>167961</t>
  </si>
  <si>
    <t>139838</t>
  </si>
  <si>
    <t>47176</t>
  </si>
  <si>
    <t>148620</t>
  </si>
  <si>
    <t>263411</t>
  </si>
  <si>
    <t>259180</t>
  </si>
  <si>
    <t>262014</t>
  </si>
  <si>
    <t>174742</t>
  </si>
  <si>
    <t>162963</t>
  </si>
  <si>
    <t>162213</t>
  </si>
  <si>
    <t>47178</t>
  </si>
  <si>
    <t>181248</t>
  </si>
  <si>
    <t>263412</t>
  </si>
  <si>
    <t>259181</t>
  </si>
  <si>
    <t>166734</t>
  </si>
  <si>
    <t>131542</t>
  </si>
  <si>
    <t>37932</t>
  </si>
  <si>
    <t>162219</t>
  </si>
  <si>
    <t>179669</t>
  </si>
  <si>
    <t>4751</t>
  </si>
  <si>
    <t>47090</t>
  </si>
  <si>
    <t>263430</t>
  </si>
  <si>
    <t>259182</t>
  </si>
  <si>
    <t>171122</t>
  </si>
  <si>
    <t>183078</t>
  </si>
  <si>
    <t>162964</t>
  </si>
  <si>
    <t>162197</t>
  </si>
  <si>
    <t>4753</t>
  </si>
  <si>
    <t>39178</t>
  </si>
  <si>
    <t>263431</t>
  </si>
  <si>
    <t>259183</t>
  </si>
  <si>
    <t>494</t>
  </si>
  <si>
    <t>162965</t>
  </si>
  <si>
    <t>173603</t>
  </si>
  <si>
    <t>50252</t>
  </si>
  <si>
    <t>41457</t>
  </si>
  <si>
    <t>263432</t>
  </si>
  <si>
    <t>259184</t>
  </si>
  <si>
    <t>34071</t>
  </si>
  <si>
    <t>31792</t>
  </si>
  <si>
    <t>37933</t>
  </si>
  <si>
    <t>11946</t>
  </si>
  <si>
    <t>65130</t>
  </si>
  <si>
    <t>41440</t>
  </si>
  <si>
    <t>263433</t>
  </si>
  <si>
    <t>259185</t>
  </si>
  <si>
    <t>14085</t>
  </si>
  <si>
    <t>37585</t>
  </si>
  <si>
    <t>60209</t>
  </si>
  <si>
    <t>162230</t>
  </si>
  <si>
    <t>38643</t>
  </si>
  <si>
    <t>65137</t>
  </si>
  <si>
    <t>181250</t>
  </si>
  <si>
    <t>263434</t>
  </si>
  <si>
    <t>10063</t>
  </si>
  <si>
    <t>152807</t>
  </si>
  <si>
    <t>23388</t>
  </si>
  <si>
    <t>162969</t>
  </si>
  <si>
    <t>11959</t>
  </si>
  <si>
    <t>21647</t>
  </si>
  <si>
    <t>65143</t>
  </si>
  <si>
    <t>41458</t>
  </si>
  <si>
    <t>263435</t>
  </si>
  <si>
    <t>220</t>
  </si>
  <si>
    <t>58705</t>
  </si>
  <si>
    <t>162970</t>
  </si>
  <si>
    <t>162201</t>
  </si>
  <si>
    <t>173713</t>
  </si>
  <si>
    <t>65144</t>
  </si>
  <si>
    <t>181253</t>
  </si>
  <si>
    <t>263436</t>
  </si>
  <si>
    <t>183454</t>
  </si>
  <si>
    <t>176045</t>
  </si>
  <si>
    <t>37935</t>
  </si>
  <si>
    <t>162236</t>
  </si>
  <si>
    <t>65152</t>
  </si>
  <si>
    <t>181251</t>
  </si>
  <si>
    <t>263437</t>
  </si>
  <si>
    <t>160988</t>
  </si>
  <si>
    <t>37936</t>
  </si>
  <si>
    <t>173712</t>
  </si>
  <si>
    <t>65154</t>
  </si>
  <si>
    <t>622</t>
  </si>
  <si>
    <t>43978</t>
  </si>
  <si>
    <t>160967</t>
  </si>
  <si>
    <t>162971</t>
  </si>
  <si>
    <t>75329</t>
  </si>
  <si>
    <t>65158</t>
  </si>
  <si>
    <t>41450</t>
  </si>
  <si>
    <t>263438</t>
  </si>
  <si>
    <t>3323</t>
  </si>
  <si>
    <t>162972</t>
  </si>
  <si>
    <t>162153</t>
  </si>
  <si>
    <t>112529</t>
  </si>
  <si>
    <t>65165</t>
  </si>
  <si>
    <t>41451</t>
  </si>
  <si>
    <t>263439</t>
  </si>
  <si>
    <t>78997</t>
  </si>
  <si>
    <t>37937</t>
  </si>
  <si>
    <t>176959</t>
  </si>
  <si>
    <t>184610</t>
  </si>
  <si>
    <t>65166</t>
  </si>
  <si>
    <t>47089</t>
  </si>
  <si>
    <t>263098</t>
  </si>
  <si>
    <t>155353</t>
  </si>
  <si>
    <t>258042</t>
  </si>
  <si>
    <t>65175</t>
  </si>
  <si>
    <t>261864</t>
  </si>
  <si>
    <t>263099</t>
  </si>
  <si>
    <t>162975</t>
  </si>
  <si>
    <t>625</t>
  </si>
  <si>
    <t>65176</t>
  </si>
  <si>
    <t>41452</t>
  </si>
  <si>
    <t>263100</t>
  </si>
  <si>
    <t>37938</t>
  </si>
  <si>
    <t>65177</t>
  </si>
  <si>
    <t>41456</t>
  </si>
  <si>
    <t>263102</t>
  </si>
  <si>
    <t>73466</t>
  </si>
  <si>
    <t>65178</t>
  </si>
  <si>
    <t>38088</t>
  </si>
  <si>
    <t>263174</t>
  </si>
  <si>
    <t>38125</t>
  </si>
  <si>
    <t>65179</t>
  </si>
  <si>
    <t>181269</t>
  </si>
  <si>
    <t>263175</t>
  </si>
  <si>
    <t>37939</t>
  </si>
  <si>
    <t>65182</t>
  </si>
  <si>
    <t>181270</t>
  </si>
  <si>
    <t>263170</t>
  </si>
  <si>
    <t>38126</t>
  </si>
  <si>
    <t>65183</t>
  </si>
  <si>
    <t>181274</t>
  </si>
  <si>
    <t>263173</t>
  </si>
  <si>
    <t>162973</t>
  </si>
  <si>
    <t>65184</t>
  </si>
  <si>
    <t>181490</t>
  </si>
  <si>
    <t>263171</t>
  </si>
  <si>
    <t>66841</t>
  </si>
  <si>
    <t>65200</t>
  </si>
  <si>
    <t>182149</t>
  </si>
  <si>
    <t>263169</t>
  </si>
  <si>
    <t>162976</t>
  </si>
  <si>
    <t>65201</t>
  </si>
  <si>
    <t>16219</t>
  </si>
  <si>
    <t>263176</t>
  </si>
  <si>
    <t>162977</t>
  </si>
  <si>
    <t>65202</t>
  </si>
  <si>
    <t>1289</t>
  </si>
  <si>
    <t>263178</t>
  </si>
  <si>
    <t>162978</t>
  </si>
  <si>
    <t>65203</t>
  </si>
  <si>
    <t>182147</t>
  </si>
  <si>
    <t>263172</t>
  </si>
  <si>
    <t>37940</t>
  </si>
  <si>
    <t>65204</t>
  </si>
  <si>
    <t>148727</t>
  </si>
  <si>
    <t>263177</t>
  </si>
  <si>
    <t>162979</t>
  </si>
  <si>
    <t>65205</t>
  </si>
  <si>
    <t>261866</t>
  </si>
  <si>
    <t>263021</t>
  </si>
  <si>
    <t>116556</t>
  </si>
  <si>
    <t>65206</t>
  </si>
  <si>
    <t>148725</t>
  </si>
  <si>
    <t>263112</t>
  </si>
  <si>
    <t>162989</t>
  </si>
  <si>
    <t>65207</t>
  </si>
  <si>
    <t>261867</t>
  </si>
  <si>
    <t>263113</t>
  </si>
  <si>
    <t>2194</t>
  </si>
  <si>
    <t>65210</t>
  </si>
  <si>
    <t>21766</t>
  </si>
  <si>
    <t>263115</t>
  </si>
  <si>
    <t>171171</t>
  </si>
  <si>
    <t>65211</t>
  </si>
  <si>
    <t>148728</t>
  </si>
  <si>
    <t>263118</t>
  </si>
  <si>
    <t>155354</t>
  </si>
  <si>
    <t>65212</t>
  </si>
  <si>
    <t>261868</t>
  </si>
  <si>
    <t>263116</t>
  </si>
  <si>
    <t>162980</t>
  </si>
  <si>
    <t>65213</t>
  </si>
  <si>
    <t>182148</t>
  </si>
  <si>
    <t>263117</t>
  </si>
  <si>
    <t>162981</t>
  </si>
  <si>
    <t>65214</t>
  </si>
  <si>
    <t>47042</t>
  </si>
  <si>
    <t>263120</t>
  </si>
  <si>
    <t>162982</t>
  </si>
  <si>
    <t>65215</t>
  </si>
  <si>
    <t>117049</t>
  </si>
  <si>
    <t>263123</t>
  </si>
  <si>
    <t>162983</t>
  </si>
  <si>
    <t>65216</t>
  </si>
  <si>
    <t>261869</t>
  </si>
  <si>
    <t>263121</t>
  </si>
  <si>
    <t>162984</t>
  </si>
  <si>
    <t>65217</t>
  </si>
  <si>
    <t>85860</t>
  </si>
  <si>
    <t>263114</t>
  </si>
  <si>
    <t>20085</t>
  </si>
  <si>
    <t>65218</t>
  </si>
  <si>
    <t>43376</t>
  </si>
  <si>
    <t>263122</t>
  </si>
  <si>
    <t>162985</t>
  </si>
  <si>
    <t>65219</t>
  </si>
  <si>
    <t>16220</t>
  </si>
  <si>
    <t>263324</t>
  </si>
  <si>
    <t>162986</t>
  </si>
  <si>
    <t>701</t>
  </si>
  <si>
    <t>43377</t>
  </si>
  <si>
    <t>263325</t>
  </si>
  <si>
    <t>79947</t>
  </si>
  <si>
    <t>703</t>
  </si>
  <si>
    <t>182151</t>
  </si>
  <si>
    <t>263322</t>
  </si>
  <si>
    <t>162988</t>
  </si>
  <si>
    <t>705</t>
  </si>
  <si>
    <t>182152</t>
  </si>
  <si>
    <t>263323</t>
  </si>
  <si>
    <t>163007</t>
  </si>
  <si>
    <t>7168</t>
  </si>
  <si>
    <t>132998</t>
  </si>
  <si>
    <t>263310</t>
  </si>
  <si>
    <t>37946</t>
  </si>
  <si>
    <t>7937</t>
  </si>
  <si>
    <t>69960</t>
  </si>
  <si>
    <t>263311</t>
  </si>
  <si>
    <t>4171</t>
  </si>
  <si>
    <t>7896</t>
  </si>
  <si>
    <t>170088</t>
  </si>
  <si>
    <t>263314</t>
  </si>
  <si>
    <t>37947</t>
  </si>
  <si>
    <t>7908</t>
  </si>
  <si>
    <t>182104</t>
  </si>
  <si>
    <t>263312</t>
  </si>
  <si>
    <t>4170</t>
  </si>
  <si>
    <t>7921</t>
  </si>
  <si>
    <t>177023</t>
  </si>
  <si>
    <t>263313</t>
  </si>
  <si>
    <t>4173</t>
  </si>
  <si>
    <t>8009</t>
  </si>
  <si>
    <t>177024</t>
  </si>
  <si>
    <t>263316</t>
  </si>
  <si>
    <t>2204</t>
  </si>
  <si>
    <t>80109</t>
  </si>
  <si>
    <t>177025</t>
  </si>
  <si>
    <t>263315</t>
  </si>
  <si>
    <t>4172</t>
  </si>
  <si>
    <t>80110</t>
  </si>
  <si>
    <t>81967</t>
  </si>
  <si>
    <t>263309</t>
  </si>
  <si>
    <t>171173</t>
  </si>
  <si>
    <t>80111</t>
  </si>
  <si>
    <t>29945</t>
  </si>
  <si>
    <t>43980</t>
  </si>
  <si>
    <t>261252</t>
  </si>
  <si>
    <t>80112</t>
  </si>
  <si>
    <t>170089</t>
  </si>
  <si>
    <t>263318</t>
  </si>
  <si>
    <t>261255</t>
  </si>
  <si>
    <t>80113</t>
  </si>
  <si>
    <t>81970</t>
  </si>
  <si>
    <t>263319</t>
  </si>
  <si>
    <t>261253</t>
  </si>
  <si>
    <t>80114</t>
  </si>
  <si>
    <t>…入力箇所(半角数値)</t>
  </si>
  <si>
    <t>30889</t>
  </si>
  <si>
    <t>263317</t>
  </si>
  <si>
    <t>261254</t>
  </si>
  <si>
    <t>80115</t>
  </si>
  <si>
    <t>182103</t>
  </si>
  <si>
    <t>263320</t>
  </si>
  <si>
    <t>261256</t>
  </si>
  <si>
    <t>純送料</t>
  </si>
  <si>
    <t>80116</t>
  </si>
  <si>
    <t>177022</t>
  </si>
  <si>
    <t>FICP</t>
  </si>
  <si>
    <t>263125</t>
  </si>
  <si>
    <t>261257</t>
  </si>
  <si>
    <t>80118</t>
  </si>
  <si>
    <t>燃油率（手動）</t>
  </si>
  <si>
    <t>12921</t>
  </si>
  <si>
    <t>263126</t>
  </si>
  <si>
    <t>261258</t>
  </si>
  <si>
    <t>80119</t>
  </si>
  <si>
    <t>182163</t>
  </si>
  <si>
    <t>43972</t>
  </si>
  <si>
    <t>261259</t>
  </si>
  <si>
    <t>80120</t>
  </si>
  <si>
    <t>182166</t>
  </si>
  <si>
    <t>263133</t>
  </si>
  <si>
    <t>261262</t>
  </si>
  <si>
    <t>80121</t>
  </si>
  <si>
    <t>182167</t>
  </si>
  <si>
    <t>263128</t>
  </si>
  <si>
    <t>261260</t>
  </si>
  <si>
    <t>82978</t>
  </si>
  <si>
    <t>182173</t>
  </si>
  <si>
    <t>263129</t>
  </si>
  <si>
    <t>261261</t>
  </si>
  <si>
    <t>91575</t>
  </si>
  <si>
    <t>182169</t>
  </si>
  <si>
    <t>263131</t>
  </si>
  <si>
    <t>261263</t>
  </si>
  <si>
    <t>US割増 円/kg</t>
  </si>
  <si>
    <t>91576</t>
  </si>
  <si>
    <t>182170</t>
  </si>
  <si>
    <t>263132</t>
  </si>
  <si>
    <t>CPaSS割引</t>
  </si>
  <si>
    <t>261264</t>
  </si>
  <si>
    <t>EU割増 円/kg</t>
  </si>
  <si>
    <t>EU H/M割引</t>
  </si>
  <si>
    <t>割増最低 円</t>
  </si>
  <si>
    <t>91577</t>
  </si>
  <si>
    <t>182171</t>
  </si>
  <si>
    <t>EU割増金</t>
  </si>
  <si>
    <t>263130</t>
  </si>
  <si>
    <t>EU燃油</t>
  </si>
  <si>
    <t>EU送料計</t>
  </si>
  <si>
    <t>US郵便番号（任意）</t>
  </si>
  <si>
    <t>261265</t>
  </si>
  <si>
    <t>US本土48州以外（円）</t>
  </si>
  <si>
    <t>91578</t>
  </si>
  <si>
    <t>16221</t>
  </si>
  <si>
    <t>178920</t>
  </si>
  <si>
    <t>63589</t>
  </si>
  <si>
    <t>91579</t>
  </si>
  <si>
    <t>181283</t>
  </si>
  <si>
    <t>263065</t>
  </si>
  <si>
    <t>261266</t>
  </si>
  <si>
    <t>91580</t>
  </si>
  <si>
    <t>10177</t>
  </si>
  <si>
    <t>263067</t>
  </si>
  <si>
    <t>162913</t>
  </si>
  <si>
    <t>91581</t>
  </si>
  <si>
    <t>101567</t>
  </si>
  <si>
    <t>178927</t>
  </si>
  <si>
    <t>171166</t>
  </si>
  <si>
    <t>91583</t>
  </si>
  <si>
    <t>261870</t>
  </si>
  <si>
    <t>263066</t>
  </si>
  <si>
    <t>261267</t>
  </si>
  <si>
    <t>93831</t>
  </si>
  <si>
    <t>181284</t>
  </si>
  <si>
    <t>263071</t>
  </si>
  <si>
    <t>261581</t>
  </si>
  <si>
    <t>98957</t>
  </si>
  <si>
    <t>181285</t>
  </si>
  <si>
    <t>178931</t>
  </si>
  <si>
    <t>261584</t>
  </si>
  <si>
    <t>101763</t>
  </si>
  <si>
    <t>16223</t>
  </si>
  <si>
    <t>262986</t>
  </si>
  <si>
    <t>261585</t>
  </si>
  <si>
    <t>111852</t>
  </si>
  <si>
    <t>10179</t>
  </si>
  <si>
    <t>263073</t>
  </si>
  <si>
    <t>261586</t>
  </si>
  <si>
    <t>111853</t>
  </si>
  <si>
    <t>261871</t>
  </si>
  <si>
    <t>263069</t>
  </si>
  <si>
    <t>261587</t>
  </si>
  <si>
    <t>111854</t>
  </si>
  <si>
    <t>181286</t>
  </si>
  <si>
    <t>263074</t>
  </si>
  <si>
    <t>22422</t>
  </si>
  <si>
    <t>111855</t>
  </si>
  <si>
    <t>181287</t>
  </si>
  <si>
    <t>263070</t>
  </si>
  <si>
    <t>23048</t>
  </si>
  <si>
    <t>111856</t>
  </si>
  <si>
    <t>181288</t>
  </si>
  <si>
    <t>263068</t>
  </si>
  <si>
    <t>98448</t>
  </si>
  <si>
    <t>111857</t>
  </si>
  <si>
    <t>181289</t>
  </si>
  <si>
    <t>178932</t>
  </si>
  <si>
    <t>98450</t>
  </si>
  <si>
    <t>111861</t>
  </si>
  <si>
    <t>181290</t>
  </si>
  <si>
    <t>263064</t>
  </si>
  <si>
    <t>98462</t>
  </si>
  <si>
    <t>123783</t>
  </si>
  <si>
    <t>181291</t>
  </si>
  <si>
    <t>263072</t>
  </si>
  <si>
    <t>184438</t>
  </si>
  <si>
    <t>123784</t>
  </si>
  <si>
    <t>112677</t>
  </si>
  <si>
    <t>263075</t>
  </si>
  <si>
    <t>98452</t>
  </si>
  <si>
    <t>123785</t>
  </si>
  <si>
    <t>16224</t>
  </si>
  <si>
    <t>263104</t>
  </si>
  <si>
    <t>184439</t>
  </si>
  <si>
    <t>123786</t>
  </si>
  <si>
    <t>10178</t>
  </si>
  <si>
    <t>263105</t>
  </si>
  <si>
    <t>63595</t>
  </si>
  <si>
    <t>123787</t>
  </si>
  <si>
    <t>16222</t>
  </si>
  <si>
    <t>263106</t>
  </si>
  <si>
    <t>98454</t>
  </si>
  <si>
    <t>123788</t>
  </si>
  <si>
    <t>16225</t>
  </si>
  <si>
    <t>263107</t>
  </si>
  <si>
    <t>37964</t>
  </si>
  <si>
    <t>123789</t>
  </si>
  <si>
    <t>38107</t>
  </si>
  <si>
    <t>263110</t>
  </si>
  <si>
    <t>151725</t>
  </si>
  <si>
    <t>123790</t>
  </si>
  <si>
    <t>623</t>
  </si>
  <si>
    <t>263108</t>
  </si>
  <si>
    <t>179654</t>
  </si>
  <si>
    <t>123791</t>
  </si>
  <si>
    <t>182164</t>
  </si>
  <si>
    <t>263109</t>
  </si>
  <si>
    <t>98464</t>
  </si>
  <si>
    <t>123792</t>
  </si>
  <si>
    <t>182165</t>
  </si>
  <si>
    <t>263135</t>
  </si>
  <si>
    <t>98468</t>
  </si>
  <si>
    <t>123793</t>
  </si>
  <si>
    <t>182168</t>
  </si>
  <si>
    <t>263136</t>
  </si>
  <si>
    <t>98466</t>
  </si>
  <si>
    <t>123794</t>
  </si>
  <si>
    <t>182172</t>
  </si>
  <si>
    <t>263140</t>
  </si>
  <si>
    <t>63615</t>
  </si>
  <si>
    <t>123795</t>
  </si>
  <si>
    <t>181158</t>
  </si>
  <si>
    <t>263137</t>
  </si>
  <si>
    <t>63617</t>
  </si>
  <si>
    <t>123796</t>
  </si>
  <si>
    <t>181159</t>
  </si>
  <si>
    <t>263138</t>
  </si>
  <si>
    <t>37968</t>
  </si>
  <si>
    <t>123797</t>
  </si>
  <si>
    <t>159946</t>
  </si>
  <si>
    <t>263139</t>
  </si>
  <si>
    <t>163090</t>
  </si>
  <si>
    <t>123798</t>
  </si>
  <si>
    <t>181156</t>
  </si>
  <si>
    <t>263180</t>
  </si>
  <si>
    <t>63616</t>
  </si>
  <si>
    <t>123799</t>
  </si>
  <si>
    <t>118977</t>
  </si>
  <si>
    <t>263183</t>
  </si>
  <si>
    <t>163082</t>
  </si>
  <si>
    <t>123800</t>
  </si>
  <si>
    <t>181161</t>
  </si>
  <si>
    <t>263182</t>
  </si>
  <si>
    <t>184484</t>
  </si>
  <si>
    <t>123801</t>
  </si>
  <si>
    <t>181157</t>
  </si>
  <si>
    <t>263181</t>
  </si>
  <si>
    <t>163084</t>
  </si>
  <si>
    <t>123802</t>
  </si>
  <si>
    <t>118976</t>
  </si>
  <si>
    <t>43984</t>
  </si>
  <si>
    <t>37966</t>
  </si>
  <si>
    <t>123803</t>
  </si>
  <si>
    <t>118975</t>
  </si>
  <si>
    <t>178921</t>
  </si>
  <si>
    <t>37967</t>
  </si>
  <si>
    <t>123804</t>
  </si>
  <si>
    <t>181160</t>
  </si>
  <si>
    <t>263441</t>
  </si>
  <si>
    <t>184485</t>
  </si>
  <si>
    <t>127351</t>
  </si>
  <si>
    <t>181169</t>
  </si>
  <si>
    <t>263442</t>
  </si>
  <si>
    <t>156318</t>
  </si>
  <si>
    <t>127352</t>
  </si>
  <si>
    <t>118979</t>
  </si>
  <si>
    <t>263461</t>
  </si>
  <si>
    <t>37969</t>
  </si>
  <si>
    <t>127353</t>
  </si>
  <si>
    <t>118984</t>
  </si>
  <si>
    <t>263455</t>
  </si>
  <si>
    <t>163083</t>
  </si>
  <si>
    <t>127354</t>
  </si>
  <si>
    <t>181167</t>
  </si>
  <si>
    <t>263456</t>
  </si>
  <si>
    <t>37971</t>
  </si>
  <si>
    <t>127399</t>
  </si>
  <si>
    <t>181164</t>
  </si>
  <si>
    <t>263457</t>
  </si>
  <si>
    <t>163085</t>
  </si>
  <si>
    <t>127400</t>
  </si>
  <si>
    <t>118985</t>
  </si>
  <si>
    <t>263458</t>
  </si>
  <si>
    <t>163086</t>
  </si>
  <si>
    <t>127405</t>
  </si>
  <si>
    <t>118983</t>
  </si>
  <si>
    <t>263459</t>
  </si>
  <si>
    <t>63618</t>
  </si>
  <si>
    <t>127410</t>
  </si>
  <si>
    <t>181166</t>
  </si>
  <si>
    <t>263460</t>
  </si>
  <si>
    <t>171175</t>
  </si>
  <si>
    <t>127413</t>
  </si>
  <si>
    <t>118994</t>
  </si>
  <si>
    <t>263454</t>
  </si>
  <si>
    <t>163087</t>
  </si>
  <si>
    <t>127414</t>
  </si>
  <si>
    <t>181168</t>
  </si>
  <si>
    <t>263462</t>
  </si>
  <si>
    <t>163088</t>
  </si>
  <si>
    <t>127417</t>
  </si>
  <si>
    <t>181165</t>
  </si>
  <si>
    <t>263463</t>
  </si>
  <si>
    <t>156319</t>
  </si>
  <si>
    <t>127418</t>
  </si>
  <si>
    <t>181171</t>
  </si>
  <si>
    <t>263466</t>
  </si>
  <si>
    <t>63619</t>
  </si>
  <si>
    <t>127419</t>
  </si>
  <si>
    <t>181173</t>
  </si>
  <si>
    <t>263465</t>
  </si>
  <si>
    <t>163089</t>
  </si>
  <si>
    <t>127420</t>
  </si>
  <si>
    <t>181174</t>
  </si>
  <si>
    <t>263444</t>
  </si>
  <si>
    <t>37972</t>
  </si>
  <si>
    <t>127421</t>
  </si>
  <si>
    <t>181177</t>
  </si>
  <si>
    <t>263445</t>
  </si>
  <si>
    <t>37973</t>
  </si>
  <si>
    <t>127422</t>
  </si>
  <si>
    <t>181175</t>
  </si>
  <si>
    <t>263446</t>
  </si>
  <si>
    <t>37970</t>
  </si>
  <si>
    <t>127423</t>
  </si>
  <si>
    <t>181176</t>
  </si>
  <si>
    <t>263447</t>
  </si>
  <si>
    <t>66638</t>
  </si>
  <si>
    <t>127424</t>
  </si>
  <si>
    <t>181179</t>
  </si>
  <si>
    <t>263448</t>
  </si>
  <si>
    <t>163092</t>
  </si>
  <si>
    <t>127425</t>
  </si>
  <si>
    <t>181185</t>
  </si>
  <si>
    <t>99485</t>
  </si>
  <si>
    <t>163093</t>
  </si>
  <si>
    <t>127426</t>
  </si>
  <si>
    <t>181183</t>
  </si>
  <si>
    <t>263449</t>
  </si>
  <si>
    <t>163094</t>
  </si>
  <si>
    <t>128302</t>
  </si>
  <si>
    <t>181181</t>
  </si>
  <si>
    <t>263450</t>
  </si>
  <si>
    <t>163095</t>
  </si>
  <si>
    <t>128308</t>
  </si>
  <si>
    <t>181184</t>
  </si>
  <si>
    <t>263451</t>
  </si>
  <si>
    <t>163096</t>
  </si>
  <si>
    <t>139771</t>
  </si>
  <si>
    <t>181182</t>
  </si>
  <si>
    <t>263452</t>
  </si>
  <si>
    <t>163100</t>
  </si>
  <si>
    <t>139772</t>
  </si>
  <si>
    <t>181190</t>
  </si>
  <si>
    <t>263470</t>
  </si>
  <si>
    <t>163097</t>
  </si>
  <si>
    <t>139773</t>
  </si>
  <si>
    <t>181189</t>
  </si>
  <si>
    <t>263469</t>
  </si>
  <si>
    <t>163098</t>
  </si>
  <si>
    <t>139774</t>
  </si>
  <si>
    <t>181188</t>
  </si>
  <si>
    <t>263468</t>
  </si>
  <si>
    <t>163099</t>
  </si>
  <si>
    <t>139775</t>
  </si>
  <si>
    <t>181192</t>
  </si>
  <si>
    <t>43982</t>
  </si>
  <si>
    <t>156320</t>
  </si>
  <si>
    <t>139776</t>
  </si>
  <si>
    <t>182214</t>
  </si>
  <si>
    <t>263056</t>
  </si>
  <si>
    <t>37975</t>
  </si>
  <si>
    <t>139777</t>
  </si>
  <si>
    <t>181194</t>
  </si>
  <si>
    <t>263057</t>
  </si>
  <si>
    <t>156322</t>
  </si>
  <si>
    <t>139778</t>
  </si>
  <si>
    <t>181211</t>
  </si>
  <si>
    <t>263044</t>
  </si>
  <si>
    <t>37976</t>
  </si>
  <si>
    <t>139779</t>
  </si>
  <si>
    <t>181213</t>
  </si>
  <si>
    <t>263052</t>
  </si>
  <si>
    <t>171176</t>
  </si>
  <si>
    <t>139780</t>
  </si>
  <si>
    <t>181195</t>
  </si>
  <si>
    <t>263053</t>
  </si>
  <si>
    <t>156321</t>
  </si>
  <si>
    <t>139781</t>
  </si>
  <si>
    <t>181201</t>
  </si>
  <si>
    <t>263051</t>
  </si>
  <si>
    <t>181727</t>
  </si>
  <si>
    <t>139782</t>
  </si>
  <si>
    <t>182215</t>
  </si>
  <si>
    <t>263054</t>
  </si>
  <si>
    <t>37977</t>
  </si>
  <si>
    <t>139783</t>
  </si>
  <si>
    <t>181199</t>
  </si>
  <si>
    <t>263055</t>
  </si>
  <si>
    <t>12</t>
  </si>
  <si>
    <t>139784</t>
  </si>
  <si>
    <t>181197</t>
  </si>
  <si>
    <t>263049</t>
  </si>
  <si>
    <t>1217</t>
  </si>
  <si>
    <t>139785</t>
  </si>
  <si>
    <t>178895</t>
  </si>
  <si>
    <t>38629</t>
  </si>
  <si>
    <t>163102</t>
  </si>
  <si>
    <t>139786</t>
  </si>
  <si>
    <t>159954</t>
  </si>
  <si>
    <t>90973</t>
  </si>
  <si>
    <t>163105</t>
  </si>
  <si>
    <t>139787</t>
  </si>
  <si>
    <t>181198</t>
  </si>
  <si>
    <t>90974</t>
  </si>
  <si>
    <t>163104</t>
  </si>
  <si>
    <t>139788</t>
  </si>
  <si>
    <t>181261</t>
  </si>
  <si>
    <t>90975</t>
  </si>
  <si>
    <t>37978</t>
  </si>
  <si>
    <t>139789</t>
  </si>
  <si>
    <t>181262</t>
  </si>
  <si>
    <t>90976</t>
  </si>
  <si>
    <t>163023</t>
  </si>
  <si>
    <t>139790</t>
  </si>
  <si>
    <t>119024</t>
  </si>
  <si>
    <t>90977</t>
  </si>
  <si>
    <t>163024</t>
  </si>
  <si>
    <t>139791</t>
  </si>
  <si>
    <t>181263</t>
  </si>
  <si>
    <t>90978</t>
  </si>
  <si>
    <t>163026</t>
  </si>
  <si>
    <t>139792</t>
  </si>
  <si>
    <t>181264</t>
  </si>
  <si>
    <t>90979</t>
  </si>
  <si>
    <t>163025</t>
  </si>
  <si>
    <t>139793</t>
  </si>
  <si>
    <t>181265</t>
  </si>
  <si>
    <t>26436</t>
  </si>
  <si>
    <t>163027</t>
  </si>
  <si>
    <t>139794</t>
  </si>
  <si>
    <t>119025</t>
  </si>
  <si>
    <t>90980</t>
  </si>
  <si>
    <t>163028</t>
  </si>
  <si>
    <t>139795</t>
  </si>
  <si>
    <t>181257</t>
  </si>
  <si>
    <t>171103</t>
  </si>
  <si>
    <t>US適用ゾーン</t>
  </si>
  <si>
    <t>163030</t>
  </si>
  <si>
    <t>139796</t>
  </si>
  <si>
    <t>181256</t>
  </si>
  <si>
    <t>26437</t>
  </si>
  <si>
    <t>1210</t>
  </si>
  <si>
    <t>139797</t>
  </si>
  <si>
    <t>181258</t>
  </si>
  <si>
    <t>26438</t>
  </si>
  <si>
    <t>4069</t>
  </si>
  <si>
    <t>145824</t>
  </si>
  <si>
    <t>119026</t>
  </si>
  <si>
    <t>26442</t>
  </si>
  <si>
    <t>163031</t>
  </si>
  <si>
    <t>145825</t>
  </si>
  <si>
    <t>119027</t>
  </si>
  <si>
    <t>26439</t>
  </si>
  <si>
    <t>163032</t>
  </si>
  <si>
    <t>145826</t>
  </si>
  <si>
    <t>182217</t>
  </si>
  <si>
    <t>26440</t>
  </si>
  <si>
    <t>163033</t>
  </si>
  <si>
    <t>145827</t>
  </si>
  <si>
    <t>181204</t>
  </si>
  <si>
    <t>26441</t>
  </si>
  <si>
    <t>170063</t>
  </si>
  <si>
    <t>145828</t>
  </si>
  <si>
    <t>119029</t>
  </si>
  <si>
    <t>26447</t>
  </si>
  <si>
    <t>163034</t>
  </si>
  <si>
    <t>145829</t>
  </si>
  <si>
    <t>181205</t>
  </si>
  <si>
    <t>177668</t>
  </si>
  <si>
    <t>20095</t>
  </si>
  <si>
    <t>145831</t>
  </si>
  <si>
    <t>181206</t>
  </si>
  <si>
    <t>26451</t>
  </si>
  <si>
    <t>171167</t>
  </si>
  <si>
    <t>145832</t>
  </si>
  <si>
    <t>181207</t>
  </si>
  <si>
    <t>124102</t>
  </si>
  <si>
    <t>163036</t>
  </si>
  <si>
    <t>145833</t>
  </si>
  <si>
    <t>181208</t>
  </si>
  <si>
    <t>26450</t>
  </si>
  <si>
    <t>163037</t>
  </si>
  <si>
    <t>145834</t>
  </si>
  <si>
    <t>119030</t>
  </si>
  <si>
    <t>119142</t>
  </si>
  <si>
    <t>361</t>
  </si>
  <si>
    <t>145835</t>
  </si>
  <si>
    <t>181212</t>
  </si>
  <si>
    <t>124103</t>
  </si>
  <si>
    <t>156324</t>
  </si>
  <si>
    <t>145836</t>
  </si>
  <si>
    <t>119095</t>
  </si>
  <si>
    <t>26446</t>
  </si>
  <si>
    <t>156325</t>
  </si>
  <si>
    <t>145837</t>
  </si>
  <si>
    <t>181214</t>
  </si>
  <si>
    <t>50443</t>
  </si>
  <si>
    <t>156326</t>
  </si>
  <si>
    <t>145838</t>
  </si>
  <si>
    <t>181215</t>
  </si>
  <si>
    <t>適用日</t>
  </si>
  <si>
    <t>31283</t>
  </si>
  <si>
    <t>552</t>
  </si>
  <si>
    <t>145839</t>
  </si>
  <si>
    <t>181216</t>
  </si>
  <si>
    <t>26448</t>
  </si>
  <si>
    <t>551</t>
  </si>
  <si>
    <t>サーチャージ</t>
  </si>
  <si>
    <t>145840</t>
  </si>
  <si>
    <t>181218</t>
  </si>
  <si>
    <t>50437</t>
  </si>
  <si>
    <t>553</t>
  </si>
  <si>
    <t>145841</t>
  </si>
  <si>
    <t>182216</t>
  </si>
  <si>
    <t>31278</t>
  </si>
  <si>
    <t>554</t>
  </si>
  <si>
    <t>US料金ゾーン</t>
  </si>
  <si>
    <t>145842</t>
  </si>
  <si>
    <t>52555</t>
  </si>
  <si>
    <t>31277</t>
  </si>
  <si>
    <t>360</t>
  </si>
  <si>
    <t>146901</t>
  </si>
  <si>
    <t>E（西部）</t>
  </si>
  <si>
    <t>182154</t>
  </si>
  <si>
    <t>38630</t>
  </si>
  <si>
    <t>課金重量（g）</t>
  </si>
  <si>
    <t>1215</t>
  </si>
  <si>
    <t>150924</t>
  </si>
  <si>
    <t>182155</t>
  </si>
  <si>
    <t>38631</t>
  </si>
  <si>
    <t>1216</t>
  </si>
  <si>
    <t>162054</t>
  </si>
  <si>
    <t>261878</t>
  </si>
  <si>
    <t>26444</t>
  </si>
  <si>
    <t>162184</t>
  </si>
  <si>
    <t>162057</t>
  </si>
  <si>
    <t>182161</t>
  </si>
  <si>
    <t>31276</t>
  </si>
  <si>
    <t>20097</t>
  </si>
  <si>
    <t>162058</t>
  </si>
  <si>
    <t>261879</t>
  </si>
  <si>
    <t>31275</t>
  </si>
  <si>
    <t>20098</t>
  </si>
  <si>
    <t>EU料金ゾーン</t>
  </si>
  <si>
    <t>162059</t>
  </si>
  <si>
    <t>182159</t>
  </si>
  <si>
    <t>177689</t>
  </si>
  <si>
    <t>US地域外配達料</t>
  </si>
  <si>
    <t>20099</t>
  </si>
  <si>
    <t>162062</t>
  </si>
  <si>
    <t>182160</t>
  </si>
  <si>
    <t>50441</t>
  </si>
  <si>
    <t>20103</t>
  </si>
  <si>
    <t>162063</t>
  </si>
  <si>
    <t>16227</t>
  </si>
  <si>
    <t>50442</t>
  </si>
  <si>
    <t>20104</t>
  </si>
  <si>
    <t>162064</t>
  </si>
  <si>
    <t>47096</t>
  </si>
  <si>
    <t>177690</t>
  </si>
  <si>
    <t>20413</t>
  </si>
  <si>
    <t>162065</t>
  </si>
  <si>
    <t>10183</t>
  </si>
  <si>
    <t>31285</t>
  </si>
  <si>
    <t>20434</t>
  </si>
  <si>
    <t>162066</t>
  </si>
  <si>
    <t>112678</t>
  </si>
  <si>
    <t>31284</t>
  </si>
  <si>
    <t>20435</t>
  </si>
  <si>
    <t>162067</t>
  </si>
  <si>
    <t>16229</t>
  </si>
  <si>
    <t>31286</t>
  </si>
  <si>
    <t>EU地域外配達料</t>
  </si>
  <si>
    <t>28009</t>
  </si>
  <si>
    <t>162068</t>
  </si>
  <si>
    <t>16230</t>
  </si>
  <si>
    <t>177691</t>
  </si>
  <si>
    <t>2990</t>
  </si>
  <si>
    <t>162069</t>
  </si>
  <si>
    <t>16231</t>
  </si>
  <si>
    <t>124104</t>
  </si>
  <si>
    <t>2988</t>
  </si>
  <si>
    <t>162070</t>
  </si>
  <si>
    <t>16226</t>
  </si>
  <si>
    <t>171104</t>
  </si>
  <si>
    <t>117027</t>
  </si>
  <si>
    <t>162074</t>
  </si>
  <si>
    <t>90849</t>
  </si>
  <si>
    <t>124106</t>
  </si>
  <si>
    <t>117032</t>
  </si>
  <si>
    <t>166764</t>
  </si>
  <si>
    <t>181271</t>
  </si>
  <si>
    <t>177692</t>
  </si>
  <si>
    <t>117033</t>
  </si>
  <si>
    <t>166766</t>
  </si>
  <si>
    <t>181272</t>
  </si>
  <si>
    <t>Cpass割引</t>
  </si>
  <si>
    <t>184479</t>
  </si>
  <si>
    <t>117034</t>
  </si>
  <si>
    <t>梱包</t>
  </si>
  <si>
    <t>166767</t>
  </si>
  <si>
    <t>181273</t>
  </si>
  <si>
    <t>123703</t>
  </si>
  <si>
    <t>134282</t>
  </si>
  <si>
    <t>独自梱包</t>
  </si>
  <si>
    <t>非標準貨物割増</t>
  </si>
  <si>
    <t>166768</t>
  </si>
  <si>
    <t>47078</t>
  </si>
  <si>
    <t>38632</t>
  </si>
  <si>
    <t>134764</t>
  </si>
  <si>
    <t>166769</t>
  </si>
  <si>
    <t>181275</t>
  </si>
  <si>
    <t>26455</t>
  </si>
  <si>
    <t>151727</t>
  </si>
  <si>
    <t>166770</t>
  </si>
  <si>
    <t>181276</t>
  </si>
  <si>
    <t>177672</t>
  </si>
  <si>
    <t>151728</t>
  </si>
  <si>
    <t>166772</t>
  </si>
  <si>
    <t>261877</t>
  </si>
  <si>
    <t>177669</t>
  </si>
  <si>
    <t>151729</t>
  </si>
  <si>
    <t>166774</t>
  </si>
  <si>
    <t>178976</t>
  </si>
  <si>
    <t>177671</t>
  </si>
  <si>
    <t>151730</t>
  </si>
  <si>
    <t>166775</t>
  </si>
  <si>
    <t>181277</t>
  </si>
  <si>
    <t>177670</t>
  </si>
  <si>
    <t>151732</t>
  </si>
  <si>
    <t>166776</t>
  </si>
  <si>
    <t>180017</t>
  </si>
  <si>
    <t>177674</t>
  </si>
  <si>
    <t>151733</t>
  </si>
  <si>
    <t>166777</t>
  </si>
  <si>
    <t>181278</t>
  </si>
  <si>
    <t>177675</t>
  </si>
  <si>
    <t>151735</t>
  </si>
  <si>
    <t>US燃油対象額</t>
  </si>
  <si>
    <t>166778</t>
  </si>
  <si>
    <t>181279</t>
  </si>
  <si>
    <t>177676</t>
  </si>
  <si>
    <t>151736</t>
  </si>
  <si>
    <t>166779</t>
  </si>
  <si>
    <t>91502</t>
  </si>
  <si>
    <t>177677</t>
  </si>
  <si>
    <t>151737</t>
  </si>
  <si>
    <t>特別取扱料（円）</t>
  </si>
  <si>
    <t>166780</t>
  </si>
  <si>
    <t>624</t>
  </si>
  <si>
    <t>177678</t>
  </si>
  <si>
    <t>156327</t>
  </si>
  <si>
    <t>166781</t>
  </si>
  <si>
    <t>261881</t>
  </si>
  <si>
    <t>177679</t>
  </si>
  <si>
    <t>156328</t>
  </si>
  <si>
    <t>166782</t>
  </si>
  <si>
    <t>261882</t>
  </si>
  <si>
    <t>177680</t>
  </si>
  <si>
    <t>156329</t>
  </si>
  <si>
    <t>168200</t>
  </si>
  <si>
    <t>182156</t>
  </si>
  <si>
    <t>177686</t>
  </si>
  <si>
    <t>156330</t>
  </si>
  <si>
    <t>168201</t>
  </si>
  <si>
    <t>182157</t>
  </si>
  <si>
    <t>177683</t>
  </si>
  <si>
    <t>156331</t>
  </si>
  <si>
    <t>168202</t>
  </si>
  <si>
    <t>261883</t>
  </si>
  <si>
    <t>177684</t>
  </si>
  <si>
    <t>156332</t>
  </si>
  <si>
    <t>168205</t>
  </si>
  <si>
    <t>261884</t>
  </si>
  <si>
    <t>177682</t>
  </si>
  <si>
    <t>156333</t>
  </si>
  <si>
    <t>168207</t>
  </si>
  <si>
    <t>182158</t>
  </si>
  <si>
    <t>177688</t>
  </si>
  <si>
    <t>156334</t>
  </si>
  <si>
    <t>168208</t>
  </si>
  <si>
    <t>181222</t>
  </si>
  <si>
    <t>177681</t>
  </si>
  <si>
    <t>156335</t>
  </si>
  <si>
    <t>169978</t>
  </si>
  <si>
    <t>177685</t>
  </si>
  <si>
    <t>156196</t>
  </si>
  <si>
    <t>170137</t>
  </si>
  <si>
    <t>177687</t>
  </si>
  <si>
    <t>163048</t>
  </si>
  <si>
    <t>170608</t>
  </si>
  <si>
    <t>26449</t>
  </si>
  <si>
    <t>163049</t>
  </si>
  <si>
    <t>179325</t>
  </si>
  <si>
    <t>26456</t>
  </si>
  <si>
    <t>163050</t>
  </si>
  <si>
    <t>179326</t>
  </si>
  <si>
    <t>31281</t>
  </si>
  <si>
    <t>163051</t>
  </si>
  <si>
    <t>179327</t>
  </si>
  <si>
    <t>181463</t>
  </si>
  <si>
    <t>163052</t>
  </si>
  <si>
    <t>179328</t>
  </si>
  <si>
    <t>181464</t>
  </si>
  <si>
    <t>163053</t>
  </si>
  <si>
    <t>179329</t>
  </si>
  <si>
    <t>36655</t>
  </si>
  <si>
    <t>163054</t>
  </si>
  <si>
    <t>179330</t>
  </si>
  <si>
    <t>181462</t>
  </si>
  <si>
    <t>163055</t>
  </si>
  <si>
    <t>179331</t>
  </si>
  <si>
    <t>177712</t>
  </si>
  <si>
    <t>163056</t>
  </si>
  <si>
    <t>179332</t>
  </si>
  <si>
    <t>177716</t>
  </si>
  <si>
    <t>163106</t>
  </si>
  <si>
    <t>179333</t>
  </si>
  <si>
    <t>177717</t>
  </si>
  <si>
    <t>163271</t>
  </si>
  <si>
    <t>179334</t>
  </si>
  <si>
    <t>177714</t>
  </si>
  <si>
    <t>163272</t>
  </si>
  <si>
    <t>179335</t>
  </si>
  <si>
    <t>177715</t>
  </si>
  <si>
    <t>163273</t>
  </si>
  <si>
    <t>179336</t>
  </si>
  <si>
    <t>177718</t>
  </si>
  <si>
    <t>167949</t>
  </si>
  <si>
    <t>179337</t>
  </si>
  <si>
    <t>177719</t>
  </si>
  <si>
    <t>167950</t>
  </si>
  <si>
    <t>179338</t>
  </si>
  <si>
    <t>177720</t>
  </si>
  <si>
    <t>169269</t>
  </si>
  <si>
    <t>EU燃油対象額</t>
  </si>
  <si>
    <t>179339</t>
  </si>
  <si>
    <t>177721</t>
  </si>
  <si>
    <t>171168</t>
  </si>
  <si>
    <t>179340</t>
  </si>
  <si>
    <t>177722</t>
  </si>
  <si>
    <t>171177</t>
  </si>
  <si>
    <t>179341</t>
  </si>
  <si>
    <t>177723</t>
  </si>
  <si>
    <t>169270</t>
  </si>
  <si>
    <t>179342</t>
  </si>
  <si>
    <t>177724</t>
  </si>
  <si>
    <t>113310</t>
  </si>
  <si>
    <t>送料計</t>
  </si>
  <si>
    <t>179343</t>
  </si>
  <si>
    <t>177727</t>
  </si>
  <si>
    <t>US地域外配達</t>
  </si>
  <si>
    <t>105886</t>
  </si>
  <si>
    <t>179344</t>
  </si>
  <si>
    <t>177726</t>
  </si>
  <si>
    <t>通常</t>
  </si>
  <si>
    <t>105889</t>
  </si>
  <si>
    <t>特別取扱（梱包）</t>
  </si>
  <si>
    <t>179345</t>
  </si>
  <si>
    <t>177725</t>
  </si>
  <si>
    <t>105894</t>
  </si>
  <si>
    <t>179346</t>
  </si>
  <si>
    <t>177730</t>
  </si>
  <si>
    <t>105896</t>
  </si>
  <si>
    <t>179347</t>
  </si>
  <si>
    <t>177728</t>
  </si>
  <si>
    <t>105899</t>
  </si>
  <si>
    <t>179348</t>
  </si>
  <si>
    <t>177729</t>
  </si>
  <si>
    <t>105900</t>
  </si>
  <si>
    <t>179349</t>
  </si>
  <si>
    <t>178949</t>
  </si>
  <si>
    <t>105908</t>
  </si>
  <si>
    <t>179350</t>
  </si>
  <si>
    <t>171106</t>
  </si>
  <si>
    <t>EU地域外配達</t>
  </si>
  <si>
    <t>105911</t>
  </si>
  <si>
    <t>179351</t>
  </si>
  <si>
    <t>梱包最低重量（g）</t>
  </si>
  <si>
    <t>124105</t>
  </si>
  <si>
    <t>105914</t>
  </si>
  <si>
    <t>179352</t>
  </si>
  <si>
    <t>262060</t>
  </si>
  <si>
    <t>107440</t>
  </si>
  <si>
    <t>179353</t>
  </si>
  <si>
    <t>262061</t>
  </si>
  <si>
    <t>107441</t>
  </si>
  <si>
    <t>179354</t>
  </si>
  <si>
    <t>262063</t>
  </si>
  <si>
    <t>179355</t>
  </si>
  <si>
    <t>262062</t>
  </si>
  <si>
    <t>179356</t>
  </si>
  <si>
    <t>262066</t>
  </si>
  <si>
    <t>割増：FedEx公式2026-09-21版。FICPはPriority：US242円/kg、EU200円/kg。</t>
  </si>
  <si>
    <t>179357</t>
  </si>
  <si>
    <t>注意:</t>
  </si>
  <si>
    <t>262065</t>
  </si>
  <si>
    <t>H/M割引50%：9/21～11/1。非標準貨物割増770円は3/31まで100%割引。</t>
  </si>
  <si>
    <t>郵便番号が空欄ならK5のゾーンを使用。</t>
  </si>
  <si>
    <t>FedEx FICP 2026-10-01版：12～15・38～41頁。USゾーンE/F、EUゾーンH/I/M。</t>
  </si>
  <si>
    <t>179358</t>
  </si>
  <si>
    <t>38728</t>
  </si>
  <si>
    <t>地域外区分は配送先の該当区分を選択。</t>
  </si>
  <si>
    <t>燃油D3：2026-10-05～11の公表値51.25%。手動変更可。割増・対象追加送料にも適用。</t>
  </si>
  <si>
    <t>179359</t>
  </si>
  <si>
    <t>FICPのPak／Envelopeは荷物用重量料金。</t>
  </si>
  <si>
    <t>262067</t>
  </si>
  <si>
    <t>https://www.fedex.com/ja-jp/shipping/surcharges/demand-surcharge.html</t>
  </si>
  <si>
    <t>出典：SpeedPAK FedExガイド4・12～15・38～41頁。</t>
  </si>
  <si>
    <t>179360</t>
  </si>
  <si>
    <t>262069</t>
  </si>
  <si>
    <t>基本料金単位：円</t>
  </si>
  <si>
    <t>179361</t>
  </si>
  <si>
    <t>E</t>
  </si>
  <si>
    <t>184616</t>
  </si>
  <si>
    <t>F</t>
  </si>
  <si>
    <t>H</t>
  </si>
  <si>
    <t>I</t>
  </si>
  <si>
    <t>M</t>
  </si>
  <si>
    <t>寸法・重量条件：fedex-rates-ficp-sur-ja-jp-2026.pdf。2026年の容積基準も適用。</t>
  </si>
  <si>
    <t>燃油：FedEx日本公式の週別燃油データ（2026-10-05～11）。</t>
  </si>
  <si>
    <t>179362</t>
  </si>
  <si>
    <t>量 kg</t>
  </si>
  <si>
    <t>258038</t>
  </si>
  <si>
    <t>量 g</t>
  </si>
  <si>
    <t>179363</t>
  </si>
  <si>
    <t>174593</t>
  </si>
  <si>
    <t>E（US西部）</t>
  </si>
  <si>
    <t>F（US東部）</t>
  </si>
  <si>
    <t>H（EU）</t>
  </si>
  <si>
    <t>179364</t>
  </si>
  <si>
    <t>I（EU）</t>
  </si>
  <si>
    <t>61523</t>
  </si>
  <si>
    <t>M（EU）</t>
  </si>
  <si>
    <t>https://www.fedex.com/ja-jp/shipping/surcharges.html</t>
  </si>
  <si>
    <t>インターナショナルコネクトプラスサービス(FICP)(68 kg以下)</t>
  </si>
  <si>
    <t>179365</t>
  </si>
  <si>
    <t>262068</t>
  </si>
  <si>
    <t>179366</t>
  </si>
  <si>
    <t>43946</t>
  </si>
  <si>
    <t>各辺の小数は整数cmへ切り上げ。実重量・容積重量の大きい方を料金段階へ切り上げ。</t>
  </si>
  <si>
    <t>179367</t>
  </si>
  <si>
    <t>33659</t>
  </si>
  <si>
    <t>179368</t>
  </si>
  <si>
    <t>33557</t>
  </si>
  <si>
    <t>179369</t>
  </si>
  <si>
    <t>33551</t>
  </si>
  <si>
    <t>179370</t>
  </si>
  <si>
    <t>33550</t>
  </si>
  <si>
    <t>161728</t>
  </si>
  <si>
    <t>179371</t>
  </si>
  <si>
    <t>33660</t>
  </si>
  <si>
    <t>261588</t>
  </si>
  <si>
    <t>179372</t>
  </si>
  <si>
    <t>33553</t>
  </si>
  <si>
    <t>39437</t>
  </si>
  <si>
    <t>179373</t>
  </si>
  <si>
    <t>33554</t>
  </si>
  <si>
    <t>39438</t>
  </si>
  <si>
    <t>179374</t>
  </si>
  <si>
    <t>262071</t>
  </si>
  <si>
    <t>39439</t>
  </si>
  <si>
    <t>179375</t>
  </si>
  <si>
    <t>33555</t>
  </si>
  <si>
    <t>39440</t>
  </si>
  <si>
    <t>179376</t>
  </si>
  <si>
    <t>262072</t>
  </si>
  <si>
    <t>39441</t>
  </si>
  <si>
    <t>179377</t>
  </si>
  <si>
    <t>33556</t>
  </si>
  <si>
    <t>39442</t>
  </si>
  <si>
    <t>179378</t>
  </si>
  <si>
    <t>33668</t>
  </si>
  <si>
    <t>39443</t>
  </si>
  <si>
    <t>179379</t>
  </si>
  <si>
    <t>173950</t>
  </si>
  <si>
    <t>63620</t>
  </si>
  <si>
    <t>179380</t>
  </si>
  <si>
    <t>36474</t>
  </si>
  <si>
    <t>63621</t>
  </si>
  <si>
    <t>179381</t>
  </si>
  <si>
    <t>42604</t>
  </si>
  <si>
    <t>63622</t>
  </si>
  <si>
    <t>179382</t>
  </si>
  <si>
    <t>33558</t>
  </si>
  <si>
    <t>63623</t>
  </si>
  <si>
    <t>179383</t>
  </si>
  <si>
    <t>61259</t>
  </si>
  <si>
    <t>37985</t>
  </si>
  <si>
    <t>179384</t>
  </si>
  <si>
    <t>262073</t>
  </si>
  <si>
    <t>37986</t>
  </si>
  <si>
    <t>179385</t>
  </si>
  <si>
    <t>33741</t>
  </si>
  <si>
    <t>37988</t>
  </si>
  <si>
    <t>179386</t>
  </si>
  <si>
    <t>33742</t>
  </si>
  <si>
    <t>37991</t>
  </si>
  <si>
    <t>179387</t>
  </si>
  <si>
    <t>33626</t>
  </si>
  <si>
    <t>37992</t>
  </si>
  <si>
    <t>179388</t>
  </si>
  <si>
    <t>33543</t>
  </si>
  <si>
    <t>37993</t>
  </si>
  <si>
    <t>179389</t>
  </si>
  <si>
    <t>61864</t>
  </si>
  <si>
    <t>37995</t>
  </si>
  <si>
    <t>179390</t>
  </si>
  <si>
    <t>33547</t>
  </si>
  <si>
    <t>37998</t>
  </si>
  <si>
    <t>179391</t>
  </si>
  <si>
    <t>262074</t>
  </si>
  <si>
    <t>117026</t>
  </si>
  <si>
    <t>179392</t>
  </si>
  <si>
    <t>33544</t>
  </si>
  <si>
    <t>162183</t>
  </si>
  <si>
    <t>179393</t>
  </si>
  <si>
    <t>262075</t>
  </si>
  <si>
    <t>134762</t>
  </si>
  <si>
    <t>179394</t>
  </si>
  <si>
    <t>262076</t>
  </si>
  <si>
    <t>184343</t>
  </si>
  <si>
    <t>179395</t>
  </si>
  <si>
    <t>262079</t>
  </si>
  <si>
    <t>20436</t>
  </si>
  <si>
    <t>179396</t>
  </si>
  <si>
    <t>262078</t>
  </si>
  <si>
    <t>117029</t>
  </si>
  <si>
    <t>179397</t>
  </si>
  <si>
    <t>33546</t>
  </si>
  <si>
    <t>73470</t>
  </si>
  <si>
    <t>179398</t>
  </si>
  <si>
    <t>61117</t>
  </si>
  <si>
    <t>134761</t>
  </si>
  <si>
    <t>179399</t>
  </si>
  <si>
    <t>262080</t>
  </si>
  <si>
    <t>117016</t>
  </si>
  <si>
    <t>179400</t>
  </si>
  <si>
    <t>262081</t>
  </si>
  <si>
    <t>162024</t>
  </si>
  <si>
    <t>179401</t>
  </si>
  <si>
    <t>262082</t>
  </si>
  <si>
    <t>113814</t>
  </si>
  <si>
    <t>179402</t>
  </si>
  <si>
    <t>33545</t>
  </si>
  <si>
    <t>100221</t>
  </si>
  <si>
    <t>179403</t>
  </si>
  <si>
    <t>173863</t>
  </si>
  <si>
    <t>134756</t>
  </si>
  <si>
    <t>179404</t>
  </si>
  <si>
    <t>262083</t>
  </si>
  <si>
    <t>45452</t>
  </si>
  <si>
    <t>179405</t>
  </si>
  <si>
    <t>46094</t>
  </si>
  <si>
    <t>45454</t>
  </si>
  <si>
    <t>179406</t>
  </si>
  <si>
    <t>262084</t>
  </si>
  <si>
    <t>82563</t>
  </si>
  <si>
    <t>179407</t>
  </si>
  <si>
    <t>262085</t>
  </si>
  <si>
    <t>20398</t>
  </si>
  <si>
    <t>179408</t>
  </si>
  <si>
    <t>262086</t>
  </si>
  <si>
    <t>45453</t>
  </si>
  <si>
    <t>179409</t>
  </si>
  <si>
    <t>33560</t>
  </si>
  <si>
    <t>179410</t>
  </si>
  <si>
    <t>262088</t>
  </si>
  <si>
    <t>66693</t>
  </si>
  <si>
    <t>179411</t>
  </si>
  <si>
    <t>174021</t>
  </si>
  <si>
    <t>66695</t>
  </si>
  <si>
    <t>179412</t>
  </si>
  <si>
    <t>33568</t>
  </si>
  <si>
    <t>66696</t>
  </si>
  <si>
    <t>179413</t>
  </si>
  <si>
    <t>173511</t>
  </si>
  <si>
    <t>100982</t>
  </si>
  <si>
    <t>33564</t>
  </si>
  <si>
    <t>117017</t>
  </si>
  <si>
    <t>179415</t>
  </si>
  <si>
    <t>33565</t>
  </si>
  <si>
    <t>45456</t>
  </si>
  <si>
    <t>33561</t>
  </si>
  <si>
    <t>66674</t>
  </si>
  <si>
    <t>262087</t>
  </si>
  <si>
    <t>146531</t>
  </si>
  <si>
    <t>174020</t>
  </si>
  <si>
    <t>15558</t>
  </si>
  <si>
    <t>179419</t>
  </si>
  <si>
    <t>57357</t>
  </si>
  <si>
    <t>117018</t>
  </si>
  <si>
    <t>179420</t>
  </si>
  <si>
    <t>262089</t>
  </si>
  <si>
    <t>162036</t>
  </si>
  <si>
    <t>179421</t>
  </si>
  <si>
    <t>61739</t>
  </si>
  <si>
    <t>26267</t>
  </si>
  <si>
    <t>179422</t>
  </si>
  <si>
    <t>33563</t>
  </si>
  <si>
    <t>20397</t>
  </si>
  <si>
    <t>179423</t>
  </si>
  <si>
    <t>33566</t>
  </si>
  <si>
    <t>134758</t>
  </si>
  <si>
    <t>42605</t>
  </si>
  <si>
    <t>15559</t>
  </si>
  <si>
    <t>179425</t>
  </si>
  <si>
    <t>262090</t>
  </si>
  <si>
    <t>20399</t>
  </si>
  <si>
    <t>179426</t>
  </si>
  <si>
    <t>262091</t>
  </si>
  <si>
    <t>100222</t>
  </si>
  <si>
    <t>33571</t>
  </si>
  <si>
    <t>20408</t>
  </si>
  <si>
    <t>262092</t>
  </si>
  <si>
    <t>162034</t>
  </si>
  <si>
    <t>262093</t>
  </si>
  <si>
    <t>134276</t>
  </si>
  <si>
    <t>179430</t>
  </si>
  <si>
    <t>177703</t>
  </si>
  <si>
    <t>20404</t>
  </si>
  <si>
    <t>262096</t>
  </si>
  <si>
    <t>20402</t>
  </si>
  <si>
    <t>262095</t>
  </si>
  <si>
    <t>106777</t>
  </si>
  <si>
    <t>179433</t>
  </si>
  <si>
    <t>262097</t>
  </si>
  <si>
    <t>184345</t>
  </si>
  <si>
    <t>179434</t>
  </si>
  <si>
    <t>262103</t>
  </si>
  <si>
    <t>184346</t>
  </si>
  <si>
    <t>179435</t>
  </si>
  <si>
    <t>262105</t>
  </si>
  <si>
    <t>162035</t>
  </si>
  <si>
    <t>262102</t>
  </si>
  <si>
    <t>106789</t>
  </si>
  <si>
    <t>262104</t>
  </si>
  <si>
    <t>20403</t>
  </si>
  <si>
    <t>179438</t>
  </si>
  <si>
    <t>262106</t>
  </si>
  <si>
    <t>82228</t>
  </si>
  <si>
    <t>177702</t>
  </si>
  <si>
    <t>184347</t>
  </si>
  <si>
    <t>262099</t>
  </si>
  <si>
    <t>184349</t>
  </si>
  <si>
    <t>262100</t>
  </si>
  <si>
    <t>184348</t>
  </si>
  <si>
    <t>177705</t>
  </si>
  <si>
    <t>168751</t>
  </si>
  <si>
    <t>179443</t>
  </si>
  <si>
    <t>177707</t>
  </si>
  <si>
    <t>184350</t>
  </si>
  <si>
    <t>177706</t>
  </si>
  <si>
    <t>23591</t>
  </si>
  <si>
    <t>262110</t>
  </si>
  <si>
    <t>160065</t>
  </si>
  <si>
    <t>262109</t>
  </si>
  <si>
    <t>157253</t>
  </si>
  <si>
    <t>179447</t>
  </si>
  <si>
    <t>262108</t>
  </si>
  <si>
    <t>168752</t>
  </si>
  <si>
    <t>262112</t>
  </si>
  <si>
    <t>184340</t>
  </si>
  <si>
    <t>179449</t>
  </si>
  <si>
    <t>177708</t>
  </si>
  <si>
    <t>106766</t>
  </si>
  <si>
    <t>262113</t>
  </si>
  <si>
    <t>19732</t>
  </si>
  <si>
    <t>179451</t>
  </si>
  <si>
    <t>177709</t>
  </si>
  <si>
    <t>184341</t>
  </si>
  <si>
    <t>262114</t>
  </si>
  <si>
    <t>117386</t>
  </si>
  <si>
    <t>179453</t>
  </si>
  <si>
    <t>262115</t>
  </si>
  <si>
    <t>DHL</t>
  </si>
  <si>
    <t>106776</t>
  </si>
  <si>
    <t>燃油率（参考値）</t>
  </si>
  <si>
    <t>262116</t>
  </si>
  <si>
    <t>117387</t>
  </si>
  <si>
    <t>262117</t>
  </si>
  <si>
    <t>117385</t>
  </si>
  <si>
    <t>179456</t>
  </si>
  <si>
    <t>262118</t>
  </si>
  <si>
    <t>32866</t>
  </si>
  <si>
    <t>179457</t>
  </si>
  <si>
    <t>33601</t>
  </si>
  <si>
    <t>2986</t>
  </si>
  <si>
    <t>燃油割引</t>
  </si>
  <si>
    <t>46095</t>
  </si>
  <si>
    <t>20405</t>
  </si>
  <si>
    <t>US規制料適用</t>
  </si>
  <si>
    <t>US元払い適用</t>
  </si>
  <si>
    <t>174030</t>
  </si>
  <si>
    <t>162032</t>
  </si>
  <si>
    <t>33600</t>
  </si>
  <si>
    <t>32872</t>
  </si>
  <si>
    <t>179461</t>
  </si>
  <si>
    <t>262119</t>
  </si>
  <si>
    <t>121627</t>
  </si>
  <si>
    <t>179462</t>
  </si>
  <si>
    <t>262120</t>
  </si>
  <si>
    <t>117389</t>
  </si>
  <si>
    <t>262121</t>
  </si>
  <si>
    <t>117390</t>
  </si>
  <si>
    <t>179464</t>
  </si>
  <si>
    <t>262122</t>
  </si>
  <si>
    <t>117392</t>
  </si>
  <si>
    <t>179465</t>
  </si>
  <si>
    <t>46096</t>
  </si>
  <si>
    <t>117391</t>
  </si>
  <si>
    <t>179466</t>
  </si>
  <si>
    <t>33602</t>
  </si>
  <si>
    <t>162037</t>
  </si>
  <si>
    <t>262123</t>
  </si>
  <si>
    <t>146532</t>
  </si>
  <si>
    <t>179468</t>
  </si>
  <si>
    <t>33603</t>
  </si>
  <si>
    <t>162038</t>
  </si>
  <si>
    <t>33604</t>
  </si>
  <si>
    <t>180907</t>
  </si>
  <si>
    <t>262124</t>
  </si>
  <si>
    <t>3081</t>
  </si>
  <si>
    <t>33616</t>
  </si>
  <si>
    <t>180905</t>
  </si>
  <si>
    <t>179472</t>
  </si>
  <si>
    <t>33617</t>
  </si>
  <si>
    <t>52345</t>
  </si>
  <si>
    <t>33619</t>
  </si>
  <si>
    <t>180906</t>
  </si>
  <si>
    <t>179474</t>
  </si>
  <si>
    <t>33613</t>
  </si>
  <si>
    <t>134278</t>
  </si>
  <si>
    <t>179475</t>
  </si>
  <si>
    <t>50454</t>
  </si>
  <si>
    <t>18646</t>
  </si>
  <si>
    <t>33620</t>
  </si>
  <si>
    <t>162041</t>
  </si>
  <si>
    <t>179477</t>
  </si>
  <si>
    <t>262125</t>
  </si>
  <si>
    <t>20417</t>
  </si>
  <si>
    <t>179478</t>
  </si>
  <si>
    <t>33615</t>
  </si>
  <si>
    <t>162040</t>
  </si>
  <si>
    <t>262127</t>
  </si>
  <si>
    <t>20421</t>
  </si>
  <si>
    <t>262128</t>
  </si>
  <si>
    <t>124327</t>
  </si>
  <si>
    <t>33665</t>
  </si>
  <si>
    <t>180908</t>
  </si>
  <si>
    <t>179482</t>
  </si>
  <si>
    <t>262129</t>
  </si>
  <si>
    <t>180909</t>
  </si>
  <si>
    <t>179483</t>
  </si>
  <si>
    <t>33622</t>
  </si>
  <si>
    <t>100989</t>
  </si>
  <si>
    <t>179484</t>
  </si>
  <si>
    <t>33661</t>
  </si>
  <si>
    <t>117398</t>
  </si>
  <si>
    <t>38657</t>
  </si>
  <si>
    <t>20428</t>
  </si>
  <si>
    <t>6778</t>
  </si>
  <si>
    <t>37632</t>
  </si>
  <si>
    <t>179487</t>
  </si>
  <si>
    <t>61304</t>
  </si>
  <si>
    <t>20429</t>
  </si>
  <si>
    <t>レート</t>
  </si>
  <si>
    <t>33623</t>
  </si>
  <si>
    <t>121153</t>
  </si>
  <si>
    <t>送料</t>
  </si>
  <si>
    <t>174087</t>
  </si>
  <si>
    <t>98473</t>
  </si>
  <si>
    <t>179490</t>
  </si>
  <si>
    <t>262131</t>
  </si>
  <si>
    <t>33235</t>
  </si>
  <si>
    <t>179491</t>
  </si>
  <si>
    <t>262132</t>
  </si>
  <si>
    <t>37634</t>
  </si>
  <si>
    <t>EU国コード</t>
  </si>
  <si>
    <t>179492</t>
  </si>
  <si>
    <t>262133</t>
  </si>
  <si>
    <t>料金・手数料の設定</t>
  </si>
  <si>
    <t>20430</t>
  </si>
  <si>
    <t>179493</t>
  </si>
  <si>
    <t>262134</t>
  </si>
  <si>
    <t>180505</t>
  </si>
  <si>
    <t>179494</t>
  </si>
  <si>
    <t>262135</t>
  </si>
  <si>
    <t>Googleスプレッドシートでドル円を自動取得。取得失敗時は元ファイルの保存値を使用。</t>
  </si>
  <si>
    <t>37635</t>
  </si>
  <si>
    <t>海外決済手数料</t>
  </si>
  <si>
    <t>179495</t>
  </si>
  <si>
    <t>262136</t>
  </si>
  <si>
    <t>元表の設定</t>
  </si>
  <si>
    <t>Payoneer手数料</t>
  </si>
  <si>
    <t>37636</t>
  </si>
  <si>
    <t>広告料率（PL）</t>
  </si>
  <si>
    <t>179496</t>
  </si>
  <si>
    <t>手数料の追加3%</t>
  </si>
  <si>
    <t>262137</t>
  </si>
  <si>
    <t>146534</t>
  </si>
  <si>
    <t>On</t>
  </si>
  <si>
    <t>179497</t>
  </si>
  <si>
    <t>元表のOn／Off切替</t>
  </si>
  <si>
    <t>33614</t>
  </si>
  <si>
    <t>日本郵便 切手割引</t>
  </si>
  <si>
    <t>日本郵便送料に適用</t>
  </si>
  <si>
    <t>20431</t>
  </si>
  <si>
    <t>US 関税率</t>
  </si>
  <si>
    <t>US見積率。関税額の個別上書きは下段。</t>
  </si>
  <si>
    <t>FedEx US MPF（USD・簡易）</t>
  </si>
  <si>
    <t>179498</t>
  </si>
  <si>
    <t>262139</t>
  </si>
  <si>
    <t>FedEx資料40頁：2.77 USD。実際の請求額で変更可。</t>
  </si>
  <si>
    <t>134279</t>
  </si>
  <si>
    <t>Zonos 関税処理率</t>
  </si>
  <si>
    <t>元式：仕入価格×関税率×(1＋10%)</t>
  </si>
  <si>
    <t>Zonos 固定手数料（USD）</t>
  </si>
  <si>
    <t>FedEx EUゾーン</t>
  </si>
  <si>
    <t>元式の定数</t>
  </si>
  <si>
    <t>179499</t>
  </si>
  <si>
    <t>Zonos 固定費（円）</t>
  </si>
  <si>
    <t>33627</t>
  </si>
  <si>
    <t>CPaSS 関税処理率</t>
  </si>
  <si>
    <t>関税・税金・対象通関費の合計に掛ける処理率。</t>
  </si>
  <si>
    <t>20423</t>
  </si>
  <si>
    <t>CPaSS Economy 固定費（円）</t>
  </si>
  <si>
    <t>Economy US輸入通関手数料。</t>
  </si>
  <si>
    <t>追加手数料率</t>
  </si>
  <si>
    <t>追加3%がOnのとき適用</t>
  </si>
  <si>
    <t>仕入 消費税率</t>
  </si>
  <si>
    <t>179500</t>
  </si>
  <si>
    <t>課金重量（kg）</t>
  </si>
  <si>
    <t>税込仕入価格から還付額を計算</t>
  </si>
  <si>
    <t>33624</t>
  </si>
  <si>
    <t>体積重量A 除数（cm³/kg）</t>
  </si>
  <si>
    <t>Economy：長さ×幅×高さ÷8,000 kg。計算内部は×1,000でg換算。</t>
  </si>
  <si>
    <t>体積重量B 除数（cm³/kg）</t>
  </si>
  <si>
    <t>121152</t>
  </si>
  <si>
    <t>FedEx/DHL：長さ×幅×高さ÷5,000 kg。FedExは各辺を整数cmへ切上げ。</t>
  </si>
  <si>
    <t>CPaSS Economy サーチャージ</t>
  </si>
  <si>
    <t>179501</t>
  </si>
  <si>
    <t>61338</t>
  </si>
  <si>
    <t>20424</t>
  </si>
  <si>
    <t>179502</t>
  </si>
  <si>
    <t>販売価格(＄)</t>
  </si>
  <si>
    <t>262140</t>
  </si>
  <si>
    <t>「エコノミー送料」G11を直接変更。2026-10-01発効14.5%。</t>
  </si>
  <si>
    <t>仕入価格</t>
  </si>
  <si>
    <t>117035</t>
  </si>
  <si>
    <t>重量</t>
  </si>
  <si>
    <t>(割引込み)</t>
  </si>
  <si>
    <t>EU Zonos 送料（円）</t>
  </si>
  <si>
    <r>
      <rPr>
        <rFont val="Calibri"/>
        <color theme="1"/>
        <sz val="11.0"/>
      </rPr>
      <t>ebay</t>
    </r>
    <r>
      <rPr>
        <rFont val="ＭＳ ゴシック"/>
        <color theme="1"/>
        <sz val="11.0"/>
      </rPr>
      <t>手数料</t>
    </r>
  </si>
  <si>
    <t>179503</t>
  </si>
  <si>
    <r>
      <rPr>
        <rFont val="ＭＳ ゴシック"/>
        <color theme="1"/>
        <sz val="11.0"/>
      </rPr>
      <t>カテゴリー</t>
    </r>
    <r>
      <rPr>
        <rFont val="Calibri"/>
        <color theme="1"/>
        <sz val="11.0"/>
      </rPr>
      <t>No</t>
    </r>
  </si>
  <si>
    <t>33621</t>
  </si>
  <si>
    <t>海外手数料</t>
  </si>
  <si>
    <t>2985</t>
  </si>
  <si>
    <t>ペイオニア</t>
  </si>
  <si>
    <t>PL(広告)</t>
  </si>
  <si>
    <t>EUエアパケの重量別送料。日本郵便の切手割引設定も適用。</t>
  </si>
  <si>
    <t>＋3%</t>
  </si>
  <si>
    <t>EU Zonos 固定手数料（円）</t>
  </si>
  <si>
    <t>割引切手</t>
  </si>
  <si>
    <t>179504</t>
  </si>
  <si>
    <t>関税率</t>
  </si>
  <si>
    <t>262141</t>
  </si>
  <si>
    <t>94931</t>
  </si>
  <si>
    <t>US通関方式</t>
  </si>
  <si>
    <t>ユーザー確認値：1配送につき818円。US Zonosの手数料とは別設定。</t>
  </si>
  <si>
    <t>179505</t>
  </si>
  <si>
    <t>33606</t>
  </si>
  <si>
    <t>20425</t>
  </si>
  <si>
    <t>179506</t>
  </si>
  <si>
    <t>33629</t>
  </si>
  <si>
    <t>20426</t>
  </si>
  <si>
    <t>イタリア</t>
  </si>
  <si>
    <t>EU27か国から選択。3配送の送料が連動。</t>
  </si>
  <si>
    <t>EU関税（1分類・円）</t>
  </si>
  <si>
    <t>179507</t>
  </si>
  <si>
    <t>33634</t>
  </si>
  <si>
    <t>3マニュアルのEU欄：555円／関税分類。</t>
  </si>
  <si>
    <t>EU送料の上書き（B列）・追加通関費（C列）</t>
  </si>
  <si>
    <t>66690</t>
  </si>
  <si>
    <t>EU FedEx</t>
  </si>
  <si>
    <t>B列空欄で自動送料。C列は追加税金・通関費。</t>
  </si>
  <si>
    <t>EU DHL</t>
  </si>
  <si>
    <t>179508</t>
  </si>
  <si>
    <t>262142</t>
  </si>
  <si>
    <t>計算の内訳（確認用）</t>
  </si>
  <si>
    <t>1261</t>
  </si>
  <si>
    <t>179509</t>
  </si>
  <si>
    <t>適用eBay手数料</t>
  </si>
  <si>
    <t>33607</t>
  </si>
  <si>
    <t>37631</t>
  </si>
  <si>
    <t>179510</t>
  </si>
  <si>
    <t>261898</t>
  </si>
  <si>
    <t>2989</t>
  </si>
  <si>
    <t>CPaSS Economy 関税等</t>
  </si>
  <si>
    <t>179511</t>
  </si>
  <si>
    <t>262143</t>
  </si>
  <si>
    <t>180912</t>
  </si>
  <si>
    <t>179512</t>
  </si>
  <si>
    <t>FedEx US関税等</t>
  </si>
  <si>
    <t>33666</t>
  </si>
  <si>
    <t>116554</t>
  </si>
  <si>
    <t>DHL US関税等</t>
  </si>
  <si>
    <t>179513</t>
  </si>
  <si>
    <t>33633</t>
  </si>
  <si>
    <t>180913</t>
  </si>
  <si>
    <t>Zonos 関税・手数料合計</t>
  </si>
  <si>
    <t>179514</t>
  </si>
  <si>
    <t>33630</t>
  </si>
  <si>
    <t>116553</t>
  </si>
  <si>
    <t>仕入 消費税還付額</t>
  </si>
  <si>
    <t>179515</t>
  </si>
  <si>
    <t>261899</t>
  </si>
  <si>
    <t>180914</t>
  </si>
  <si>
    <t>料金表の出典</t>
  </si>
  <si>
    <t>Economy：2026-07-30版。FedEx・DHL：2026-10-01版。各送料ページに出典。</t>
  </si>
  <si>
    <t>179516</t>
  </si>
  <si>
    <t>174044</t>
  </si>
  <si>
    <t>EUR/JPY</t>
  </si>
  <si>
    <t>180915</t>
  </si>
  <si>
    <t>179517</t>
  </si>
  <si>
    <t>33632</t>
  </si>
  <si>
    <t>180917</t>
  </si>
  <si>
    <t>Googleスプレッドシートでは自動取得。Excel・取得失敗時はB44の参考値を使うため自動更新されません。</t>
  </si>
  <si>
    <t>EU Zonos 関税（EUR）</t>
  </si>
  <si>
    <t>179518</t>
  </si>
  <si>
    <t>33636</t>
  </si>
  <si>
    <t>180916</t>
  </si>
  <si>
    <t>ユーザー確認値：1配送につき3ユーロ。B42の円レートを掛けて控除。</t>
  </si>
  <si>
    <t>EUR/JPY 参考値（Excel用）</t>
  </si>
  <si>
    <t>179519</t>
  </si>
  <si>
    <t>46097</t>
  </si>
  <si>
    <t>2026-10-06 ECB参考値。https://www.ecb.europa.eu/stats/policy_and_exchange_rates/euro_reference_exchange_rates/html/index.nl.html</t>
  </si>
  <si>
    <t>112378</t>
  </si>
  <si>
    <t>EU関税分類数</t>
  </si>
  <si>
    <t>179520</t>
  </si>
  <si>
    <t>63276</t>
  </si>
  <si>
    <t>1種類なら1。同じ分類の数量ではなく、分類の種類数。</t>
  </si>
  <si>
    <t>EU Economy追加通関費（円）</t>
  </si>
  <si>
    <t>121634</t>
  </si>
  <si>
    <t>追加税金・通関費があれば入力。</t>
  </si>
  <si>
    <t>US Economy関税額上書き（円）</t>
  </si>
  <si>
    <t>空欄なら仕入価格×US関税率。0円も上書き可。</t>
  </si>
  <si>
    <t>US FedEx追加通関費（円）</t>
  </si>
  <si>
    <t>179521</t>
  </si>
  <si>
    <t>MPF以外の税金・通関費。</t>
  </si>
  <si>
    <t>174028</t>
  </si>
  <si>
    <t>US DHL追加通関費（円）</t>
  </si>
  <si>
    <t>既定のDDP費用以外の税金・通関費。</t>
  </si>
  <si>
    <t>66700</t>
  </si>
  <si>
    <t>EU国</t>
  </si>
  <si>
    <t>コード</t>
  </si>
  <si>
    <t>179522</t>
  </si>
  <si>
    <t>DHLゾーン</t>
  </si>
  <si>
    <t>33610</t>
  </si>
  <si>
    <t>EU関税額上書き（円）</t>
  </si>
  <si>
    <t>131082</t>
  </si>
  <si>
    <t>空欄なら555円×分類数。150 EUR超のFedEx/DHLは上書き必須。</t>
  </si>
  <si>
    <t>ドイツ</t>
  </si>
  <si>
    <t>179523</t>
  </si>
  <si>
    <t>261897</t>
  </si>
  <si>
    <t>100225</t>
  </si>
  <si>
    <t>自動</t>
  </si>
  <si>
    <t>自動＝申告額2,500 USD超で正式。必要なら変更。</t>
  </si>
  <si>
    <t>オーストリア</t>
  </si>
  <si>
    <t>179524</t>
  </si>
  <si>
    <t>正式通関MPF率</t>
  </si>
  <si>
    <t>262144</t>
  </si>
  <si>
    <t>100226</t>
  </si>
  <si>
    <t>FedEx・DHL資料：税関申告価額の0.3464%。</t>
  </si>
  <si>
    <t>ベルギー</t>
  </si>
  <si>
    <t>正式通関MPF最低（USD）</t>
  </si>
  <si>
    <t>FedEx40頁／DHL26頁。</t>
  </si>
  <si>
    <t>ブルガリア</t>
  </si>
  <si>
    <t>179525</t>
  </si>
  <si>
    <t>33639</t>
  </si>
  <si>
    <t>正式通関MPF最高（USD）</t>
  </si>
  <si>
    <t>100227</t>
  </si>
  <si>
    <t>キプロス</t>
  </si>
  <si>
    <t>179526</t>
  </si>
  <si>
    <t>33654</t>
  </si>
  <si>
    <t>DHL US規制手数料（USD）</t>
  </si>
  <si>
    <t>簡易通関の場合。DHL26頁。</t>
  </si>
  <si>
    <t>チェコ</t>
  </si>
  <si>
    <t>179013</t>
  </si>
  <si>
    <t>DHL正式通関処理料（円）</t>
  </si>
  <si>
    <t>DDP・正式通関の場合。DHL26頁。</t>
  </si>
  <si>
    <t>デンマーク</t>
  </si>
  <si>
    <t>US FedEx関税額上書き（円）</t>
  </si>
  <si>
    <t>空欄なら仕入価格×US関税率。</t>
  </si>
  <si>
    <t>エストニア</t>
  </si>
  <si>
    <t>179527</t>
  </si>
  <si>
    <t>US DHL関税額上書き（円）</t>
  </si>
  <si>
    <t>38658</t>
  </si>
  <si>
    <t>スペイン</t>
  </si>
  <si>
    <t>131084</t>
  </si>
  <si>
    <t>DHL税金元払い請求率</t>
  </si>
  <si>
    <t>関税・税金の2%。送料や商品価格には掛けない。</t>
  </si>
  <si>
    <t>フィンランド</t>
  </si>
  <si>
    <t>DHL税金元払い最低額（円）</t>
  </si>
  <si>
    <t>179528</t>
  </si>
  <si>
    <t>US・EU共通。DHL26・27頁。</t>
  </si>
  <si>
    <t>フランス</t>
  </si>
  <si>
    <t>262146</t>
  </si>
  <si>
    <t>EU VAT等</t>
  </si>
  <si>
    <t>追加請求分を入力</t>
  </si>
  <si>
    <t>EU申告額 EUR</t>
  </si>
  <si>
    <t>131081</t>
  </si>
  <si>
    <t>eBayがVAT徴収済みの取引を想定。追加税額は46行／C30／C31へ。</t>
  </si>
  <si>
    <t>ギリシャ</t>
  </si>
  <si>
    <t>クロアチア</t>
  </si>
  <si>
    <t>179529</t>
  </si>
  <si>
    <t>ハンガリー</t>
  </si>
  <si>
    <t>33640</t>
  </si>
  <si>
    <t>アイルランド</t>
  </si>
  <si>
    <t>48757</t>
  </si>
  <si>
    <t>リトアニア</t>
  </si>
  <si>
    <t>179530</t>
  </si>
  <si>
    <t>ルクセンブルク</t>
  </si>
  <si>
    <t>50456</t>
  </si>
  <si>
    <t>ラトビア</t>
  </si>
  <si>
    <t>マルタ</t>
  </si>
  <si>
    <t>183802</t>
  </si>
  <si>
    <t>オランダ</t>
  </si>
  <si>
    <t>EU関税・税金</t>
  </si>
  <si>
    <t>ポーランド</t>
  </si>
  <si>
    <t>50445</t>
  </si>
  <si>
    <t>ポルトガル</t>
  </si>
  <si>
    <t>ルーマニア</t>
  </si>
  <si>
    <t>183813</t>
  </si>
  <si>
    <t>スウェーデン</t>
  </si>
  <si>
    <t>スロベニア</t>
  </si>
  <si>
    <t>179532</t>
  </si>
  <si>
    <t>262149</t>
  </si>
  <si>
    <t>スロバキア</t>
  </si>
  <si>
    <t>183791</t>
  </si>
  <si>
    <t>179533</t>
  </si>
  <si>
    <t>179851</t>
  </si>
  <si>
    <t>183824</t>
  </si>
  <si>
    <t>262148</t>
  </si>
  <si>
    <t>183835</t>
  </si>
  <si>
    <t>US Economy関税</t>
  </si>
  <si>
    <t>179535</t>
  </si>
  <si>
    <t>179850</t>
  </si>
  <si>
    <t>183858</t>
  </si>
  <si>
    <t>179536</t>
  </si>
  <si>
    <t>33656</t>
  </si>
  <si>
    <t>183846</t>
  </si>
  <si>
    <t>179537</t>
  </si>
  <si>
    <t>適用重量</t>
  </si>
  <si>
    <t>262150</t>
  </si>
  <si>
    <t>長さ（最長辺）</t>
  </si>
  <si>
    <t>109475</t>
  </si>
  <si>
    <t>幅</t>
  </si>
  <si>
    <t>高さ</t>
  </si>
  <si>
    <t>体積重量A</t>
  </si>
  <si>
    <t>179538</t>
  </si>
  <si>
    <t>体積重量B</t>
  </si>
  <si>
    <t>33647</t>
  </si>
  <si>
    <t>FedEx/DHL 適用重量（g）</t>
  </si>
  <si>
    <t>関税コスト</t>
  </si>
  <si>
    <t>F/D</t>
  </si>
  <si>
    <t>DHL手数料</t>
  </si>
  <si>
    <t>183769</t>
  </si>
  <si>
    <t>MPF</t>
  </si>
  <si>
    <t>179539</t>
  </si>
  <si>
    <t>33643</t>
  </si>
  <si>
    <t>US FedEx関税</t>
  </si>
  <si>
    <t>183758</t>
  </si>
  <si>
    <t>179540</t>
  </si>
  <si>
    <t>2026-10-01～2027-02-05：繁忙期 US243円/kg、EU207円/kg（10%割引後）。</t>
  </si>
  <si>
    <t>33648</t>
  </si>
  <si>
    <t>184315</t>
  </si>
  <si>
    <t>https://www.orangeconnex.jp/newsDetail?title=Demand+Surcharge+and+U.S.+Customs+Surcharge+Update+for+SpeedPAK+Ship+via+DHL+%E2%80%94+Effective+October+1,+2026</t>
  </si>
  <si>
    <t>179541</t>
  </si>
  <si>
    <t>262152</t>
  </si>
  <si>
    <t>DHL Express Worldwide 2026-10-01版：11～17・25～27頁。EU27か国はZone 6。</t>
  </si>
  <si>
    <t>183747</t>
  </si>
  <si>
    <t>燃油率D3は元表の参考値39.75%。E3の25%割引を適用。追加送料はK9。</t>
  </si>
  <si>
    <t>179542</t>
  </si>
  <si>
    <t>6781</t>
  </si>
  <si>
    <t>184326</t>
  </si>
  <si>
    <t>179543</t>
  </si>
  <si>
    <t>33684</t>
  </si>
  <si>
    <t>184293</t>
  </si>
  <si>
    <t>179544</t>
  </si>
  <si>
    <t>33685</t>
  </si>
  <si>
    <t>183968</t>
  </si>
  <si>
    <t>Zone 10（US）</t>
  </si>
  <si>
    <t>Zone 6（EU）</t>
  </si>
  <si>
    <t>な国･地域名</t>
  </si>
  <si>
    <t>179545</t>
  </si>
  <si>
    <t>荷物（非書類）</t>
  </si>
  <si>
    <t>63689</t>
  </si>
  <si>
    <t>184079</t>
  </si>
  <si>
    <t>179546</t>
  </si>
  <si>
    <t>33645</t>
  </si>
  <si>
    <t>183857</t>
  </si>
  <si>
    <t>179547</t>
  </si>
  <si>
    <t>50457</t>
  </si>
  <si>
    <t>184190</t>
  </si>
  <si>
    <t>179548</t>
  </si>
  <si>
    <t>262154</t>
  </si>
  <si>
    <t>61788</t>
  </si>
  <si>
    <t>179549</t>
  </si>
  <si>
    <t>50455</t>
  </si>
  <si>
    <t>61790</t>
  </si>
  <si>
    <t>179550</t>
  </si>
  <si>
    <t>38659</t>
  </si>
  <si>
    <t>57111</t>
  </si>
  <si>
    <t>179551</t>
  </si>
  <si>
    <t>262156</t>
  </si>
  <si>
    <t>159685</t>
  </si>
  <si>
    <t>179552</t>
  </si>
  <si>
    <t>33646</t>
  </si>
  <si>
    <t>113991</t>
  </si>
  <si>
    <t>179553</t>
  </si>
  <si>
    <t>262157</t>
  </si>
  <si>
    <t>53059</t>
  </si>
  <si>
    <t>179554</t>
  </si>
  <si>
    <t>262158</t>
  </si>
  <si>
    <t>46531</t>
  </si>
  <si>
    <t>179555</t>
  </si>
  <si>
    <t>262159</t>
  </si>
  <si>
    <t>46527</t>
  </si>
  <si>
    <t>179556</t>
  </si>
  <si>
    <t>52638</t>
  </si>
  <si>
    <t>46528</t>
  </si>
  <si>
    <t>179557</t>
  </si>
  <si>
    <t>262164</t>
  </si>
  <si>
    <t>46529</t>
  </si>
  <si>
    <t>179558</t>
  </si>
  <si>
    <t>14769</t>
  </si>
  <si>
    <t>61586</t>
  </si>
  <si>
    <t>179559</t>
  </si>
  <si>
    <t>262168</t>
  </si>
  <si>
    <t>11751</t>
  </si>
  <si>
    <t>179560</t>
  </si>
  <si>
    <t>262166</t>
  </si>
  <si>
    <t>66901</t>
  </si>
  <si>
    <t>179561</t>
  </si>
  <si>
    <t>33644</t>
  </si>
  <si>
    <t>使い方</t>
  </si>
  <si>
    <t>46532</t>
  </si>
  <si>
    <t>179562</t>
  </si>
  <si>
    <t>262167</t>
  </si>
  <si>
    <t>通常の入力</t>
  </si>
  <si>
    <t>56976</t>
  </si>
  <si>
    <t>「計算式」上段の黄色セルに販売価格（USD）、仕入価格（税込・円）、実重量（g）を入力。カテゴリNoは必要なときだけ変更。</t>
  </si>
  <si>
    <t>179563</t>
  </si>
  <si>
    <t>262173</t>
  </si>
  <si>
    <t>購入者負担送料</t>
  </si>
  <si>
    <t>1269</t>
  </si>
  <si>
    <t>179564</t>
  </si>
  <si>
    <t>262170</t>
  </si>
  <si>
    <t>45013</t>
  </si>
  <si>
    <t>販売価格とは別に受け取る送料は「購入者送料（USD）」へ入力。送料無料なら0。</t>
  </si>
  <si>
    <t>179565</t>
  </si>
  <si>
    <t>262171</t>
  </si>
  <si>
    <t>260849</t>
  </si>
  <si>
    <t>梱包サイズ</t>
  </si>
  <si>
    <t>FedEx／DHLの比較には長さ・幅・高さ（cm）を入力。長さは最長辺。</t>
  </si>
  <si>
    <t>179566</t>
  </si>
  <si>
    <t>US Zonos</t>
  </si>
  <si>
    <t>262172</t>
  </si>
  <si>
    <t>送料はエアパケットUSの日本郵便送料。利益は元表の関税・Zonos費用を控除した金額。</t>
  </si>
  <si>
    <t>EU Zonos／CPaSS</t>
  </si>
  <si>
    <t>112389</t>
  </si>
  <si>
    <t>EU Zonos＝EUエアパケ利益－818円－3ユーロ×EUR/JPY。EU Economyは設定B27の配送先に連動。</t>
  </si>
  <si>
    <t>EU FedEx／DHL</t>
  </si>
  <si>
    <t>EU国を「設定」B27で選択。FedEx・DHLも同じ国で計算。送料上書きは設定B30/B31（空欄で自動）。</t>
  </si>
  <si>
    <t>179567</t>
  </si>
  <si>
    <t>利益＋税込仕入価格÷1.1×10%。仕入6,000円なら約545円を加算。実際の還付の可否判定は行いません。</t>
  </si>
  <si>
    <t>33650</t>
  </si>
  <si>
    <t>料率の変更</t>
  </si>
  <si>
    <t>「設定」で海外決済手数料、Payoneer、広告、追加3%、切手割引、関税、MPF、Zonos等を変更。</t>
  </si>
  <si>
    <t>為替</t>
  </si>
  <si>
    <t>260850</t>
  </si>
  <si>
    <t>元表はGoogle Financeの式をExcelへ書き出した際の固定値158.4355を保存。「設定」B4は手入力。</t>
  </si>
  <si>
    <t>Google Sheetsの為替</t>
  </si>
  <si>
    <t>Googleスプレッドシートでは、設定B4でUSD/JPY、B42でEUR/JPYをGOOGLEFINANCEから自動取得。取得失敗時やExcelでは保存済みの参考値を使用。</t>
  </si>
  <si>
    <t>カテゴリー</t>
  </si>
  <si>
    <t>179568</t>
  </si>
  <si>
    <t>元のカテゴリー手数料一覧・価格別料率を継承。未登録Noは利益欄に「カテゴリ未登録」を表示。</t>
  </si>
  <si>
    <t>262161</t>
  </si>
  <si>
    <t>送料表</t>
  </si>
  <si>
    <t>EconomyはeBay用2026-07-30版、FedEx FICP・DHL荷物用は2026-10-01版のUS/EU基本送料を使用。</t>
  </si>
  <si>
    <t>40502</t>
  </si>
  <si>
    <t>燃油率は手動入力：Economy G11、FedEx D3、DHL D3。FedExは2026-10-05～11公表値51.25%へ更新。DHLは保存済み参考値39.75%。</t>
  </si>
  <si>
    <t>計算方式の継承</t>
  </si>
  <si>
    <t>元表のEMS・印刷物書留・書状書留はPayoneerを後掛け。他の配送は料率加算方式を維持。</t>
  </si>
  <si>
    <t>元表の固定値修正</t>
  </si>
  <si>
    <t>179569</t>
  </si>
  <si>
    <t>印刷物書留・書状書留の利益／還付、EMSの還付を数式化。全配送の還付額は丸めず統一。</t>
  </si>
  <si>
    <t>262162</t>
  </si>
  <si>
    <t>元資料の不一致</t>
  </si>
  <si>
    <t>Economy容積重量は基本料金ページに従いcm³÷8,000 kg。資料の別注記には÷6,000もあるため、出荷前に契約条件をご確認ください。</t>
  </si>
  <si>
    <t>DHLの割引</t>
  </si>
  <si>
    <t>DHL燃油割引はE3（25%）を適用。US DDPは関税・規制料・税金元払い請求料と2.1%処理料を控除。</t>
  </si>
  <si>
    <t>260846</t>
  </si>
  <si>
    <t>関税対象外</t>
  </si>
  <si>
    <t>元表にあるCD／DVD／Blu-ray／レコード／書籍／漫画／雑誌／ポスター等の専用参考欄。適用条件の判定は行いません。</t>
  </si>
  <si>
    <t>元マニュアル</t>
  </si>
  <si>
    <t>「マニュアル①」「マニュアル新」は原資料として残しています。操作位置は新しい「使い方」を優先。</t>
  </si>
  <si>
    <t>料金更新</t>
  </si>
  <si>
    <t>US関税率は設定B10。関税額を指定する場合はEconomy B47、FedEx B57、DHL B58。空欄で仕入価格×関税率、0も有効。</t>
  </si>
  <si>
    <t>179570</t>
  </si>
  <si>
    <t>262163</t>
  </si>
  <si>
    <t>EU関税</t>
  </si>
  <si>
    <t>US DHL関税</t>
  </si>
  <si>
    <t>260847</t>
  </si>
  <si>
    <t>EUの関税は資料記載555円×分類数（設定B28/B45）。実際の額はB50で上書き。eBayがVAT徴収済みの取引を想定し、追加税額のみ各追加通関費欄へ入力。</t>
  </si>
  <si>
    <t>EU上限</t>
  </si>
  <si>
    <t>EU Economyは申告額150 EUR以下。20kg超は掲載送料表の上限超過。EU FedEx/DHLで150 EUR超は関税額B50を入力。</t>
  </si>
  <si>
    <t>179571</t>
  </si>
  <si>
    <t>季節割増</t>
  </si>
  <si>
    <t>63688</t>
  </si>
  <si>
    <t>FedEx：USゾーンK5、郵便番号P2入力時は自動判定。梱包K8、地域外区分K11/K12。EU H/M混雑割増は11/1まで50%割引。非標準貨物混雑割増は3/31まで100%割引。</t>
  </si>
  <si>
    <t>105994</t>
  </si>
  <si>
    <t>送料表示</t>
  </si>
  <si>
    <t>送料表示は燃油・通常割増込み。関税・通関費は送料表示に含めず、利益から別途控除。遠隔地・特殊梱包・追加税金等は該当欄へ実額を入力。</t>
  </si>
  <si>
    <t>確定請求</t>
  </si>
  <si>
    <t>各費用は円単位へ四捨五入した見積額。最終利益は配送会社の確定請求額に合わせて関税・追加費用・送料を上書き。</t>
  </si>
  <si>
    <t>179572</t>
  </si>
  <si>
    <t>262174</t>
  </si>
  <si>
    <t>260852</t>
  </si>
  <si>
    <t>179573</t>
  </si>
  <si>
    <t>33638</t>
  </si>
  <si>
    <t>124511</t>
  </si>
  <si>
    <t>179574</t>
  </si>
  <si>
    <t>262176</t>
  </si>
  <si>
    <t>58142</t>
  </si>
  <si>
    <t>179575</t>
  </si>
  <si>
    <t>262178</t>
  </si>
  <si>
    <t>FedEx課金重量 g</t>
  </si>
  <si>
    <t>260859</t>
  </si>
  <si>
    <t>179576</t>
  </si>
  <si>
    <t>33655</t>
  </si>
  <si>
    <t>260858</t>
  </si>
  <si>
    <t>179577</t>
  </si>
  <si>
    <t>262177</t>
  </si>
  <si>
    <t>260857</t>
  </si>
  <si>
    <t>179578</t>
  </si>
  <si>
    <t>262179</t>
  </si>
  <si>
    <t>260860</t>
  </si>
  <si>
    <t>179579</t>
  </si>
  <si>
    <t>DHL課金重量 g</t>
  </si>
  <si>
    <t>174112</t>
  </si>
  <si>
    <t>105992</t>
  </si>
  <si>
    <t>179580</t>
  </si>
  <si>
    <t>174113</t>
  </si>
  <si>
    <t>260861</t>
  </si>
  <si>
    <t>推定配送料</t>
  </si>
  <si>
    <t>Economy課金重量 g</t>
  </si>
  <si>
    <t>179581</t>
  </si>
  <si>
    <t>179852</t>
  </si>
  <si>
    <t>42300</t>
  </si>
  <si>
    <t>179582</t>
  </si>
  <si>
    <t>61941</t>
  </si>
  <si>
    <t>34936</t>
  </si>
  <si>
    <t>JP post</t>
  </si>
  <si>
    <t>179583</t>
  </si>
  <si>
    <r>
      <rPr>
        <rFont val="Calibri"/>
        <color theme="1"/>
        <sz val="11.0"/>
      </rPr>
      <t>エアパケ</t>
    </r>
    <r>
      <rPr>
        <rFont val="Calibri"/>
        <color theme="1"/>
        <sz val="10.0"/>
      </rPr>
      <t>(</t>
    </r>
    <r>
      <rPr>
        <rFont val="Calibri"/>
        <color theme="1"/>
        <sz val="12.0"/>
      </rPr>
      <t>US)</t>
    </r>
  </si>
  <si>
    <t>262182</t>
  </si>
  <si>
    <r>
      <rPr>
        <rFont val="Calibri"/>
        <color theme="1"/>
        <sz val="11.0"/>
      </rPr>
      <t>エアパケ</t>
    </r>
    <r>
      <rPr>
        <rFont val="Calibri"/>
        <color theme="1"/>
        <sz val="10.0"/>
      </rPr>
      <t>(</t>
    </r>
    <r>
      <rPr>
        <rFont val="Calibri"/>
        <color theme="1"/>
        <sz val="12.0"/>
      </rPr>
      <t>EU)</t>
    </r>
  </si>
  <si>
    <t>260854</t>
  </si>
  <si>
    <t xml:space="preserve">      ＥＭＳ  </t>
  </si>
  <si>
    <t>179584</t>
  </si>
  <si>
    <t>262180</t>
  </si>
  <si>
    <t>260855</t>
  </si>
  <si>
    <t>エコノミー</t>
  </si>
  <si>
    <t>179585</t>
  </si>
  <si>
    <t>FedEx(FICP)</t>
  </si>
  <si>
    <t>262181</t>
  </si>
  <si>
    <t>260905</t>
  </si>
  <si>
    <t>179586</t>
  </si>
  <si>
    <t>33690</t>
  </si>
  <si>
    <t>260875</t>
  </si>
  <si>
    <t>FedEx US MPF 円</t>
  </si>
  <si>
    <t>179587</t>
  </si>
  <si>
    <t>174070</t>
  </si>
  <si>
    <t>260876</t>
  </si>
  <si>
    <t>179588</t>
  </si>
  <si>
    <t>262183</t>
  </si>
  <si>
    <t>260877</t>
  </si>
  <si>
    <t>179589</t>
  </si>
  <si>
    <t>262184</t>
  </si>
  <si>
    <t>260878</t>
  </si>
  <si>
    <t>179590</t>
  </si>
  <si>
    <t>33691</t>
  </si>
  <si>
    <t>71403</t>
  </si>
  <si>
    <t>179591</t>
  </si>
  <si>
    <t>262185</t>
  </si>
  <si>
    <t>260879</t>
  </si>
  <si>
    <t>179592</t>
  </si>
  <si>
    <t>262186</t>
  </si>
  <si>
    <t>260906</t>
  </si>
  <si>
    <t>179593</t>
  </si>
  <si>
    <t>33692</t>
  </si>
  <si>
    <t>260881</t>
  </si>
  <si>
    <t>179594</t>
  </si>
  <si>
    <t>46101</t>
  </si>
  <si>
    <t>260882</t>
  </si>
  <si>
    <t>179595</t>
  </si>
  <si>
    <t>174072</t>
  </si>
  <si>
    <t>63897</t>
  </si>
  <si>
    <t>179596</t>
  </si>
  <si>
    <t>174084</t>
  </si>
  <si>
    <t>63898</t>
  </si>
  <si>
    <t>179597</t>
  </si>
  <si>
    <t>262189</t>
  </si>
  <si>
    <t>63900</t>
  </si>
  <si>
    <t>179598</t>
  </si>
  <si>
    <t>262188</t>
  </si>
  <si>
    <t>260884</t>
  </si>
  <si>
    <t>179599</t>
  </si>
  <si>
    <t>262191</t>
  </si>
  <si>
    <t>260883</t>
  </si>
  <si>
    <t>179600</t>
  </si>
  <si>
    <t>33698</t>
  </si>
  <si>
    <t>260885</t>
  </si>
  <si>
    <t>179601</t>
  </si>
  <si>
    <t>33696</t>
  </si>
  <si>
    <t>124539</t>
  </si>
  <si>
    <t>179602</t>
  </si>
  <si>
    <t>33697</t>
  </si>
  <si>
    <t>63907</t>
  </si>
  <si>
    <t>179603</t>
  </si>
  <si>
    <t>262192</t>
  </si>
  <si>
    <t>260894</t>
  </si>
  <si>
    <t>179604</t>
  </si>
  <si>
    <t>43951</t>
  </si>
  <si>
    <t>260896</t>
  </si>
  <si>
    <t>179605</t>
  </si>
  <si>
    <t>33675</t>
  </si>
  <si>
    <t>260895</t>
  </si>
  <si>
    <t>179606</t>
  </si>
  <si>
    <t>174079</t>
  </si>
  <si>
    <t>260897</t>
  </si>
  <si>
    <t>179607</t>
  </si>
  <si>
    <t>174080</t>
  </si>
  <si>
    <t>260898</t>
  </si>
  <si>
    <t>179608</t>
  </si>
  <si>
    <t>262193</t>
  </si>
  <si>
    <t>260899</t>
  </si>
  <si>
    <t>179609</t>
  </si>
  <si>
    <t>262194</t>
  </si>
  <si>
    <t>260900</t>
  </si>
  <si>
    <t>179610</t>
  </si>
  <si>
    <t>177711</t>
  </si>
  <si>
    <t>63894</t>
  </si>
  <si>
    <t>179611</t>
  </si>
  <si>
    <t>177710</t>
  </si>
  <si>
    <t>260862</t>
  </si>
  <si>
    <t>179612</t>
  </si>
  <si>
    <t>262196</t>
  </si>
  <si>
    <t>147791</t>
  </si>
  <si>
    <t>179613</t>
  </si>
  <si>
    <t>33725</t>
  </si>
  <si>
    <t>260864</t>
  </si>
  <si>
    <t>179614</t>
  </si>
  <si>
    <t>262197</t>
  </si>
  <si>
    <t>260865</t>
  </si>
  <si>
    <t>179615</t>
  </si>
  <si>
    <t>9887</t>
  </si>
  <si>
    <t>260866</t>
  </si>
  <si>
    <t>DHL US規制料 円</t>
  </si>
  <si>
    <t>179616</t>
  </si>
  <si>
    <t>174078</t>
  </si>
  <si>
    <t>260868</t>
  </si>
  <si>
    <t>179617</t>
  </si>
  <si>
    <t>33700</t>
  </si>
  <si>
    <t>260869</t>
  </si>
  <si>
    <t>179618</t>
  </si>
  <si>
    <t>262198</t>
  </si>
  <si>
    <t>260870</t>
  </si>
  <si>
    <t>179619</t>
  </si>
  <si>
    <t>33699</t>
  </si>
  <si>
    <t>260871</t>
  </si>
  <si>
    <t>179620</t>
  </si>
  <si>
    <t>262201</t>
  </si>
  <si>
    <t>260872</t>
  </si>
  <si>
    <t>179621</t>
  </si>
  <si>
    <t>262200</t>
  </si>
  <si>
    <t>260873</t>
  </si>
  <si>
    <t>179622</t>
  </si>
  <si>
    <t>50458</t>
  </si>
  <si>
    <t>260874</t>
  </si>
  <si>
    <t>179623</t>
  </si>
  <si>
    <t>33702</t>
  </si>
  <si>
    <t>1268</t>
  </si>
  <si>
    <t>179624</t>
  </si>
  <si>
    <t>33701</t>
  </si>
  <si>
    <t>260888</t>
  </si>
  <si>
    <t>179625</t>
  </si>
  <si>
    <t>174077</t>
  </si>
  <si>
    <t>260887</t>
  </si>
  <si>
    <t>179626</t>
  </si>
  <si>
    <t>180120</t>
  </si>
  <si>
    <t>260889</t>
  </si>
  <si>
    <t>179627</t>
  </si>
  <si>
    <t>33704</t>
  </si>
  <si>
    <t>260890</t>
  </si>
  <si>
    <t>179628</t>
  </si>
  <si>
    <t>262203</t>
  </si>
  <si>
    <t>22566</t>
  </si>
  <si>
    <t>179629</t>
  </si>
  <si>
    <t>63690</t>
  </si>
  <si>
    <t>260891</t>
  </si>
  <si>
    <t>179630</t>
  </si>
  <si>
    <t>63691</t>
  </si>
  <si>
    <t>260892</t>
  </si>
  <si>
    <t>179631</t>
  </si>
  <si>
    <t>180117</t>
  </si>
  <si>
    <t>260907</t>
  </si>
  <si>
    <t>179632</t>
  </si>
  <si>
    <t>262204</t>
  </si>
  <si>
    <t>116997</t>
  </si>
  <si>
    <t>179633</t>
  </si>
  <si>
    <t>46102</t>
  </si>
  <si>
    <t>116998</t>
  </si>
  <si>
    <t>DHL US MPF 円</t>
  </si>
  <si>
    <t>179634</t>
  </si>
  <si>
    <t>50459</t>
  </si>
  <si>
    <t>99995</t>
  </si>
  <si>
    <t>179635</t>
  </si>
  <si>
    <t>33705</t>
  </si>
  <si>
    <t>56139</t>
  </si>
  <si>
    <t>179636</t>
  </si>
  <si>
    <t>179848</t>
  </si>
  <si>
    <t>124452</t>
  </si>
  <si>
    <t>179637</t>
  </si>
  <si>
    <t>33706</t>
  </si>
  <si>
    <t>260902</t>
  </si>
  <si>
    <t>179638</t>
  </si>
  <si>
    <t>262213</t>
  </si>
  <si>
    <t>114015</t>
  </si>
  <si>
    <t>179639</t>
  </si>
  <si>
    <t>184669</t>
  </si>
  <si>
    <t>US Zonos 利益</t>
  </si>
  <si>
    <t>US Zonos 関税対象外 利益</t>
  </si>
  <si>
    <t>EU Zonos 利益</t>
  </si>
  <si>
    <t>260903</t>
  </si>
  <si>
    <t>DHL US税金元払い 円</t>
  </si>
  <si>
    <t>179640</t>
  </si>
  <si>
    <t>121985</t>
  </si>
  <si>
    <t>260904</t>
  </si>
  <si>
    <t>179641</t>
  </si>
  <si>
    <t>262214</t>
  </si>
  <si>
    <t>183880</t>
  </si>
  <si>
    <t>179642</t>
  </si>
  <si>
    <t>262205</t>
  </si>
  <si>
    <t>183924</t>
  </si>
  <si>
    <t>179643</t>
  </si>
  <si>
    <t>262206</t>
  </si>
  <si>
    <t>262991</t>
  </si>
  <si>
    <t>179644</t>
  </si>
  <si>
    <t>33709</t>
  </si>
  <si>
    <t>183891</t>
  </si>
  <si>
    <t>179645</t>
  </si>
  <si>
    <t>33710</t>
  </si>
  <si>
    <t>183902</t>
  </si>
  <si>
    <t>179646</t>
  </si>
  <si>
    <t>262207</t>
  </si>
  <si>
    <t>183913</t>
  </si>
  <si>
    <t>179647</t>
  </si>
  <si>
    <t>33712</t>
  </si>
  <si>
    <t>109459</t>
  </si>
  <si>
    <t>179648</t>
  </si>
  <si>
    <t>262208</t>
  </si>
  <si>
    <t>183761</t>
  </si>
  <si>
    <t>179649</t>
  </si>
  <si>
    <t>172517</t>
  </si>
  <si>
    <t>184328</t>
  </si>
  <si>
    <t>179650</t>
  </si>
  <si>
    <t>262209</t>
  </si>
  <si>
    <t>184332</t>
  </si>
  <si>
    <t>179651</t>
  </si>
  <si>
    <t>174065</t>
  </si>
  <si>
    <t>184333</t>
  </si>
  <si>
    <t>179652</t>
  </si>
  <si>
    <t>33708</t>
  </si>
  <si>
    <t>184331</t>
  </si>
  <si>
    <t>179653</t>
  </si>
  <si>
    <t>174062</t>
  </si>
  <si>
    <t>184330</t>
  </si>
  <si>
    <t>33715</t>
  </si>
  <si>
    <t>184329</t>
  </si>
  <si>
    <t>179655</t>
  </si>
  <si>
    <t>262210</t>
  </si>
  <si>
    <t>66969</t>
  </si>
  <si>
    <t>179656</t>
  </si>
  <si>
    <t>33716</t>
  </si>
  <si>
    <t>183760</t>
  </si>
  <si>
    <t>179657</t>
  </si>
  <si>
    <t>33717</t>
  </si>
  <si>
    <t>183756</t>
  </si>
  <si>
    <t>179658</t>
  </si>
  <si>
    <t>9886</t>
  </si>
  <si>
    <t>183757</t>
  </si>
  <si>
    <t>179659</t>
  </si>
  <si>
    <t>262216</t>
  </si>
  <si>
    <t>183759</t>
  </si>
  <si>
    <t>179660</t>
  </si>
  <si>
    <t>173830</t>
  </si>
  <si>
    <t>53285</t>
  </si>
  <si>
    <t>179661</t>
  </si>
  <si>
    <t>262217</t>
  </si>
  <si>
    <t>184335</t>
  </si>
  <si>
    <t>179662</t>
  </si>
  <si>
    <t>121984</t>
  </si>
  <si>
    <t>46535</t>
  </si>
  <si>
    <t>179663</t>
  </si>
  <si>
    <t>262220</t>
  </si>
  <si>
    <t>66957</t>
  </si>
  <si>
    <t>179664</t>
  </si>
  <si>
    <t>262219</t>
  </si>
  <si>
    <t>183748</t>
  </si>
  <si>
    <t>179665</t>
  </si>
  <si>
    <t>33651</t>
  </si>
  <si>
    <t>183753</t>
  </si>
  <si>
    <t>179666</t>
  </si>
  <si>
    <t>79067</t>
  </si>
  <si>
    <t>183749</t>
  </si>
  <si>
    <t>179667</t>
  </si>
  <si>
    <t>173831</t>
  </si>
  <si>
    <t>183750</t>
  </si>
  <si>
    <t>179668</t>
  </si>
  <si>
    <t>262218</t>
  </si>
  <si>
    <t>183751</t>
  </si>
  <si>
    <t>177698</t>
  </si>
  <si>
    <t>183752</t>
  </si>
  <si>
    <t>177697</t>
  </si>
  <si>
    <t>179846</t>
  </si>
  <si>
    <t>66961</t>
  </si>
  <si>
    <t>179672</t>
  </si>
  <si>
    <t>33575</t>
  </si>
  <si>
    <t>184316</t>
  </si>
  <si>
    <t>33596</t>
  </si>
  <si>
    <t>53286</t>
  </si>
  <si>
    <t>179674</t>
  </si>
  <si>
    <t>262221</t>
  </si>
  <si>
    <t>184325</t>
  </si>
  <si>
    <t>33578</t>
  </si>
  <si>
    <t>184318</t>
  </si>
  <si>
    <t>262222</t>
  </si>
  <si>
    <t>184324</t>
  </si>
  <si>
    <t>177700</t>
  </si>
  <si>
    <t>184319</t>
  </si>
  <si>
    <t>177699</t>
  </si>
  <si>
    <t>184320</t>
  </si>
  <si>
    <t>179679</t>
  </si>
  <si>
    <t>33577</t>
  </si>
  <si>
    <t>184321</t>
  </si>
  <si>
    <t>179847</t>
  </si>
  <si>
    <t>184322</t>
  </si>
  <si>
    <t>179681</t>
  </si>
  <si>
    <t>33581</t>
  </si>
  <si>
    <t>184323</t>
  </si>
  <si>
    <t>179682</t>
  </si>
  <si>
    <t>33580</t>
  </si>
  <si>
    <t>184306</t>
  </si>
  <si>
    <t>179683</t>
  </si>
  <si>
    <t>262223</t>
  </si>
  <si>
    <t>184307</t>
  </si>
  <si>
    <t>179684</t>
  </si>
  <si>
    <t>33589</t>
  </si>
  <si>
    <t>184298</t>
  </si>
  <si>
    <t>179685</t>
  </si>
  <si>
    <t>262224</t>
  </si>
  <si>
    <t>184300</t>
  </si>
  <si>
    <t>DHL正式通関処理 円</t>
  </si>
  <si>
    <t>179686</t>
  </si>
  <si>
    <t>33582</t>
  </si>
  <si>
    <t>184301</t>
  </si>
  <si>
    <t>179687</t>
  </si>
  <si>
    <t>42609</t>
  </si>
  <si>
    <t>184303</t>
  </si>
  <si>
    <t>179688</t>
  </si>
  <si>
    <t>33587</t>
  </si>
  <si>
    <t>エコノミー適用重量</t>
  </si>
  <si>
    <t>184305</t>
  </si>
  <si>
    <r>
      <rPr>
        <rFont val="Calibri"/>
        <color theme="1"/>
        <sz val="11.0"/>
      </rPr>
      <t>※CD/DVD/Blu-ray/</t>
    </r>
    <r>
      <rPr>
        <rFont val="Calibri"/>
        <color theme="1"/>
        <sz val="10.0"/>
      </rPr>
      <t>レコード/書籍/漫画/雑誌/ポスター等</t>
    </r>
  </si>
  <si>
    <t>FedEx US通関費</t>
  </si>
  <si>
    <t>179689</t>
  </si>
  <si>
    <t>262225</t>
  </si>
  <si>
    <t>184302</t>
  </si>
  <si>
    <t>179690</t>
  </si>
  <si>
    <t>262226</t>
  </si>
  <si>
    <t>183946</t>
  </si>
  <si>
    <t>179691</t>
  </si>
  <si>
    <t>33588</t>
  </si>
  <si>
    <t>184091</t>
  </si>
  <si>
    <t>179692</t>
  </si>
  <si>
    <t>262227</t>
  </si>
  <si>
    <t>184102</t>
  </si>
  <si>
    <t>DHL US通関費</t>
  </si>
  <si>
    <t>179693</t>
  </si>
  <si>
    <t>174091</t>
  </si>
  <si>
    <t>184113</t>
  </si>
  <si>
    <t>179694</t>
  </si>
  <si>
    <t>262228</t>
  </si>
  <si>
    <t>184068</t>
  </si>
  <si>
    <t>179695</t>
  </si>
  <si>
    <t>33590</t>
  </si>
  <si>
    <t>184080</t>
  </si>
  <si>
    <t>179696</t>
  </si>
  <si>
    <t>262229</t>
  </si>
  <si>
    <t>EU Zonos 還付込み</t>
  </si>
  <si>
    <t>FedEx US関税コスト</t>
  </si>
  <si>
    <t>183957</t>
  </si>
  <si>
    <t>179697</t>
  </si>
  <si>
    <t>174093</t>
  </si>
  <si>
    <t>183969</t>
  </si>
  <si>
    <t>179698</t>
  </si>
  <si>
    <t>262230</t>
  </si>
  <si>
    <t>183980</t>
  </si>
  <si>
    <t>179699</t>
  </si>
  <si>
    <t>262231</t>
  </si>
  <si>
    <t>販売後受取額（加算方式）</t>
  </si>
  <si>
    <t>184002</t>
  </si>
  <si>
    <t>179700</t>
  </si>
  <si>
    <t>174090</t>
  </si>
  <si>
    <t>184278</t>
  </si>
  <si>
    <t>179701</t>
  </si>
  <si>
    <t>33592</t>
  </si>
  <si>
    <t>184024</t>
  </si>
  <si>
    <t>179702</t>
  </si>
  <si>
    <t>33593</t>
  </si>
  <si>
    <t>184268</t>
  </si>
  <si>
    <t>179703</t>
  </si>
  <si>
    <t>170141</t>
  </si>
  <si>
    <t>184135</t>
  </si>
  <si>
    <t>179704</t>
  </si>
  <si>
    <t>38790</t>
  </si>
  <si>
    <t>184246</t>
  </si>
  <si>
    <t>179705</t>
  </si>
  <si>
    <t>180145</t>
  </si>
  <si>
    <t>184235</t>
  </si>
  <si>
    <t>179706</t>
  </si>
  <si>
    <t>180144</t>
  </si>
  <si>
    <t>184202</t>
  </si>
  <si>
    <t>179707</t>
  </si>
  <si>
    <t>262234</t>
  </si>
  <si>
    <t>184179</t>
  </si>
  <si>
    <t>179708</t>
  </si>
  <si>
    <t>184629</t>
  </si>
  <si>
    <t>184157</t>
  </si>
  <si>
    <t>179709</t>
  </si>
  <si>
    <t>262237</t>
  </si>
  <si>
    <t>184146</t>
  </si>
  <si>
    <t>179710</t>
  </si>
  <si>
    <t>262235</t>
  </si>
  <si>
    <t>184191</t>
  </si>
  <si>
    <t>179711</t>
  </si>
  <si>
    <t>61960</t>
  </si>
  <si>
    <t>184168</t>
  </si>
  <si>
    <t>179712</t>
  </si>
  <si>
    <t>262236</t>
  </si>
  <si>
    <t>184213</t>
  </si>
  <si>
    <t>179713</t>
  </si>
  <si>
    <t>173832</t>
  </si>
  <si>
    <t>184257</t>
  </si>
  <si>
    <t>179714</t>
  </si>
  <si>
    <t>33570</t>
  </si>
  <si>
    <t>DHL US関税コスト</t>
  </si>
  <si>
    <t>184224</t>
  </si>
  <si>
    <t>179715</t>
  </si>
  <si>
    <t>33653</t>
  </si>
  <si>
    <t>184296</t>
  </si>
  <si>
    <t>179716</t>
  </si>
  <si>
    <t>38789</t>
  </si>
  <si>
    <t>184289</t>
  </si>
  <si>
    <t>販売後受取額（Payoneer後掛け）</t>
  </si>
  <si>
    <t>179717</t>
  </si>
  <si>
    <t>171115</t>
  </si>
  <si>
    <t>184035</t>
  </si>
  <si>
    <t>179718</t>
  </si>
  <si>
    <t>33727</t>
  </si>
  <si>
    <t>184013</t>
  </si>
  <si>
    <t>179719</t>
  </si>
  <si>
    <t>33728</t>
  </si>
  <si>
    <t>184046</t>
  </si>
  <si>
    <t>179720</t>
  </si>
  <si>
    <t>262238</t>
  </si>
  <si>
    <t>184294</t>
  </si>
  <si>
    <t>179721</t>
  </si>
  <si>
    <t>262242</t>
  </si>
  <si>
    <t>183991</t>
  </si>
  <si>
    <t>179722</t>
  </si>
  <si>
    <t>61265</t>
  </si>
  <si>
    <t>184295</t>
  </si>
  <si>
    <t>179723</t>
  </si>
  <si>
    <t>262240</t>
  </si>
  <si>
    <t>183888</t>
  </si>
  <si>
    <t>179724</t>
  </si>
  <si>
    <t>262241</t>
  </si>
  <si>
    <t>183786</t>
  </si>
  <si>
    <t>179725</t>
  </si>
  <si>
    <t>262243</t>
  </si>
  <si>
    <t>183782</t>
  </si>
  <si>
    <t>179726</t>
  </si>
  <si>
    <t>33729</t>
  </si>
  <si>
    <t>183783</t>
  </si>
  <si>
    <t>179727</t>
  </si>
  <si>
    <t>262249</t>
  </si>
  <si>
    <t>183784</t>
  </si>
  <si>
    <t>179728</t>
  </si>
  <si>
    <t>262245</t>
  </si>
  <si>
    <t>183785</t>
  </si>
  <si>
    <t>179729</t>
  </si>
  <si>
    <t>262246</t>
  </si>
  <si>
    <t>183794</t>
  </si>
  <si>
    <t>179730</t>
  </si>
  <si>
    <t>262247</t>
  </si>
  <si>
    <t>183795</t>
  </si>
  <si>
    <t>179731</t>
  </si>
  <si>
    <t>262248</t>
  </si>
  <si>
    <t>183796</t>
  </si>
  <si>
    <t>179732</t>
  </si>
  <si>
    <t>262253</t>
  </si>
  <si>
    <t>183797</t>
  </si>
  <si>
    <t>179733</t>
  </si>
  <si>
    <t>262252</t>
  </si>
  <si>
    <t>183798</t>
  </si>
  <si>
    <t>179734</t>
  </si>
  <si>
    <t>262251</t>
  </si>
  <si>
    <t>183799</t>
  </si>
  <si>
    <t>179735</t>
  </si>
  <si>
    <t>262254</t>
  </si>
  <si>
    <t>183800</t>
  </si>
  <si>
    <t>179736</t>
  </si>
  <si>
    <t>33732</t>
  </si>
  <si>
    <t>183801</t>
  </si>
  <si>
    <t>179737</t>
  </si>
  <si>
    <t>171117</t>
  </si>
  <si>
    <t>EU Economy関税コスト</t>
  </si>
  <si>
    <t>183803</t>
  </si>
  <si>
    <t>179738</t>
  </si>
  <si>
    <t>33733</t>
  </si>
  <si>
    <t>183809</t>
  </si>
  <si>
    <t>179739</t>
  </si>
  <si>
    <t>262255</t>
  </si>
  <si>
    <t>183806</t>
  </si>
  <si>
    <t>179740</t>
  </si>
  <si>
    <t>46104</t>
  </si>
  <si>
    <t>消費税還付額</t>
  </si>
  <si>
    <t>183807</t>
  </si>
  <si>
    <t>179741</t>
  </si>
  <si>
    <t>33736</t>
  </si>
  <si>
    <t>183808</t>
  </si>
  <si>
    <t>179742</t>
  </si>
  <si>
    <t>63692</t>
  </si>
  <si>
    <t>183789</t>
  </si>
  <si>
    <t>179743</t>
  </si>
  <si>
    <t>262257</t>
  </si>
  <si>
    <t>183790</t>
  </si>
  <si>
    <t>Zonos関税・手数料</t>
  </si>
  <si>
    <t>EU Zonos 手数料・関税</t>
  </si>
  <si>
    <t>EU FedEx関税コスト</t>
  </si>
  <si>
    <t>179744</t>
  </si>
  <si>
    <t>262256</t>
  </si>
  <si>
    <t>183788</t>
  </si>
  <si>
    <t>179745</t>
  </si>
  <si>
    <t>262258</t>
  </si>
  <si>
    <t>183763</t>
  </si>
  <si>
    <t>179746</t>
  </si>
  <si>
    <t>262259</t>
  </si>
  <si>
    <t>183764</t>
  </si>
  <si>
    <t>179747</t>
  </si>
  <si>
    <t>33662</t>
  </si>
  <si>
    <t>183765</t>
  </si>
  <si>
    <t>179748</t>
  </si>
  <si>
    <t>262260</t>
  </si>
  <si>
    <t>EU DHL税金元払い</t>
  </si>
  <si>
    <t>12581</t>
  </si>
  <si>
    <t>179749</t>
  </si>
  <si>
    <t>46103</t>
  </si>
  <si>
    <t>25264</t>
  </si>
  <si>
    <t>179750</t>
  </si>
  <si>
    <t>174106</t>
  </si>
  <si>
    <t>25271</t>
  </si>
  <si>
    <t>179751</t>
  </si>
  <si>
    <t>262261</t>
  </si>
  <si>
    <t>31372</t>
  </si>
  <si>
    <t>179752</t>
  </si>
  <si>
    <t>41934</t>
  </si>
  <si>
    <t>EU DHL関税コスト</t>
  </si>
  <si>
    <t>179753</t>
  </si>
  <si>
    <t>41938</t>
  </si>
  <si>
    <t>179754</t>
  </si>
  <si>
    <t>33747</t>
  </si>
  <si>
    <t>41957</t>
  </si>
  <si>
    <t>179755</t>
  </si>
  <si>
    <t>33746</t>
  </si>
  <si>
    <t>41958</t>
  </si>
  <si>
    <t>179756</t>
  </si>
  <si>
    <t>262265</t>
  </si>
  <si>
    <t>42147</t>
  </si>
  <si>
    <t>EU Economy利益</t>
  </si>
  <si>
    <t>179757</t>
  </si>
  <si>
    <t>180090</t>
  </si>
  <si>
    <t>58235</t>
  </si>
  <si>
    <t>179758</t>
  </si>
  <si>
    <t>58239</t>
  </si>
  <si>
    <t>179759</t>
  </si>
  <si>
    <t>180123</t>
  </si>
  <si>
    <t>58240</t>
  </si>
  <si>
    <t>179760</t>
  </si>
  <si>
    <t>43961</t>
  </si>
  <si>
    <t>58245</t>
  </si>
  <si>
    <t>EU Economy還付込み</t>
  </si>
  <si>
    <t>179761</t>
  </si>
  <si>
    <t>33744</t>
  </si>
  <si>
    <t>58246</t>
  </si>
  <si>
    <t>179762</t>
  </si>
  <si>
    <t>33749</t>
  </si>
  <si>
    <t>58247</t>
  </si>
  <si>
    <t>EU FedEx利益</t>
  </si>
  <si>
    <t>179763</t>
  </si>
  <si>
    <t>122154</t>
  </si>
  <si>
    <t>58248</t>
  </si>
  <si>
    <t>179764</t>
  </si>
  <si>
    <t>58196</t>
  </si>
  <si>
    <t>179765</t>
  </si>
  <si>
    <t>184672</t>
  </si>
  <si>
    <t>58198</t>
  </si>
  <si>
    <t>179766</t>
  </si>
  <si>
    <t>184673</t>
  </si>
  <si>
    <t>58300</t>
  </si>
  <si>
    <t>179767</t>
  </si>
  <si>
    <t>184674</t>
  </si>
  <si>
    <t>104235</t>
  </si>
  <si>
    <t>179768</t>
  </si>
  <si>
    <t>184676</t>
  </si>
  <si>
    <t>119101</t>
  </si>
  <si>
    <t>179769</t>
  </si>
  <si>
    <t>184675</t>
  </si>
  <si>
    <t>166671</t>
  </si>
  <si>
    <t>EU FedEx還付込み</t>
  </si>
  <si>
    <t>179770</t>
  </si>
  <si>
    <t>184826</t>
  </si>
  <si>
    <t>185128</t>
  </si>
  <si>
    <t>179771</t>
  </si>
  <si>
    <t>184827</t>
  </si>
  <si>
    <t>258052</t>
  </si>
  <si>
    <t>EU DHL利益</t>
  </si>
  <si>
    <t>179772</t>
  </si>
  <si>
    <t>184828</t>
  </si>
  <si>
    <t>258053</t>
  </si>
  <si>
    <t>179773</t>
  </si>
  <si>
    <t>184829</t>
  </si>
  <si>
    <t>258054</t>
  </si>
  <si>
    <t>179774</t>
  </si>
  <si>
    <t>184830</t>
  </si>
  <si>
    <t>258060</t>
  </si>
  <si>
    <t>179775</t>
  </si>
  <si>
    <t>184831</t>
  </si>
  <si>
    <t>258064</t>
  </si>
  <si>
    <t>179776</t>
  </si>
  <si>
    <t>184832</t>
  </si>
  <si>
    <t>258065</t>
  </si>
  <si>
    <t>179777</t>
  </si>
  <si>
    <t>184833</t>
  </si>
  <si>
    <t>258066</t>
  </si>
  <si>
    <t>EU DHL還付込み</t>
  </si>
  <si>
    <t>179778</t>
  </si>
  <si>
    <t>184834</t>
  </si>
  <si>
    <t>258067</t>
  </si>
  <si>
    <t>179779</t>
  </si>
  <si>
    <t>184835</t>
  </si>
  <si>
    <t>258068</t>
  </si>
  <si>
    <t>179780</t>
  </si>
  <si>
    <t>184678</t>
  </si>
  <si>
    <t>258069</t>
  </si>
  <si>
    <t>179781</t>
  </si>
  <si>
    <t>184679</t>
  </si>
  <si>
    <t>258070</t>
  </si>
  <si>
    <t>179782</t>
  </si>
  <si>
    <t>184680</t>
  </si>
  <si>
    <t>258071</t>
  </si>
  <si>
    <t>179783</t>
  </si>
  <si>
    <t>184681</t>
  </si>
  <si>
    <t>258072</t>
  </si>
  <si>
    <t>179784</t>
  </si>
  <si>
    <t>184683</t>
  </si>
  <si>
    <t>258073</t>
  </si>
  <si>
    <t>179785</t>
  </si>
  <si>
    <t>184684</t>
  </si>
  <si>
    <t>258074</t>
  </si>
  <si>
    <t>179786</t>
  </si>
  <si>
    <t>184685</t>
  </si>
  <si>
    <t>258075</t>
  </si>
  <si>
    <t>179787</t>
  </si>
  <si>
    <t>184686</t>
  </si>
  <si>
    <t>258076</t>
  </si>
  <si>
    <t>179788</t>
  </si>
  <si>
    <t>184687</t>
  </si>
  <si>
    <t>258080</t>
  </si>
  <si>
    <t>179789</t>
  </si>
  <si>
    <t>184688</t>
  </si>
  <si>
    <t>258081</t>
  </si>
  <si>
    <t>179790</t>
  </si>
  <si>
    <t>184689</t>
  </si>
  <si>
    <t>258082</t>
  </si>
  <si>
    <t>179791</t>
  </si>
  <si>
    <t>184690</t>
  </si>
  <si>
    <t>258083</t>
  </si>
  <si>
    <t>179792</t>
  </si>
  <si>
    <t>184691</t>
  </si>
  <si>
    <t>258084</t>
  </si>
  <si>
    <t>179793</t>
  </si>
  <si>
    <t>184693</t>
  </si>
  <si>
    <t>258085</t>
  </si>
  <si>
    <t>179794</t>
  </si>
  <si>
    <t>184692</t>
  </si>
  <si>
    <t>258086</t>
  </si>
  <si>
    <t>179795</t>
  </si>
  <si>
    <t>184695</t>
  </si>
  <si>
    <t>258087</t>
  </si>
  <si>
    <t>179796</t>
  </si>
  <si>
    <t>184696</t>
  </si>
  <si>
    <t>258088</t>
  </si>
  <si>
    <t>179797</t>
  </si>
  <si>
    <t>184697</t>
  </si>
  <si>
    <t>258089</t>
  </si>
  <si>
    <t>179798</t>
  </si>
  <si>
    <t>184698</t>
  </si>
  <si>
    <t>258090</t>
  </si>
  <si>
    <t>179799</t>
  </si>
  <si>
    <t>184699</t>
  </si>
  <si>
    <t>258091</t>
  </si>
  <si>
    <t>179800</t>
  </si>
  <si>
    <t>184711</t>
  </si>
  <si>
    <t>258092</t>
  </si>
  <si>
    <t>179801</t>
  </si>
  <si>
    <t>184700</t>
  </si>
  <si>
    <t>258095</t>
  </si>
  <si>
    <t>179802</t>
  </si>
  <si>
    <t>184701</t>
  </si>
  <si>
    <t>258096</t>
  </si>
  <si>
    <t>179803</t>
  </si>
  <si>
    <t>184702</t>
  </si>
  <si>
    <t>258097</t>
  </si>
  <si>
    <t>179804</t>
  </si>
  <si>
    <t>184703</t>
  </si>
  <si>
    <t>258098</t>
  </si>
  <si>
    <t>179805</t>
  </si>
  <si>
    <t>184704</t>
  </si>
  <si>
    <t>258099</t>
  </si>
  <si>
    <t>179806</t>
  </si>
  <si>
    <t>184705</t>
  </si>
  <si>
    <t>258100</t>
  </si>
  <si>
    <t>179807</t>
  </si>
  <si>
    <t>184706</t>
  </si>
  <si>
    <t>258101</t>
  </si>
  <si>
    <t>179808</t>
  </si>
  <si>
    <t>184707</t>
  </si>
  <si>
    <t>258103</t>
  </si>
  <si>
    <t>179809</t>
  </si>
  <si>
    <t>184708</t>
  </si>
  <si>
    <t>258105</t>
  </si>
  <si>
    <t>179810</t>
  </si>
  <si>
    <t>184709</t>
  </si>
  <si>
    <t>258106</t>
  </si>
  <si>
    <t>179811</t>
  </si>
  <si>
    <t>184715</t>
  </si>
  <si>
    <t>258107</t>
  </si>
  <si>
    <t>179812</t>
  </si>
  <si>
    <t>184710</t>
  </si>
  <si>
    <t>258108</t>
  </si>
  <si>
    <t>179813</t>
  </si>
  <si>
    <t>184712</t>
  </si>
  <si>
    <t>258110</t>
  </si>
  <si>
    <t>179814</t>
  </si>
  <si>
    <t>184713</t>
  </si>
  <si>
    <t>258111</t>
  </si>
  <si>
    <t>179815</t>
  </si>
  <si>
    <t>184714</t>
  </si>
  <si>
    <t>258113</t>
  </si>
  <si>
    <t>179816</t>
  </si>
  <si>
    <t>184717</t>
  </si>
  <si>
    <t>258115</t>
  </si>
  <si>
    <t>179817</t>
  </si>
  <si>
    <t>184718</t>
  </si>
  <si>
    <t>258117</t>
  </si>
  <si>
    <t>179818</t>
  </si>
  <si>
    <t>184722</t>
  </si>
  <si>
    <t>258118</t>
  </si>
  <si>
    <t>179819</t>
  </si>
  <si>
    <t>184719</t>
  </si>
  <si>
    <t>258119</t>
  </si>
  <si>
    <t>179820</t>
  </si>
  <si>
    <t>184720</t>
  </si>
  <si>
    <t>258120</t>
  </si>
  <si>
    <t>179821</t>
  </si>
  <si>
    <t>184721</t>
  </si>
  <si>
    <t>258145</t>
  </si>
  <si>
    <t>179822</t>
  </si>
  <si>
    <t>184724</t>
  </si>
  <si>
    <t>258442</t>
  </si>
  <si>
    <t>179823</t>
  </si>
  <si>
    <t>184725</t>
  </si>
  <si>
    <t>258443</t>
  </si>
  <si>
    <t>179824</t>
  </si>
  <si>
    <t>184726</t>
  </si>
  <si>
    <t>258444</t>
  </si>
  <si>
    <t>179825</t>
  </si>
  <si>
    <t>184736</t>
  </si>
  <si>
    <t>258445</t>
  </si>
  <si>
    <t>179826</t>
  </si>
  <si>
    <t>184738</t>
  </si>
  <si>
    <t>258455</t>
  </si>
  <si>
    <t>179827</t>
  </si>
  <si>
    <t>184737</t>
  </si>
  <si>
    <t>259022</t>
  </si>
  <si>
    <t>179828</t>
  </si>
  <si>
    <t>184728</t>
  </si>
  <si>
    <t>259023</t>
  </si>
  <si>
    <t>179829</t>
  </si>
  <si>
    <t>184729</t>
  </si>
  <si>
    <t>259024</t>
  </si>
  <si>
    <t>179830</t>
  </si>
  <si>
    <t>184730</t>
  </si>
  <si>
    <t>259025</t>
  </si>
  <si>
    <t>179831</t>
  </si>
  <si>
    <t>184734</t>
  </si>
  <si>
    <t>259026</t>
  </si>
  <si>
    <t>179832</t>
  </si>
  <si>
    <t>184731</t>
  </si>
  <si>
    <t>259029</t>
  </si>
  <si>
    <t>179833</t>
  </si>
  <si>
    <t>184732</t>
  </si>
  <si>
    <t>259030</t>
  </si>
  <si>
    <t>179834</t>
  </si>
  <si>
    <t>184733</t>
  </si>
  <si>
    <t>179835</t>
  </si>
  <si>
    <t>184740</t>
  </si>
  <si>
    <t>179836</t>
  </si>
  <si>
    <t>184741</t>
  </si>
  <si>
    <t>258079</t>
  </si>
  <si>
    <t>179837</t>
  </si>
  <si>
    <t>184742</t>
  </si>
  <si>
    <t>258122</t>
  </si>
  <si>
    <t>179838</t>
  </si>
  <si>
    <t>184743</t>
  </si>
  <si>
    <t>258123</t>
  </si>
  <si>
    <t>179839</t>
  </si>
  <si>
    <t>184750</t>
  </si>
  <si>
    <t>258124</t>
  </si>
  <si>
    <t>179840</t>
  </si>
  <si>
    <t>184744</t>
  </si>
  <si>
    <t>258125</t>
  </si>
  <si>
    <t>179841</t>
  </si>
  <si>
    <t>184746</t>
  </si>
  <si>
    <t>258126</t>
  </si>
  <si>
    <t>179842</t>
  </si>
  <si>
    <t>184747</t>
  </si>
  <si>
    <t>258127</t>
  </si>
  <si>
    <t>179843</t>
  </si>
  <si>
    <t>184748</t>
  </si>
  <si>
    <t>258128</t>
  </si>
  <si>
    <t>179844</t>
  </si>
  <si>
    <t>184749</t>
  </si>
  <si>
    <t>58194</t>
  </si>
  <si>
    <t>179845</t>
  </si>
  <si>
    <t>184751</t>
  </si>
  <si>
    <t>258131</t>
  </si>
  <si>
    <t>184745</t>
  </si>
  <si>
    <t>258132</t>
  </si>
  <si>
    <t>184752</t>
  </si>
  <si>
    <t>258133</t>
  </si>
  <si>
    <t>184753</t>
  </si>
  <si>
    <t>258134</t>
  </si>
  <si>
    <t>179849</t>
  </si>
  <si>
    <t>184754</t>
  </si>
  <si>
    <t>258135</t>
  </si>
  <si>
    <t>184755</t>
  </si>
  <si>
    <t>258136</t>
  </si>
  <si>
    <t>184756</t>
  </si>
  <si>
    <t>258137</t>
  </si>
  <si>
    <t>184762</t>
  </si>
  <si>
    <t>258138</t>
  </si>
  <si>
    <t>179853</t>
  </si>
  <si>
    <t>184757</t>
  </si>
  <si>
    <t>258139</t>
  </si>
  <si>
    <t>179854</t>
  </si>
  <si>
    <t>184758</t>
  </si>
  <si>
    <t>258141</t>
  </si>
  <si>
    <t>179855</t>
  </si>
  <si>
    <t>184759</t>
  </si>
  <si>
    <t>258142</t>
  </si>
  <si>
    <t>179856</t>
  </si>
  <si>
    <t>184760</t>
  </si>
  <si>
    <t>258143</t>
  </si>
  <si>
    <t>179857</t>
  </si>
  <si>
    <t>184761</t>
  </si>
  <si>
    <t>258144</t>
  </si>
  <si>
    <t>179858</t>
  </si>
  <si>
    <t>184764</t>
  </si>
  <si>
    <t>258146</t>
  </si>
  <si>
    <t>179859</t>
  </si>
  <si>
    <t>184765</t>
  </si>
  <si>
    <t>258148</t>
  </si>
  <si>
    <t>179860</t>
  </si>
  <si>
    <t>184768</t>
  </si>
  <si>
    <t>258149</t>
  </si>
  <si>
    <t>179861</t>
  </si>
  <si>
    <t>184766</t>
  </si>
  <si>
    <t>258150</t>
  </si>
  <si>
    <t>179862</t>
  </si>
  <si>
    <t>184767</t>
  </si>
  <si>
    <t>258152</t>
  </si>
  <si>
    <t>179863</t>
  </si>
  <si>
    <t>184790</t>
  </si>
  <si>
    <t>258154</t>
  </si>
  <si>
    <t>179864</t>
  </si>
  <si>
    <t>184791</t>
  </si>
  <si>
    <t>258153</t>
  </si>
  <si>
    <t>179865</t>
  </si>
  <si>
    <t>184793</t>
  </si>
  <si>
    <t>258130</t>
  </si>
  <si>
    <t>179866</t>
  </si>
  <si>
    <t>184794</t>
  </si>
  <si>
    <t>258168</t>
  </si>
  <si>
    <t>179867</t>
  </si>
  <si>
    <t>184795</t>
  </si>
  <si>
    <t>258177</t>
  </si>
  <si>
    <t>179868</t>
  </si>
  <si>
    <t>184796</t>
  </si>
  <si>
    <t>258178</t>
  </si>
  <si>
    <t>179869</t>
  </si>
  <si>
    <t>184797</t>
  </si>
  <si>
    <t>258179</t>
  </si>
  <si>
    <t>179870</t>
  </si>
  <si>
    <t>184798</t>
  </si>
  <si>
    <t>258156</t>
  </si>
  <si>
    <t>179871</t>
  </si>
  <si>
    <t>184814</t>
  </si>
  <si>
    <t>258155</t>
  </si>
  <si>
    <t>179872</t>
  </si>
  <si>
    <t>184799</t>
  </si>
  <si>
    <t>258163</t>
  </si>
  <si>
    <t>179873</t>
  </si>
  <si>
    <t>184800</t>
  </si>
  <si>
    <t>258158</t>
  </si>
  <si>
    <t>179874</t>
  </si>
  <si>
    <t>184801</t>
  </si>
  <si>
    <t>258162</t>
  </si>
  <si>
    <t>179875</t>
  </si>
  <si>
    <t>184802</t>
  </si>
  <si>
    <t>258164</t>
  </si>
  <si>
    <t>179876</t>
  </si>
  <si>
    <t>184803</t>
  </si>
  <si>
    <t>258157</t>
  </si>
  <si>
    <t>179877</t>
  </si>
  <si>
    <t>184804</t>
  </si>
  <si>
    <t>258160</t>
  </si>
  <si>
    <t>179878</t>
  </si>
  <si>
    <t>184805</t>
  </si>
  <si>
    <t>159703</t>
  </si>
  <si>
    <t>179879</t>
  </si>
  <si>
    <t>184806</t>
  </si>
  <si>
    <t>258161</t>
  </si>
  <si>
    <t>179880</t>
  </si>
  <si>
    <t>184929</t>
  </si>
  <si>
    <t>258165</t>
  </si>
  <si>
    <t>179881</t>
  </si>
  <si>
    <t>184807</t>
  </si>
  <si>
    <t>258183</t>
  </si>
  <si>
    <t>179882</t>
  </si>
  <si>
    <t>184808</t>
  </si>
  <si>
    <t>258167</t>
  </si>
  <si>
    <t>179883</t>
  </si>
  <si>
    <t>184809</t>
  </si>
  <si>
    <t>258176</t>
  </si>
  <si>
    <t>179884</t>
  </si>
  <si>
    <t>184810</t>
  </si>
  <si>
    <t>258182</t>
  </si>
  <si>
    <t>179885</t>
  </si>
  <si>
    <t>184816</t>
  </si>
  <si>
    <t>258181</t>
  </si>
  <si>
    <t>179886</t>
  </si>
  <si>
    <t>184811</t>
  </si>
  <si>
    <t>258221</t>
  </si>
  <si>
    <t>179887</t>
  </si>
  <si>
    <t>184812</t>
  </si>
  <si>
    <t>258184</t>
  </si>
  <si>
    <t>179888</t>
  </si>
  <si>
    <t>184813</t>
  </si>
  <si>
    <t>258187</t>
  </si>
  <si>
    <t>179889</t>
  </si>
  <si>
    <t>184815</t>
  </si>
  <si>
    <t>258190</t>
  </si>
  <si>
    <t>179890</t>
  </si>
  <si>
    <t>184817</t>
  </si>
  <si>
    <t>258191</t>
  </si>
  <si>
    <t>179891</t>
  </si>
  <si>
    <t>184818</t>
  </si>
  <si>
    <t>258192</t>
  </si>
  <si>
    <t>179892</t>
  </si>
  <si>
    <t>184820</t>
  </si>
  <si>
    <t>258193</t>
  </si>
  <si>
    <t>179893</t>
  </si>
  <si>
    <t>184821</t>
  </si>
  <si>
    <t>258189</t>
  </si>
  <si>
    <t>179894</t>
  </si>
  <si>
    <t>184824</t>
  </si>
  <si>
    <t>258198</t>
  </si>
  <si>
    <t>179895</t>
  </si>
  <si>
    <t>184822</t>
  </si>
  <si>
    <t>258194</t>
  </si>
  <si>
    <t>179896</t>
  </si>
  <si>
    <t>184823</t>
  </si>
  <si>
    <t>258196</t>
  </si>
  <si>
    <t>179897</t>
  </si>
  <si>
    <t>184837</t>
  </si>
  <si>
    <t>258197</t>
  </si>
  <si>
    <t>179898</t>
  </si>
  <si>
    <t>184838</t>
  </si>
  <si>
    <t>258200</t>
  </si>
  <si>
    <t>179899</t>
  </si>
  <si>
    <t>184842</t>
  </si>
  <si>
    <t>258201</t>
  </si>
  <si>
    <t>179900</t>
  </si>
  <si>
    <t>184839</t>
  </si>
  <si>
    <t>258202</t>
  </si>
  <si>
    <t>179901</t>
  </si>
  <si>
    <t>184840</t>
  </si>
  <si>
    <t>258203</t>
  </si>
  <si>
    <t>179902</t>
  </si>
  <si>
    <t>184841</t>
  </si>
  <si>
    <t>258204</t>
  </si>
  <si>
    <t>179903</t>
  </si>
  <si>
    <t>184844</t>
  </si>
  <si>
    <t>258205</t>
  </si>
  <si>
    <t>179904</t>
  </si>
  <si>
    <t>184845</t>
  </si>
  <si>
    <t>258206</t>
  </si>
  <si>
    <t>179905</t>
  </si>
  <si>
    <t>184846</t>
  </si>
  <si>
    <t>258207</t>
  </si>
  <si>
    <t>179906</t>
  </si>
  <si>
    <t>184847</t>
  </si>
  <si>
    <t>258208</t>
  </si>
  <si>
    <t>179907</t>
  </si>
  <si>
    <t>184848</t>
  </si>
  <si>
    <t>259027</t>
  </si>
  <si>
    <t>179908</t>
  </si>
  <si>
    <t>184849</t>
  </si>
  <si>
    <t>258210</t>
  </si>
  <si>
    <t>179909</t>
  </si>
  <si>
    <t>184851</t>
  </si>
  <si>
    <t>258211</t>
  </si>
  <si>
    <t>179910</t>
  </si>
  <si>
    <t>184850</t>
  </si>
  <si>
    <t>258212</t>
  </si>
  <si>
    <t>179911</t>
  </si>
  <si>
    <t>184853</t>
  </si>
  <si>
    <t>258213</t>
  </si>
  <si>
    <t>179912</t>
  </si>
  <si>
    <t>184855</t>
  </si>
  <si>
    <t>258214</t>
  </si>
  <si>
    <t>179913</t>
  </si>
  <si>
    <t>184856</t>
  </si>
  <si>
    <t>258215</t>
  </si>
  <si>
    <t>179914</t>
  </si>
  <si>
    <t>184854</t>
  </si>
  <si>
    <t>258216</t>
  </si>
  <si>
    <t>179915</t>
  </si>
  <si>
    <t>184857</t>
  </si>
  <si>
    <t>258217</t>
  </si>
  <si>
    <t>179916</t>
  </si>
  <si>
    <t>184861</t>
  </si>
  <si>
    <t>258219</t>
  </si>
  <si>
    <t>179917</t>
  </si>
  <si>
    <t>184858</t>
  </si>
  <si>
    <t>258218</t>
  </si>
  <si>
    <t>179918</t>
  </si>
  <si>
    <t>184859</t>
  </si>
  <si>
    <t>258220</t>
  </si>
  <si>
    <t>179919</t>
  </si>
  <si>
    <t>184860</t>
  </si>
  <si>
    <t>41933</t>
  </si>
  <si>
    <t>179920</t>
  </si>
  <si>
    <t>184863</t>
  </si>
  <si>
    <t>258055</t>
  </si>
  <si>
    <t>179921</t>
  </si>
  <si>
    <t>184864</t>
  </si>
  <si>
    <t>92150</t>
  </si>
  <si>
    <t>179922</t>
  </si>
  <si>
    <t>184865</t>
  </si>
  <si>
    <t>258224</t>
  </si>
  <si>
    <t>179923</t>
  </si>
  <si>
    <t>184866</t>
  </si>
  <si>
    <t>258225</t>
  </si>
  <si>
    <t>179924</t>
  </si>
  <si>
    <t>184867</t>
  </si>
  <si>
    <t>258228</t>
  </si>
  <si>
    <t>179925</t>
  </si>
  <si>
    <t>184868</t>
  </si>
  <si>
    <t>258227</t>
  </si>
  <si>
    <t>179926</t>
  </si>
  <si>
    <t>184869</t>
  </si>
  <si>
    <t>258229</t>
  </si>
  <si>
    <t>179927</t>
  </si>
  <si>
    <t>184875</t>
  </si>
  <si>
    <t>11809</t>
  </si>
  <si>
    <t>179928</t>
  </si>
  <si>
    <t>184870</t>
  </si>
  <si>
    <t>36351</t>
  </si>
  <si>
    <t>179929</t>
  </si>
  <si>
    <t>184871</t>
  </si>
  <si>
    <t>67067</t>
  </si>
  <si>
    <t>179930</t>
  </si>
  <si>
    <t>184872</t>
  </si>
  <si>
    <t>67066</t>
  </si>
  <si>
    <t>179931</t>
  </si>
  <si>
    <t>184873</t>
  </si>
  <si>
    <t>71420</t>
  </si>
  <si>
    <t>179932</t>
  </si>
  <si>
    <t>184874</t>
  </si>
  <si>
    <t>61791</t>
  </si>
  <si>
    <t>179933</t>
  </si>
  <si>
    <t>184877</t>
  </si>
  <si>
    <t>26258</t>
  </si>
  <si>
    <t>179934</t>
  </si>
  <si>
    <t>184878</t>
  </si>
  <si>
    <t>45037</t>
  </si>
  <si>
    <t>179935</t>
  </si>
  <si>
    <t>184879</t>
  </si>
  <si>
    <t>258230</t>
  </si>
  <si>
    <t>179936</t>
  </si>
  <si>
    <t>184883</t>
  </si>
  <si>
    <t>258232</t>
  </si>
  <si>
    <t>179937</t>
  </si>
  <si>
    <t>184880</t>
  </si>
  <si>
    <t>258233</t>
  </si>
  <si>
    <t>179938</t>
  </si>
  <si>
    <t>184881</t>
  </si>
  <si>
    <t>258234</t>
  </si>
  <si>
    <t>179939</t>
  </si>
  <si>
    <t>184882</t>
  </si>
  <si>
    <t>182934</t>
  </si>
  <si>
    <t>179940</t>
  </si>
  <si>
    <t>184884</t>
  </si>
  <si>
    <t>182936</t>
  </si>
  <si>
    <t>179941</t>
  </si>
  <si>
    <t>184885</t>
  </si>
  <si>
    <t>182935</t>
  </si>
  <si>
    <t>179942</t>
  </si>
  <si>
    <t>184891</t>
  </si>
  <si>
    <t>182938</t>
  </si>
  <si>
    <t>179943</t>
  </si>
  <si>
    <t>184886</t>
  </si>
  <si>
    <t>182940</t>
  </si>
  <si>
    <t>179944</t>
  </si>
  <si>
    <t>184887</t>
  </si>
  <si>
    <t>182939</t>
  </si>
  <si>
    <t>179945</t>
  </si>
  <si>
    <t>184888</t>
  </si>
  <si>
    <t>258258</t>
  </si>
  <si>
    <t>179946</t>
  </si>
  <si>
    <t>184889</t>
  </si>
  <si>
    <t>258259</t>
  </si>
  <si>
    <t>179947</t>
  </si>
  <si>
    <t>184890</t>
  </si>
  <si>
    <t>182921</t>
  </si>
  <si>
    <t>179948</t>
  </si>
  <si>
    <t>184670</t>
  </si>
  <si>
    <t>182922</t>
  </si>
  <si>
    <t>179949</t>
  </si>
  <si>
    <t>184893</t>
  </si>
  <si>
    <t>182923</t>
  </si>
  <si>
    <t>179950</t>
  </si>
  <si>
    <t>184894</t>
  </si>
  <si>
    <t>182924</t>
  </si>
  <si>
    <t>179951</t>
  </si>
  <si>
    <t>184895</t>
  </si>
  <si>
    <t>258235</t>
  </si>
  <si>
    <t>179952</t>
  </si>
  <si>
    <t>184896</t>
  </si>
  <si>
    <t>182926</t>
  </si>
  <si>
    <t>179953</t>
  </si>
  <si>
    <t>184897</t>
  </si>
  <si>
    <t>182927</t>
  </si>
  <si>
    <t>179954</t>
  </si>
  <si>
    <t>184898</t>
  </si>
  <si>
    <t>182929</t>
  </si>
  <si>
    <t>179955</t>
  </si>
  <si>
    <t>184905</t>
  </si>
  <si>
    <t>182930</t>
  </si>
  <si>
    <t>179956</t>
  </si>
  <si>
    <t>184899</t>
  </si>
  <si>
    <t>182931</t>
  </si>
  <si>
    <t>179957</t>
  </si>
  <si>
    <t>184900</t>
  </si>
  <si>
    <t>182932</t>
  </si>
  <si>
    <t>179958</t>
  </si>
  <si>
    <t>184901</t>
  </si>
  <si>
    <t>182928</t>
  </si>
  <si>
    <t>179959</t>
  </si>
  <si>
    <t>184902</t>
  </si>
  <si>
    <t>258260</t>
  </si>
  <si>
    <t>179960</t>
  </si>
  <si>
    <t>184903</t>
  </si>
  <si>
    <t>258238</t>
  </si>
  <si>
    <t>179961</t>
  </si>
  <si>
    <t>184904</t>
  </si>
  <si>
    <t>258239</t>
  </si>
  <si>
    <t>179962</t>
  </si>
  <si>
    <t>184907</t>
  </si>
  <si>
    <t>258240</t>
  </si>
  <si>
    <t>179963</t>
  </si>
  <si>
    <t>184908</t>
  </si>
  <si>
    <t>258241</t>
  </si>
  <si>
    <t>179964</t>
  </si>
  <si>
    <t>184909</t>
  </si>
  <si>
    <t>258242</t>
  </si>
  <si>
    <t>179965</t>
  </si>
  <si>
    <t>184910</t>
  </si>
  <si>
    <t>258243</t>
  </si>
  <si>
    <t>179966</t>
  </si>
  <si>
    <t>184918</t>
  </si>
  <si>
    <t>258244</t>
  </si>
  <si>
    <t>179967</t>
  </si>
  <si>
    <t>184911</t>
  </si>
  <si>
    <t>258245</t>
  </si>
  <si>
    <t>179968</t>
  </si>
  <si>
    <t>184912</t>
  </si>
  <si>
    <t>258246</t>
  </si>
  <si>
    <t>179969</t>
  </si>
  <si>
    <t>184913</t>
  </si>
  <si>
    <t>258248</t>
  </si>
  <si>
    <t>179970</t>
  </si>
  <si>
    <t>184914</t>
  </si>
  <si>
    <t>258249</t>
  </si>
  <si>
    <t>179971</t>
  </si>
  <si>
    <t>184915</t>
  </si>
  <si>
    <t>258250</t>
  </si>
  <si>
    <t>179972</t>
  </si>
  <si>
    <t>184916</t>
  </si>
  <si>
    <t>258251</t>
  </si>
  <si>
    <t>179973</t>
  </si>
  <si>
    <t>184917</t>
  </si>
  <si>
    <t>258252</t>
  </si>
  <si>
    <t>179974</t>
  </si>
  <si>
    <t>184920</t>
  </si>
  <si>
    <t>258253</t>
  </si>
  <si>
    <t>179975</t>
  </si>
  <si>
    <t>184921</t>
  </si>
  <si>
    <t>258254</t>
  </si>
  <si>
    <t>179976</t>
  </si>
  <si>
    <t>184922</t>
  </si>
  <si>
    <t>258255</t>
  </si>
  <si>
    <t>179977</t>
  </si>
  <si>
    <t>184928</t>
  </si>
  <si>
    <t>258256</t>
  </si>
  <si>
    <t>179978</t>
  </si>
  <si>
    <t>184923</t>
  </si>
  <si>
    <t>58296</t>
  </si>
  <si>
    <t>179979</t>
  </si>
  <si>
    <t>184924</t>
  </si>
  <si>
    <t>258261</t>
  </si>
  <si>
    <t>179980</t>
  </si>
  <si>
    <t>184925</t>
  </si>
  <si>
    <t>258262</t>
  </si>
  <si>
    <t>179981</t>
  </si>
  <si>
    <t>184926</t>
  </si>
  <si>
    <t>58291</t>
  </si>
  <si>
    <t>179982</t>
  </si>
  <si>
    <t>184927</t>
  </si>
  <si>
    <t>258265</t>
  </si>
  <si>
    <t>179983</t>
  </si>
  <si>
    <t>158940</t>
  </si>
  <si>
    <t>258264</t>
  </si>
  <si>
    <t>158941</t>
  </si>
  <si>
    <t>258266</t>
  </si>
  <si>
    <t>158942</t>
  </si>
  <si>
    <t>258267</t>
  </si>
  <si>
    <t>158943</t>
  </si>
  <si>
    <t>58295</t>
  </si>
  <si>
    <t>75208</t>
  </si>
  <si>
    <t>258283</t>
  </si>
  <si>
    <t>50453</t>
  </si>
  <si>
    <t>258269</t>
  </si>
  <si>
    <t>26453</t>
  </si>
  <si>
    <t>258273</t>
  </si>
  <si>
    <t>34210</t>
  </si>
  <si>
    <t>258276</t>
  </si>
  <si>
    <t>183718</t>
  </si>
  <si>
    <t>258270</t>
  </si>
  <si>
    <t>183719</t>
  </si>
  <si>
    <t>258271</t>
  </si>
  <si>
    <t>183720</t>
  </si>
  <si>
    <t>258275</t>
  </si>
  <si>
    <t>183721</t>
  </si>
  <si>
    <t>258277</t>
  </si>
  <si>
    <t>185031</t>
  </si>
  <si>
    <t>258282</t>
  </si>
  <si>
    <t>184633</t>
  </si>
  <si>
    <t>258279</t>
  </si>
  <si>
    <t>184634</t>
  </si>
  <si>
    <t>258278</t>
  </si>
  <si>
    <t>184635</t>
  </si>
  <si>
    <t>258281</t>
  </si>
  <si>
    <t>184636</t>
  </si>
  <si>
    <t>258280</t>
  </si>
  <si>
    <t>6032</t>
  </si>
  <si>
    <t>258285</t>
  </si>
  <si>
    <t>263329</t>
  </si>
  <si>
    <t>258290</t>
  </si>
  <si>
    <t>177771</t>
  </si>
  <si>
    <t>258286</t>
  </si>
  <si>
    <t>177772</t>
  </si>
  <si>
    <t>258288</t>
  </si>
  <si>
    <t>263330</t>
  </si>
  <si>
    <t>258287</t>
  </si>
  <si>
    <t>263331</t>
  </si>
  <si>
    <t>258289</t>
  </si>
  <si>
    <t>177773</t>
  </si>
  <si>
    <t>58294</t>
  </si>
  <si>
    <t>177778</t>
  </si>
  <si>
    <t>258292</t>
  </si>
  <si>
    <t>177782</t>
  </si>
  <si>
    <t>258294</t>
  </si>
  <si>
    <t>177779</t>
  </si>
  <si>
    <t>258293</t>
  </si>
  <si>
    <t>177781</t>
  </si>
  <si>
    <t>258296</t>
  </si>
  <si>
    <t>177780</t>
  </si>
  <si>
    <t>258297</t>
  </si>
  <si>
    <t>177777</t>
  </si>
  <si>
    <t>258301</t>
  </si>
  <si>
    <t>35563</t>
  </si>
  <si>
    <t>258298</t>
  </si>
  <si>
    <t>177776</t>
  </si>
  <si>
    <t>258299</t>
  </si>
  <si>
    <t>177775</t>
  </si>
  <si>
    <t>258300</t>
  </si>
  <si>
    <t>263332</t>
  </si>
  <si>
    <t>67224</t>
  </si>
  <si>
    <t>177783</t>
  </si>
  <si>
    <t>26256</t>
  </si>
  <si>
    <t>263334</t>
  </si>
  <si>
    <t>45036</t>
  </si>
  <si>
    <t>177978</t>
  </si>
  <si>
    <t>45034</t>
  </si>
  <si>
    <t>263333</t>
  </si>
  <si>
    <t>53235</t>
  </si>
  <si>
    <t>183523</t>
  </si>
  <si>
    <t>182954</t>
  </si>
  <si>
    <t>180514</t>
  </si>
  <si>
    <t>57012</t>
  </si>
  <si>
    <t>263190</t>
  </si>
  <si>
    <t>182950</t>
  </si>
  <si>
    <t>180515</t>
  </si>
  <si>
    <t>182953</t>
  </si>
  <si>
    <t>180516</t>
  </si>
  <si>
    <t>124821</t>
  </si>
  <si>
    <t>180518</t>
  </si>
  <si>
    <t>182952</t>
  </si>
  <si>
    <t>263326</t>
  </si>
  <si>
    <t>182951</t>
  </si>
  <si>
    <t>180521</t>
  </si>
  <si>
    <t>182947</t>
  </si>
  <si>
    <t>263191</t>
  </si>
  <si>
    <t>182943</t>
  </si>
  <si>
    <t>180519</t>
  </si>
  <si>
    <t>182948</t>
  </si>
  <si>
    <t>263192</t>
  </si>
  <si>
    <t>258302</t>
  </si>
  <si>
    <t>183524</t>
  </si>
  <si>
    <t>182945</t>
  </si>
  <si>
    <t>263142</t>
  </si>
  <si>
    <t>109557</t>
  </si>
  <si>
    <t>263143</t>
  </si>
  <si>
    <t>182946</t>
  </si>
  <si>
    <t>35560</t>
  </si>
  <si>
    <t>182916</t>
  </si>
  <si>
    <t>182910</t>
  </si>
  <si>
    <t>35561</t>
  </si>
  <si>
    <t>182909</t>
  </si>
  <si>
    <t>35562</t>
  </si>
  <si>
    <t>258171</t>
  </si>
  <si>
    <t>258172</t>
  </si>
  <si>
    <t>171586</t>
  </si>
  <si>
    <t>182911</t>
  </si>
  <si>
    <t>35568</t>
  </si>
  <si>
    <t>11774</t>
  </si>
  <si>
    <t>178033</t>
  </si>
  <si>
    <t>182914</t>
  </si>
  <si>
    <t>178031</t>
  </si>
  <si>
    <t>182913</t>
  </si>
  <si>
    <t>183728</t>
  </si>
  <si>
    <t>171585</t>
  </si>
  <si>
    <t>178032</t>
  </si>
  <si>
    <t>182903</t>
  </si>
  <si>
    <t>183727</t>
  </si>
  <si>
    <t>182904</t>
  </si>
  <si>
    <t>35567</t>
  </si>
  <si>
    <t>182902</t>
  </si>
  <si>
    <t>263023</t>
  </si>
  <si>
    <t>67054</t>
  </si>
  <si>
    <t>177919</t>
  </si>
  <si>
    <t>124822</t>
  </si>
  <si>
    <t>177920</t>
  </si>
  <si>
    <t>182899</t>
  </si>
  <si>
    <t>177927</t>
  </si>
  <si>
    <t>182900</t>
  </si>
  <si>
    <t>178995</t>
  </si>
  <si>
    <t>166672</t>
  </si>
  <si>
    <t>263025</t>
  </si>
  <si>
    <t>182901</t>
  </si>
  <si>
    <t>177922</t>
  </si>
  <si>
    <t>182898</t>
  </si>
  <si>
    <t>177923</t>
  </si>
  <si>
    <t>67062</t>
  </si>
  <si>
    <t>177924</t>
  </si>
  <si>
    <t>124825</t>
  </si>
  <si>
    <t>177921</t>
  </si>
  <si>
    <t>258109</t>
  </si>
  <si>
    <t>263024</t>
  </si>
  <si>
    <t>182917</t>
  </si>
  <si>
    <t>177925</t>
  </si>
  <si>
    <t>182918</t>
  </si>
  <si>
    <t>263026</t>
  </si>
  <si>
    <t>182915</t>
  </si>
  <si>
    <t>177926</t>
  </si>
  <si>
    <t>67053</t>
  </si>
  <si>
    <t>177928</t>
  </si>
  <si>
    <t>258173</t>
  </si>
  <si>
    <t>263029</t>
  </si>
  <si>
    <t>124820</t>
  </si>
  <si>
    <t>263028</t>
  </si>
  <si>
    <t>258175</t>
  </si>
  <si>
    <t>263031</t>
  </si>
  <si>
    <t>182907</t>
  </si>
  <si>
    <t>263195</t>
  </si>
  <si>
    <t>182906</t>
  </si>
  <si>
    <t>263198</t>
  </si>
  <si>
    <t>67063</t>
  </si>
  <si>
    <t>263196</t>
  </si>
  <si>
    <t>258303</t>
  </si>
  <si>
    <t>263197</t>
  </si>
  <si>
    <t>258304</t>
  </si>
  <si>
    <t>263199</t>
  </si>
  <si>
    <t>67052</t>
  </si>
  <si>
    <t>263200</t>
  </si>
  <si>
    <t>58260</t>
  </si>
  <si>
    <t>263203</t>
  </si>
  <si>
    <t>182895</t>
  </si>
  <si>
    <t>263205</t>
  </si>
  <si>
    <t>258174</t>
  </si>
  <si>
    <t>263202</t>
  </si>
  <si>
    <t>182896</t>
  </si>
  <si>
    <t>263204</t>
  </si>
  <si>
    <t>67045</t>
  </si>
  <si>
    <t>263206</t>
  </si>
  <si>
    <t>67046</t>
  </si>
  <si>
    <t>263207</t>
  </si>
  <si>
    <t>171584</t>
  </si>
  <si>
    <t>263208</t>
  </si>
  <si>
    <t>92090</t>
  </si>
  <si>
    <t>263209</t>
  </si>
  <si>
    <t>67051</t>
  </si>
  <si>
    <t>263210</t>
  </si>
  <si>
    <t>182894</t>
  </si>
  <si>
    <t>263214</t>
  </si>
  <si>
    <t>182893</t>
  </si>
  <si>
    <t>263213</t>
  </si>
  <si>
    <t>258307</t>
  </si>
  <si>
    <t>263212</t>
  </si>
  <si>
    <t>67228</t>
  </si>
  <si>
    <t>263217</t>
  </si>
  <si>
    <t>259037</t>
  </si>
  <si>
    <t>263216</t>
  </si>
  <si>
    <t>259032</t>
  </si>
  <si>
    <t>263218</t>
  </si>
  <si>
    <t>259035</t>
  </si>
  <si>
    <t>263222</t>
  </si>
  <si>
    <t>258305</t>
  </si>
  <si>
    <t>263219</t>
  </si>
  <si>
    <t>67227</t>
  </si>
  <si>
    <t>263220</t>
  </si>
  <si>
    <t>57121</t>
  </si>
  <si>
    <t>263221</t>
  </si>
  <si>
    <t>258308</t>
  </si>
  <si>
    <t>263223</t>
  </si>
  <si>
    <t>259036</t>
  </si>
  <si>
    <t>177929</t>
  </si>
  <si>
    <t>11810</t>
  </si>
  <si>
    <t>49782</t>
  </si>
  <si>
    <t>67229</t>
  </si>
  <si>
    <t>263224</t>
  </si>
  <si>
    <t>259033</t>
  </si>
  <si>
    <t>263225</t>
  </si>
  <si>
    <t>57122</t>
  </si>
  <si>
    <t>177949</t>
  </si>
  <si>
    <t>258310</t>
  </si>
  <si>
    <t>177933</t>
  </si>
  <si>
    <t>258311</t>
  </si>
  <si>
    <t>177960</t>
  </si>
  <si>
    <t>258312</t>
  </si>
  <si>
    <t>177957</t>
  </si>
  <si>
    <t>258317</t>
  </si>
  <si>
    <t>177931</t>
  </si>
  <si>
    <t>258318</t>
  </si>
  <si>
    <t>177951</t>
  </si>
  <si>
    <t>258319</t>
  </si>
  <si>
    <t>177952</t>
  </si>
  <si>
    <t>258320</t>
  </si>
  <si>
    <t>263226</t>
  </si>
  <si>
    <t>258321</t>
  </si>
  <si>
    <t>177953</t>
  </si>
  <si>
    <t>258315</t>
  </si>
  <si>
    <t>177961</t>
  </si>
  <si>
    <t>258322</t>
  </si>
  <si>
    <t>177956</t>
  </si>
  <si>
    <t>258316</t>
  </si>
  <si>
    <t>177958</t>
  </si>
  <si>
    <t>258323</t>
  </si>
  <si>
    <t>263229</t>
  </si>
  <si>
    <t>259038</t>
  </si>
  <si>
    <t>177959</t>
  </si>
  <si>
    <t>259034</t>
  </si>
  <si>
    <t>263230</t>
  </si>
  <si>
    <t>67237</t>
  </si>
  <si>
    <t>177954</t>
  </si>
  <si>
    <t>258326</t>
  </si>
  <si>
    <t>177955</t>
  </si>
  <si>
    <t>258327</t>
  </si>
  <si>
    <t>177932</t>
  </si>
  <si>
    <t>258328</t>
  </si>
  <si>
    <t>263350</t>
  </si>
  <si>
    <t>258329</t>
  </si>
  <si>
    <t>263351</t>
  </si>
  <si>
    <t>258330</t>
  </si>
  <si>
    <t>177963</t>
  </si>
  <si>
    <t>258331</t>
  </si>
  <si>
    <t>263352</t>
  </si>
  <si>
    <t>258332</t>
  </si>
  <si>
    <t>177981</t>
  </si>
  <si>
    <t>258334</t>
  </si>
  <si>
    <t>177987</t>
  </si>
  <si>
    <t>258335</t>
  </si>
  <si>
    <t>177982</t>
  </si>
  <si>
    <t>258336</t>
  </si>
  <si>
    <t>180026</t>
  </si>
  <si>
    <t>42938</t>
  </si>
  <si>
    <t>177983</t>
  </si>
  <si>
    <t>258338</t>
  </si>
  <si>
    <t>263353</t>
  </si>
  <si>
    <t>258339</t>
  </si>
  <si>
    <t>177985</t>
  </si>
  <si>
    <t>258340</t>
  </si>
  <si>
    <t>177986</t>
  </si>
  <si>
    <t>258341</t>
  </si>
  <si>
    <t>263335</t>
  </si>
  <si>
    <t>67240</t>
  </si>
  <si>
    <t>82219</t>
  </si>
  <si>
    <t>258343</t>
  </si>
  <si>
    <t>171108</t>
  </si>
  <si>
    <t>258344</t>
  </si>
  <si>
    <t>263336</t>
  </si>
  <si>
    <t>258345</t>
  </si>
  <si>
    <t>177967</t>
  </si>
  <si>
    <t>258346</t>
  </si>
  <si>
    <t>177969</t>
  </si>
  <si>
    <t>258347</t>
  </si>
  <si>
    <t>177970</t>
  </si>
  <si>
    <t>258348</t>
  </si>
  <si>
    <t>177964</t>
  </si>
  <si>
    <t>258349</t>
  </si>
  <si>
    <t>180025</t>
  </si>
  <si>
    <t>258350</t>
  </si>
  <si>
    <t>263337</t>
  </si>
  <si>
    <t>258351</t>
  </si>
  <si>
    <t>82198</t>
  </si>
  <si>
    <t>258352</t>
  </si>
  <si>
    <t>180159</t>
  </si>
  <si>
    <t>258353</t>
  </si>
  <si>
    <t>263338</t>
  </si>
  <si>
    <t>258354</t>
  </si>
  <si>
    <t>177943</t>
  </si>
  <si>
    <t>258355</t>
  </si>
  <si>
    <t>177971</t>
  </si>
  <si>
    <t>258356</t>
  </si>
  <si>
    <t>177972</t>
  </si>
  <si>
    <t>258358</t>
  </si>
  <si>
    <t>263339</t>
  </si>
  <si>
    <t>258359</t>
  </si>
  <si>
    <t>177973</t>
  </si>
  <si>
    <t>258360</t>
  </si>
  <si>
    <t>177975</t>
  </si>
  <si>
    <t>258361</t>
  </si>
  <si>
    <t>177974</t>
  </si>
  <si>
    <t>258362</t>
  </si>
  <si>
    <t>180024</t>
  </si>
  <si>
    <t>258363</t>
  </si>
  <si>
    <t>177980</t>
  </si>
  <si>
    <t>258364</t>
  </si>
  <si>
    <t>177976</t>
  </si>
  <si>
    <t>258365</t>
  </si>
  <si>
    <t>178034</t>
  </si>
  <si>
    <t>258366</t>
  </si>
  <si>
    <t>263341</t>
  </si>
  <si>
    <t>258368</t>
  </si>
  <si>
    <t>263342</t>
  </si>
  <si>
    <t>258372</t>
  </si>
  <si>
    <t>263343</t>
  </si>
  <si>
    <t>258369</t>
  </si>
  <si>
    <t>177965</t>
  </si>
  <si>
    <t>258370</t>
  </si>
  <si>
    <t>263344</t>
  </si>
  <si>
    <t>258375</t>
  </si>
  <si>
    <t>177966</t>
  </si>
  <si>
    <t>258374</t>
  </si>
  <si>
    <t>177979</t>
  </si>
  <si>
    <t>258373</t>
  </si>
  <si>
    <t>263346</t>
  </si>
  <si>
    <t>258371</t>
  </si>
  <si>
    <t>177977</t>
  </si>
  <si>
    <t>258376</t>
  </si>
  <si>
    <t>263347</t>
  </si>
  <si>
    <t>258180</t>
  </si>
  <si>
    <t>263348</t>
  </si>
  <si>
    <t>57027</t>
  </si>
  <si>
    <t>263349</t>
  </si>
  <si>
    <t>25295</t>
  </si>
  <si>
    <t>263415</t>
  </si>
  <si>
    <t>45019</t>
  </si>
  <si>
    <t>177995</t>
  </si>
  <si>
    <t>57028</t>
  </si>
  <si>
    <t>263416</t>
  </si>
  <si>
    <t>258377</t>
  </si>
  <si>
    <t>177993</t>
  </si>
  <si>
    <t>57029</t>
  </si>
  <si>
    <t>177999</t>
  </si>
  <si>
    <t>258379</t>
  </si>
  <si>
    <t>177996</t>
  </si>
  <si>
    <t>258380</t>
  </si>
  <si>
    <t>177994</t>
  </si>
  <si>
    <t>258381</t>
  </si>
  <si>
    <t>177997</t>
  </si>
  <si>
    <t>41946</t>
  </si>
  <si>
    <t>178001</t>
  </si>
  <si>
    <t>41947</t>
  </si>
  <si>
    <t>177998</t>
  </si>
  <si>
    <t>258383</t>
  </si>
  <si>
    <t>178000</t>
  </si>
  <si>
    <t>258384</t>
  </si>
  <si>
    <t>177988</t>
  </si>
  <si>
    <t>258386</t>
  </si>
  <si>
    <t>183725</t>
  </si>
  <si>
    <t>258385</t>
  </si>
  <si>
    <t>263087</t>
  </si>
  <si>
    <t>258387</t>
  </si>
  <si>
    <t>177990</t>
  </si>
  <si>
    <t>258388</t>
  </si>
  <si>
    <t>263088</t>
  </si>
  <si>
    <t>258390</t>
  </si>
  <si>
    <t>177992</t>
  </si>
  <si>
    <t>258391</t>
  </si>
  <si>
    <t>177991</t>
  </si>
  <si>
    <t>258392</t>
  </si>
  <si>
    <t>178005</t>
  </si>
  <si>
    <t>258393</t>
  </si>
  <si>
    <t>263152</t>
  </si>
  <si>
    <t>258399</t>
  </si>
  <si>
    <t>183723</t>
  </si>
  <si>
    <t>258400</t>
  </si>
  <si>
    <t>263145</t>
  </si>
  <si>
    <t>258394</t>
  </si>
  <si>
    <t>263149</t>
  </si>
  <si>
    <t>258395</t>
  </si>
  <si>
    <t>263148</t>
  </si>
  <si>
    <t>258396</t>
  </si>
  <si>
    <t>263147</t>
  </si>
  <si>
    <t>258397</t>
  </si>
  <si>
    <t>263146</t>
  </si>
  <si>
    <t>258398</t>
  </si>
  <si>
    <t>182218</t>
  </si>
  <si>
    <t>258402</t>
  </si>
  <si>
    <t>177984</t>
  </si>
  <si>
    <t>258403</t>
  </si>
  <si>
    <t>263150</t>
  </si>
  <si>
    <t>258404</t>
  </si>
  <si>
    <t>263151</t>
  </si>
  <si>
    <t>258405</t>
  </si>
  <si>
    <t>178002</t>
  </si>
  <si>
    <t>258418</t>
  </si>
  <si>
    <t>263089</t>
  </si>
  <si>
    <t>258417</t>
  </si>
  <si>
    <t>263043</t>
  </si>
  <si>
    <t>258406</t>
  </si>
  <si>
    <t>178004</t>
  </si>
  <si>
    <t>258407</t>
  </si>
  <si>
    <t>263090</t>
  </si>
  <si>
    <t>258408</t>
  </si>
  <si>
    <t>178006</t>
  </si>
  <si>
    <t>258409</t>
  </si>
  <si>
    <t>178003</t>
  </si>
  <si>
    <t>258410</t>
  </si>
  <si>
    <t>178007</t>
  </si>
  <si>
    <t>258411</t>
  </si>
  <si>
    <t>178009</t>
  </si>
  <si>
    <t>258412</t>
  </si>
  <si>
    <t>178008</t>
  </si>
  <si>
    <t>258413</t>
  </si>
  <si>
    <t>263091</t>
  </si>
  <si>
    <t>258414</t>
  </si>
  <si>
    <t>263092</t>
  </si>
  <si>
    <t>258415</t>
  </si>
  <si>
    <t>178018</t>
  </si>
  <si>
    <t>258416</t>
  </si>
  <si>
    <t>178012</t>
  </si>
  <si>
    <t>258170</t>
  </si>
  <si>
    <t>263101</t>
  </si>
  <si>
    <t>258420</t>
  </si>
  <si>
    <t>178011</t>
  </si>
  <si>
    <t>258421</t>
  </si>
  <si>
    <t>263239</t>
  </si>
  <si>
    <t>36345</t>
  </si>
  <si>
    <t>263237</t>
  </si>
  <si>
    <t>258423</t>
  </si>
  <si>
    <t>263238</t>
  </si>
  <si>
    <t>258424</t>
  </si>
  <si>
    <t>263231</t>
  </si>
  <si>
    <t>258425</t>
  </si>
  <si>
    <t>178021</t>
  </si>
  <si>
    <t>258426</t>
  </si>
  <si>
    <t>263233</t>
  </si>
  <si>
    <t>258427</t>
  </si>
  <si>
    <t>178022</t>
  </si>
  <si>
    <t>258428</t>
  </si>
  <si>
    <t>263232</t>
  </si>
  <si>
    <t>41943</t>
  </si>
  <si>
    <t>178024</t>
  </si>
  <si>
    <t>112398</t>
  </si>
  <si>
    <t>178025</t>
  </si>
  <si>
    <t>258430</t>
  </si>
  <si>
    <t>178019</t>
  </si>
  <si>
    <t>258431</t>
  </si>
  <si>
    <t>178027</t>
  </si>
  <si>
    <t>258432</t>
  </si>
  <si>
    <t>263234</t>
  </si>
  <si>
    <t>258438</t>
  </si>
  <si>
    <t>263235</t>
  </si>
  <si>
    <t>258433</t>
  </si>
  <si>
    <t>178026</t>
  </si>
  <si>
    <t>258434</t>
  </si>
  <si>
    <t>178023</t>
  </si>
  <si>
    <t>258435</t>
  </si>
  <si>
    <t>183527</t>
  </si>
  <si>
    <t>258436</t>
  </si>
  <si>
    <t>25644</t>
  </si>
  <si>
    <t>258437</t>
  </si>
  <si>
    <t>258439</t>
  </si>
  <si>
    <t>183528</t>
  </si>
  <si>
    <t>258440</t>
  </si>
  <si>
    <t>183529</t>
  </si>
  <si>
    <t>258441</t>
  </si>
  <si>
    <t>181821</t>
  </si>
  <si>
    <t>263095</t>
  </si>
  <si>
    <t>185134</t>
  </si>
  <si>
    <t>263096</t>
  </si>
  <si>
    <t>185135</t>
  </si>
  <si>
    <t>129085</t>
  </si>
  <si>
    <t>178036</t>
  </si>
  <si>
    <t>181685</t>
  </si>
  <si>
    <t>178038</t>
  </si>
  <si>
    <t>181682</t>
  </si>
  <si>
    <t>178040</t>
  </si>
  <si>
    <t>181680</t>
  </si>
  <si>
    <t>263034</t>
  </si>
  <si>
    <t>181683</t>
  </si>
  <si>
    <t>178039</t>
  </si>
  <si>
    <t>260819</t>
  </si>
  <si>
    <t>263033</t>
  </si>
  <si>
    <t>42886</t>
  </si>
  <si>
    <t>178041</t>
  </si>
  <si>
    <t>181919</t>
  </si>
  <si>
    <t>263035</t>
  </si>
  <si>
    <t>181918</t>
  </si>
  <si>
    <t>183729</t>
  </si>
  <si>
    <t>55824</t>
  </si>
  <si>
    <t>53112</t>
  </si>
  <si>
    <t>263040</t>
  </si>
  <si>
    <t>73135</t>
  </si>
  <si>
    <t>178042</t>
  </si>
  <si>
    <t>181928</t>
  </si>
  <si>
    <t>262985</t>
  </si>
  <si>
    <t>181927</t>
  </si>
  <si>
    <t>263037</t>
  </si>
  <si>
    <t>4662</t>
  </si>
  <si>
    <t>263038</t>
  </si>
  <si>
    <t>185138</t>
  </si>
  <si>
    <t>183730</t>
  </si>
  <si>
    <t>185140</t>
  </si>
  <si>
    <t>178037</t>
  </si>
  <si>
    <t>181878</t>
  </si>
  <si>
    <t>263036</t>
  </si>
  <si>
    <t>41519</t>
  </si>
  <si>
    <t>263041</t>
  </si>
  <si>
    <t>181880</t>
  </si>
  <si>
    <t>263039</t>
  </si>
  <si>
    <t>181890</t>
  </si>
  <si>
    <t>177934</t>
  </si>
  <si>
    <t>181888</t>
  </si>
  <si>
    <t>180030</t>
  </si>
  <si>
    <t>181887</t>
  </si>
  <si>
    <t>263423</t>
  </si>
  <si>
    <t>181886</t>
  </si>
  <si>
    <t>177936</t>
  </si>
  <si>
    <t>181881</t>
  </si>
  <si>
    <t>177948</t>
  </si>
  <si>
    <t>181883</t>
  </si>
  <si>
    <t>177937</t>
  </si>
  <si>
    <t>181884</t>
  </si>
  <si>
    <t>177939</t>
  </si>
  <si>
    <t>181885</t>
  </si>
  <si>
    <t>263424</t>
  </si>
  <si>
    <t>181889</t>
  </si>
  <si>
    <t>177940</t>
  </si>
  <si>
    <t>7286</t>
  </si>
  <si>
    <t>177941</t>
  </si>
  <si>
    <t>181912</t>
  </si>
  <si>
    <t>263426</t>
  </si>
  <si>
    <t>7288</t>
  </si>
  <si>
    <t>177945</t>
  </si>
  <si>
    <t>185141</t>
  </si>
  <si>
    <t>177942</t>
  </si>
  <si>
    <t>58163</t>
  </si>
  <si>
    <t>180031</t>
  </si>
  <si>
    <t>181913</t>
  </si>
  <si>
    <t>263418</t>
  </si>
  <si>
    <t>181916</t>
  </si>
  <si>
    <t>177935</t>
  </si>
  <si>
    <t>181915</t>
  </si>
  <si>
    <t>49831</t>
  </si>
  <si>
    <t>181914</t>
  </si>
  <si>
    <t>180032</t>
  </si>
  <si>
    <t>73144</t>
  </si>
  <si>
    <t>263419</t>
  </si>
  <si>
    <t>58162</t>
  </si>
  <si>
    <t>263420</t>
  </si>
  <si>
    <t>65507</t>
  </si>
  <si>
    <t>263421</t>
  </si>
  <si>
    <t>260820</t>
  </si>
  <si>
    <t>177946</t>
  </si>
  <si>
    <t>117488</t>
  </si>
  <si>
    <t>177944</t>
  </si>
  <si>
    <t>260821</t>
  </si>
  <si>
    <t>263428</t>
  </si>
  <si>
    <t>159680</t>
  </si>
  <si>
    <t>177947</t>
  </si>
  <si>
    <t>181905</t>
  </si>
  <si>
    <t>180036</t>
  </si>
  <si>
    <t>260822</t>
  </si>
  <si>
    <t>21669</t>
  </si>
  <si>
    <t>181908</t>
  </si>
  <si>
    <t>263046</t>
  </si>
  <si>
    <t>181906</t>
  </si>
  <si>
    <t>182235</t>
  </si>
  <si>
    <t>181907</t>
  </si>
  <si>
    <t>263045</t>
  </si>
  <si>
    <t>117000</t>
  </si>
  <si>
    <t>182236</t>
  </si>
  <si>
    <t>185144</t>
  </si>
  <si>
    <t>88533</t>
  </si>
  <si>
    <t>4666</t>
  </si>
  <si>
    <t>180037</t>
  </si>
  <si>
    <t>182018</t>
  </si>
  <si>
    <t>263047</t>
  </si>
  <si>
    <t>182019</t>
  </si>
  <si>
    <t>147699</t>
  </si>
  <si>
    <t>65489</t>
  </si>
  <si>
    <t>62250</t>
  </si>
  <si>
    <t>182020</t>
  </si>
  <si>
    <t>182021</t>
  </si>
  <si>
    <t>66946</t>
  </si>
  <si>
    <t>183520</t>
  </si>
  <si>
    <t>182022</t>
  </si>
  <si>
    <t>182023</t>
  </si>
  <si>
    <t>183521</t>
  </si>
  <si>
    <t>260824</t>
  </si>
  <si>
    <t>183522</t>
  </si>
  <si>
    <t>181830</t>
  </si>
  <si>
    <t>260823</t>
  </si>
  <si>
    <t>92078</t>
  </si>
  <si>
    <t>185148</t>
  </si>
  <si>
    <t>185150</t>
  </si>
  <si>
    <t>183525</t>
  </si>
  <si>
    <t>185149</t>
  </si>
  <si>
    <t>25645</t>
  </si>
  <si>
    <t>181924</t>
  </si>
  <si>
    <t>183531</t>
  </si>
  <si>
    <t>181922</t>
  </si>
  <si>
    <t>184478</t>
  </si>
  <si>
    <t>66995</t>
  </si>
  <si>
    <t>181923</t>
  </si>
  <si>
    <t>183532</t>
  </si>
  <si>
    <t>181688</t>
  </si>
  <si>
    <t>183533</t>
  </si>
  <si>
    <t>36328</t>
  </si>
  <si>
    <t>183534</t>
  </si>
  <si>
    <t>181687</t>
  </si>
  <si>
    <t>183535</t>
  </si>
  <si>
    <t>181690</t>
  </si>
  <si>
    <t>181689</t>
  </si>
  <si>
    <t>183540</t>
  </si>
  <si>
    <t>181691</t>
  </si>
  <si>
    <t>181692</t>
  </si>
  <si>
    <t>181697</t>
  </si>
  <si>
    <t>65464</t>
  </si>
  <si>
    <t>183541</t>
  </si>
  <si>
    <t>181695</t>
  </si>
  <si>
    <t>181696</t>
  </si>
  <si>
    <t>183542</t>
  </si>
  <si>
    <t>260826</t>
  </si>
  <si>
    <t>183543</t>
  </si>
  <si>
    <t>181846</t>
  </si>
  <si>
    <t>6755</t>
  </si>
  <si>
    <t>181847</t>
  </si>
  <si>
    <t>177622</t>
  </si>
  <si>
    <t>181848</t>
  </si>
  <si>
    <t>46092</t>
  </si>
  <si>
    <t>111606</t>
  </si>
  <si>
    <t>46093</t>
  </si>
  <si>
    <t>260827</t>
  </si>
  <si>
    <t>107058</t>
  </si>
  <si>
    <t>129111</t>
  </si>
  <si>
    <t>175531</t>
  </si>
  <si>
    <t>111607</t>
  </si>
  <si>
    <t>175532</t>
  </si>
  <si>
    <t>58166</t>
  </si>
  <si>
    <t>175533</t>
  </si>
  <si>
    <t>58167</t>
  </si>
  <si>
    <t>175534</t>
  </si>
  <si>
    <t>58168</t>
  </si>
  <si>
    <t>175535</t>
  </si>
  <si>
    <t>181850</t>
  </si>
  <si>
    <t>175536</t>
  </si>
  <si>
    <t>181851</t>
  </si>
  <si>
    <t>175537</t>
  </si>
  <si>
    <t>260828</t>
  </si>
  <si>
    <t>175538</t>
  </si>
  <si>
    <t>181852</t>
  </si>
  <si>
    <t>176932</t>
  </si>
  <si>
    <t>26211</t>
  </si>
  <si>
    <t>175539</t>
  </si>
  <si>
    <t>181930</t>
  </si>
  <si>
    <t>175540</t>
  </si>
  <si>
    <t>181931</t>
  </si>
  <si>
    <t>175541</t>
  </si>
  <si>
    <t>260829</t>
  </si>
  <si>
    <t>175542</t>
  </si>
  <si>
    <t>260831</t>
  </si>
  <si>
    <t>175543</t>
  </si>
  <si>
    <t>260830</t>
  </si>
  <si>
    <t>107060</t>
  </si>
  <si>
    <t>181935</t>
  </si>
  <si>
    <t>36475</t>
  </si>
  <si>
    <t>181937</t>
  </si>
  <si>
    <t>175551</t>
  </si>
  <si>
    <t>52534</t>
  </si>
  <si>
    <t>175545</t>
  </si>
  <si>
    <t>42887</t>
  </si>
  <si>
    <t>33585</t>
  </si>
  <si>
    <t>117490</t>
  </si>
  <si>
    <t>33586</t>
  </si>
  <si>
    <t>129138</t>
  </si>
  <si>
    <t>175546</t>
  </si>
  <si>
    <t>129139</t>
  </si>
  <si>
    <t>175550</t>
  </si>
  <si>
    <t>65511</t>
  </si>
  <si>
    <t>175547</t>
  </si>
  <si>
    <t>129083</t>
  </si>
  <si>
    <t>175552</t>
  </si>
  <si>
    <t>73139</t>
  </si>
  <si>
    <t>175548</t>
  </si>
  <si>
    <t>181811</t>
  </si>
  <si>
    <t>175549</t>
  </si>
  <si>
    <t>100180</t>
  </si>
  <si>
    <t>175553</t>
  </si>
  <si>
    <t>73138</t>
  </si>
  <si>
    <t>133190</t>
  </si>
  <si>
    <t>181810</t>
  </si>
  <si>
    <t>175554</t>
  </si>
  <si>
    <t>100179</t>
  </si>
  <si>
    <t>133189</t>
  </si>
  <si>
    <t>181843</t>
  </si>
  <si>
    <t>175556</t>
  </si>
  <si>
    <t>65509</t>
  </si>
  <si>
    <t>175557</t>
  </si>
  <si>
    <t>181813</t>
  </si>
  <si>
    <t>133188</t>
  </si>
  <si>
    <t>260839</t>
  </si>
  <si>
    <t>175555</t>
  </si>
  <si>
    <t>129135</t>
  </si>
  <si>
    <t>133193</t>
  </si>
  <si>
    <t>260841</t>
  </si>
  <si>
    <t>173652</t>
  </si>
  <si>
    <t>260842</t>
  </si>
  <si>
    <t>133192</t>
  </si>
  <si>
    <t>260840</t>
  </si>
  <si>
    <t>107062</t>
  </si>
  <si>
    <t>260843</t>
  </si>
  <si>
    <t>173651</t>
  </si>
  <si>
    <t>260836</t>
  </si>
  <si>
    <t>133194</t>
  </si>
  <si>
    <t>73169</t>
  </si>
  <si>
    <t>175558</t>
  </si>
  <si>
    <t>260837</t>
  </si>
  <si>
    <t>175559</t>
  </si>
  <si>
    <t>48717</t>
  </si>
  <si>
    <t>175560</t>
  </si>
  <si>
    <t>260835</t>
  </si>
  <si>
    <t>175561</t>
  </si>
  <si>
    <t>66972</t>
  </si>
  <si>
    <t>175562</t>
  </si>
  <si>
    <t>183815</t>
  </si>
  <si>
    <t>175563</t>
  </si>
  <si>
    <t>183814</t>
  </si>
  <si>
    <t>175564</t>
  </si>
  <si>
    <t>183812</t>
  </si>
  <si>
    <t>107063</t>
  </si>
  <si>
    <t>183816</t>
  </si>
  <si>
    <t>175565</t>
  </si>
  <si>
    <t>183819</t>
  </si>
  <si>
    <t>171113</t>
  </si>
  <si>
    <t>183818</t>
  </si>
  <si>
    <t>175566</t>
  </si>
  <si>
    <t>36326</t>
  </si>
  <si>
    <t>175567</t>
  </si>
  <si>
    <t>67029</t>
  </si>
  <si>
    <t>173654</t>
  </si>
  <si>
    <t>183821</t>
  </si>
  <si>
    <t>173655</t>
  </si>
  <si>
    <t>183822</t>
  </si>
  <si>
    <t>173656</t>
  </si>
  <si>
    <t>183823</t>
  </si>
  <si>
    <t>173657</t>
  </si>
  <si>
    <t>183825</t>
  </si>
  <si>
    <t>173658</t>
  </si>
  <si>
    <t>183826</t>
  </si>
  <si>
    <t>173659</t>
  </si>
  <si>
    <t>183827</t>
  </si>
  <si>
    <t>173667</t>
  </si>
  <si>
    <t>183828</t>
  </si>
  <si>
    <t>173660</t>
  </si>
  <si>
    <t>67031</t>
  </si>
  <si>
    <t>173666</t>
  </si>
  <si>
    <t>183833</t>
  </si>
  <si>
    <t>175568</t>
  </si>
  <si>
    <t>183831</t>
  </si>
  <si>
    <t>133197</t>
  </si>
  <si>
    <t>183836</t>
  </si>
  <si>
    <t>133198</t>
  </si>
  <si>
    <t>183837</t>
  </si>
  <si>
    <t>133199</t>
  </si>
  <si>
    <t>11906</t>
  </si>
  <si>
    <t>133200</t>
  </si>
  <si>
    <t>109462</t>
  </si>
  <si>
    <t>133205</t>
  </si>
  <si>
    <t>183840</t>
  </si>
  <si>
    <t>133206</t>
  </si>
  <si>
    <t>159695</t>
  </si>
  <si>
    <t>133204</t>
  </si>
  <si>
    <t>66966</t>
  </si>
  <si>
    <t>133203</t>
  </si>
  <si>
    <t>109789</t>
  </si>
  <si>
    <t>133207</t>
  </si>
  <si>
    <t>185152</t>
  </si>
  <si>
    <t>133202</t>
  </si>
  <si>
    <t>185154</t>
  </si>
  <si>
    <t>175569</t>
  </si>
  <si>
    <t>185153</t>
  </si>
  <si>
    <t>133210</t>
  </si>
  <si>
    <t>65474</t>
  </si>
  <si>
    <t>107064</t>
  </si>
  <si>
    <t>26219</t>
  </si>
  <si>
    <t>175570</t>
  </si>
  <si>
    <t>42883</t>
  </si>
  <si>
    <t>133209</t>
  </si>
  <si>
    <t>66915</t>
  </si>
  <si>
    <t>107066</t>
  </si>
  <si>
    <t>42884</t>
  </si>
  <si>
    <t>175579</t>
  </si>
  <si>
    <t>183843</t>
  </si>
  <si>
    <t>175580</t>
  </si>
  <si>
    <t>183844</t>
  </si>
  <si>
    <t>175581</t>
  </si>
  <si>
    <t>183842</t>
  </si>
  <si>
    <t>175582</t>
  </si>
  <si>
    <t>183845</t>
  </si>
  <si>
    <t>175583</t>
  </si>
  <si>
    <t>57018</t>
  </si>
  <si>
    <t>175587</t>
  </si>
  <si>
    <t>57019</t>
  </si>
  <si>
    <t>175584</t>
  </si>
  <si>
    <t>57020</t>
  </si>
  <si>
    <t>175585</t>
  </si>
  <si>
    <t>57022</t>
  </si>
  <si>
    <t>175586</t>
  </si>
  <si>
    <t>183847</t>
  </si>
  <si>
    <t>175589</t>
  </si>
  <si>
    <t>11899</t>
  </si>
  <si>
    <t>175590</t>
  </si>
  <si>
    <t>57021</t>
  </si>
  <si>
    <t>175591</t>
  </si>
  <si>
    <t>183850</t>
  </si>
  <si>
    <t>175592</t>
  </si>
  <si>
    <t>183849</t>
  </si>
  <si>
    <t>175593</t>
  </si>
  <si>
    <t>183851</t>
  </si>
  <si>
    <t>175594</t>
  </si>
  <si>
    <t>183852</t>
  </si>
  <si>
    <t>175595</t>
  </si>
  <si>
    <t>183877</t>
  </si>
  <si>
    <t>175596</t>
  </si>
  <si>
    <t>183878</t>
  </si>
  <si>
    <t>175606</t>
  </si>
  <si>
    <t>53152</t>
  </si>
  <si>
    <t>175597</t>
  </si>
  <si>
    <t>183883</t>
  </si>
  <si>
    <t>175598</t>
  </si>
  <si>
    <t>183881</t>
  </si>
  <si>
    <t>175599</t>
  </si>
  <si>
    <t>183884</t>
  </si>
  <si>
    <t>175600</t>
  </si>
  <si>
    <t>183882</t>
  </si>
  <si>
    <t>175601</t>
  </si>
  <si>
    <t>67025</t>
  </si>
  <si>
    <t>175602</t>
  </si>
  <si>
    <t>11905</t>
  </si>
  <si>
    <t>175603</t>
  </si>
  <si>
    <t>67027</t>
  </si>
  <si>
    <t>175604</t>
  </si>
  <si>
    <t>67026</t>
  </si>
  <si>
    <t>175605</t>
  </si>
  <si>
    <t>11900</t>
  </si>
  <si>
    <t>107067</t>
  </si>
  <si>
    <t>183885</t>
  </si>
  <si>
    <t>175609</t>
  </si>
  <si>
    <t>183886</t>
  </si>
  <si>
    <t>175608</t>
  </si>
  <si>
    <t>53151</t>
  </si>
  <si>
    <t>175614</t>
  </si>
  <si>
    <t>67019</t>
  </si>
  <si>
    <t>175610</t>
  </si>
  <si>
    <t>53153</t>
  </si>
  <si>
    <t>175611</t>
  </si>
  <si>
    <t>109677</t>
  </si>
  <si>
    <t>175612</t>
  </si>
  <si>
    <t>109674</t>
  </si>
  <si>
    <t>175613</t>
  </si>
  <si>
    <t>67023</t>
  </si>
  <si>
    <t>175625</t>
  </si>
  <si>
    <t>159699</t>
  </si>
  <si>
    <t>175620</t>
  </si>
  <si>
    <t>183854</t>
  </si>
  <si>
    <t>175621</t>
  </si>
  <si>
    <t>36347</t>
  </si>
  <si>
    <t>175622</t>
  </si>
  <si>
    <t>109509</t>
  </si>
  <si>
    <t>175623</t>
  </si>
  <si>
    <t>53294</t>
  </si>
  <si>
    <t>175624</t>
  </si>
  <si>
    <t>159701</t>
  </si>
  <si>
    <t>107070</t>
  </si>
  <si>
    <t>109512</t>
  </si>
  <si>
    <t>175615</t>
  </si>
  <si>
    <t>109514</t>
  </si>
  <si>
    <t>175616</t>
  </si>
  <si>
    <t>109515</t>
  </si>
  <si>
    <t>173669</t>
  </si>
  <si>
    <t>109513</t>
  </si>
  <si>
    <t>175617</t>
  </si>
  <si>
    <t>183856</t>
  </si>
  <si>
    <t>173673</t>
  </si>
  <si>
    <t>183859</t>
  </si>
  <si>
    <t>173670</t>
  </si>
  <si>
    <t>183860</t>
  </si>
  <si>
    <t>175618</t>
  </si>
  <si>
    <t>183861</t>
  </si>
  <si>
    <t>173671</t>
  </si>
  <si>
    <t>183862</t>
  </si>
  <si>
    <t>173672</t>
  </si>
  <si>
    <t>183867</t>
  </si>
  <si>
    <t>173675</t>
  </si>
  <si>
    <t>183866</t>
  </si>
  <si>
    <t>173676</t>
  </si>
  <si>
    <t>183864</t>
  </si>
  <si>
    <t>173677</t>
  </si>
  <si>
    <t>183865</t>
  </si>
  <si>
    <t>173678</t>
  </si>
  <si>
    <t>159698</t>
  </si>
  <si>
    <t>173682</t>
  </si>
  <si>
    <t>183889</t>
  </si>
  <si>
    <t>173679</t>
  </si>
  <si>
    <t>63895</t>
  </si>
  <si>
    <t>173680</t>
  </si>
  <si>
    <t>109613</t>
  </si>
  <si>
    <t>173681</t>
  </si>
  <si>
    <t>183890</t>
  </si>
  <si>
    <t>124109</t>
  </si>
  <si>
    <t>183904</t>
  </si>
  <si>
    <t>31280</t>
  </si>
  <si>
    <t>183892</t>
  </si>
  <si>
    <t>124110</t>
  </si>
  <si>
    <t>183893</t>
  </si>
  <si>
    <t>124111</t>
  </si>
  <si>
    <t>183894</t>
  </si>
  <si>
    <t>171119</t>
  </si>
  <si>
    <t>183895</t>
  </si>
  <si>
    <t>56422</t>
  </si>
  <si>
    <t>183898</t>
  </si>
  <si>
    <t>124112</t>
  </si>
  <si>
    <t>183896</t>
  </si>
  <si>
    <t>124113</t>
  </si>
  <si>
    <t>183897</t>
  </si>
  <si>
    <t>124114</t>
  </si>
  <si>
    <t>183903</t>
  </si>
  <si>
    <t>124115</t>
  </si>
  <si>
    <t>109614</t>
  </si>
  <si>
    <t>261531</t>
  </si>
  <si>
    <t>183899</t>
  </si>
  <si>
    <t>261530</t>
  </si>
  <si>
    <t>183901</t>
  </si>
  <si>
    <t>261532</t>
  </si>
  <si>
    <t>53147</t>
  </si>
  <si>
    <t>261533</t>
  </si>
  <si>
    <t>67015</t>
  </si>
  <si>
    <t>261415</t>
  </si>
  <si>
    <t>53146</t>
  </si>
  <si>
    <t>261412</t>
  </si>
  <si>
    <t>57016</t>
  </si>
  <si>
    <t>261413</t>
  </si>
  <si>
    <t>53145</t>
  </si>
  <si>
    <t>261414</t>
  </si>
  <si>
    <t>53148</t>
  </si>
  <si>
    <t>49763</t>
  </si>
  <si>
    <t>66971</t>
  </si>
  <si>
    <t>76069</t>
  </si>
  <si>
    <t>183875</t>
  </si>
  <si>
    <t>261443</t>
  </si>
  <si>
    <t>183874</t>
  </si>
  <si>
    <t>76072</t>
  </si>
  <si>
    <t>183872</t>
  </si>
  <si>
    <t>261162</t>
  </si>
  <si>
    <t>109467</t>
  </si>
  <si>
    <t>261445</t>
  </si>
  <si>
    <t>53107</t>
  </si>
  <si>
    <t>261444</t>
  </si>
  <si>
    <t>119104</t>
  </si>
  <si>
    <t>261096</t>
  </si>
  <si>
    <t>183870</t>
  </si>
  <si>
    <t>261446</t>
  </si>
  <si>
    <t>109465</t>
  </si>
  <si>
    <t>261490</t>
  </si>
  <si>
    <t>119107</t>
  </si>
  <si>
    <t>49766</t>
  </si>
  <si>
    <t>109466</t>
  </si>
  <si>
    <t>49767</t>
  </si>
  <si>
    <t>183871</t>
  </si>
  <si>
    <t>261116</t>
  </si>
  <si>
    <t>119110</t>
  </si>
  <si>
    <t>261115</t>
  </si>
  <si>
    <t>46539</t>
  </si>
  <si>
    <t>261467</t>
  </si>
  <si>
    <t>109490</t>
  </si>
  <si>
    <t>261512</t>
  </si>
  <si>
    <t>57007</t>
  </si>
  <si>
    <t>261461</t>
  </si>
  <si>
    <t>183950</t>
  </si>
  <si>
    <t>135893</t>
  </si>
  <si>
    <t>109492</t>
  </si>
  <si>
    <t>261526</t>
  </si>
  <si>
    <t>183948</t>
  </si>
  <si>
    <t>261462</t>
  </si>
  <si>
    <t>183915</t>
  </si>
  <si>
    <t>261421</t>
  </si>
  <si>
    <t>183916</t>
  </si>
  <si>
    <t>261419</t>
  </si>
  <si>
    <t>183917</t>
  </si>
  <si>
    <t>261420</t>
  </si>
  <si>
    <t>183918</t>
  </si>
  <si>
    <t>261418</t>
  </si>
  <si>
    <t>183919</t>
  </si>
  <si>
    <t>261422</t>
  </si>
  <si>
    <t>183906</t>
  </si>
  <si>
    <t>261436</t>
  </si>
  <si>
    <t>183907</t>
  </si>
  <si>
    <t>261434</t>
  </si>
  <si>
    <t>183908</t>
  </si>
  <si>
    <t>261438</t>
  </si>
  <si>
    <t>183909</t>
  </si>
  <si>
    <t>261437</t>
  </si>
  <si>
    <t>183910</t>
  </si>
  <si>
    <t>261439</t>
  </si>
  <si>
    <t>183911</t>
  </si>
  <si>
    <t>49762</t>
  </si>
  <si>
    <t>183912</t>
  </si>
  <si>
    <t>261435</t>
  </si>
  <si>
    <t>183932</t>
  </si>
  <si>
    <t>261094</t>
  </si>
  <si>
    <t>183933</t>
  </si>
  <si>
    <t>261173</t>
  </si>
  <si>
    <t>183934</t>
  </si>
  <si>
    <t>261177</t>
  </si>
  <si>
    <t>183936</t>
  </si>
  <si>
    <t>261183</t>
  </si>
  <si>
    <t>183937</t>
  </si>
  <si>
    <t>261112</t>
  </si>
  <si>
    <t>183938</t>
  </si>
  <si>
    <t>261441</t>
  </si>
  <si>
    <t>183939</t>
  </si>
  <si>
    <t>261396</t>
  </si>
  <si>
    <t>42904</t>
  </si>
  <si>
    <t>261085</t>
  </si>
  <si>
    <t>260411</t>
  </si>
  <si>
    <t>261084</t>
  </si>
  <si>
    <t>119111</t>
  </si>
  <si>
    <t>25621</t>
  </si>
  <si>
    <t>183922</t>
  </si>
  <si>
    <t>261474</t>
  </si>
  <si>
    <t>183921</t>
  </si>
  <si>
    <t>261489</t>
  </si>
  <si>
    <t>183923</t>
  </si>
  <si>
    <t>261482</t>
  </si>
  <si>
    <t>42905</t>
  </si>
  <si>
    <t>261484</t>
  </si>
  <si>
    <t>183947</t>
  </si>
  <si>
    <t>261485</t>
  </si>
  <si>
    <t>183926</t>
  </si>
  <si>
    <t>261483</t>
  </si>
  <si>
    <t>183927</t>
  </si>
  <si>
    <t>261486</t>
  </si>
  <si>
    <t>183928</t>
  </si>
  <si>
    <t>261487</t>
  </si>
  <si>
    <t>183929</t>
  </si>
  <si>
    <t>261488</t>
  </si>
  <si>
    <t>183930</t>
  </si>
  <si>
    <t>261182</t>
  </si>
  <si>
    <t>26217</t>
  </si>
  <si>
    <t>261175</t>
  </si>
  <si>
    <t>183944</t>
  </si>
  <si>
    <t>261168</t>
  </si>
  <si>
    <t>183942</t>
  </si>
  <si>
    <t>50072</t>
  </si>
  <si>
    <t>183943</t>
  </si>
  <si>
    <t>261154</t>
  </si>
  <si>
    <t>183945</t>
  </si>
  <si>
    <t>261155</t>
  </si>
  <si>
    <t>183940</t>
  </si>
  <si>
    <t>261954</t>
  </si>
  <si>
    <t>159694</t>
  </si>
  <si>
    <t>261953</t>
  </si>
  <si>
    <t>166664</t>
  </si>
  <si>
    <t>261088</t>
  </si>
  <si>
    <t>166667</t>
  </si>
  <si>
    <t>261534</t>
  </si>
  <si>
    <t>166665</t>
  </si>
  <si>
    <t>135898</t>
  </si>
  <si>
    <t>166666</t>
  </si>
  <si>
    <t>261427</t>
  </si>
  <si>
    <t>71495</t>
  </si>
  <si>
    <t>135896</t>
  </si>
  <si>
    <t>36349</t>
  </si>
  <si>
    <t>135895</t>
  </si>
  <si>
    <t>57114</t>
  </si>
  <si>
    <t>135897</t>
  </si>
  <si>
    <t>57113</t>
  </si>
  <si>
    <t>261425</t>
  </si>
  <si>
    <t>166668</t>
  </si>
  <si>
    <t>261089</t>
  </si>
  <si>
    <t>36353</t>
  </si>
  <si>
    <t>261432</t>
  </si>
  <si>
    <t>57116</t>
  </si>
  <si>
    <t>135899</t>
  </si>
  <si>
    <t>71496</t>
  </si>
  <si>
    <t>261527</t>
  </si>
  <si>
    <t>57117</t>
  </si>
  <si>
    <t>261431</t>
  </si>
  <si>
    <t>57118</t>
  </si>
  <si>
    <t>168693</t>
  </si>
  <si>
    <t>184550</t>
  </si>
  <si>
    <t>111099</t>
  </si>
  <si>
    <t>185161</t>
  </si>
  <si>
    <t>111100</t>
  </si>
  <si>
    <t>185156</t>
  </si>
  <si>
    <t>111101</t>
  </si>
  <si>
    <t>63994</t>
  </si>
  <si>
    <t>111102</t>
  </si>
  <si>
    <t>185158</t>
  </si>
  <si>
    <t>111103</t>
  </si>
  <si>
    <t>185159</t>
  </si>
  <si>
    <t>111104</t>
  </si>
  <si>
    <t>185157</t>
  </si>
  <si>
    <t>111105</t>
  </si>
  <si>
    <t>185160</t>
  </si>
  <si>
    <t>111106</t>
  </si>
  <si>
    <t>185162</t>
  </si>
  <si>
    <t>111107</t>
  </si>
  <si>
    <t>185163</t>
  </si>
  <si>
    <t>111108</t>
  </si>
  <si>
    <t>185164</t>
  </si>
  <si>
    <t>111109</t>
  </si>
  <si>
    <t>31460</t>
  </si>
  <si>
    <t>111110</t>
  </si>
  <si>
    <t>19327</t>
  </si>
  <si>
    <t>111111</t>
  </si>
  <si>
    <t>185165</t>
  </si>
  <si>
    <t>111112</t>
  </si>
  <si>
    <t>184518</t>
  </si>
  <si>
    <t>111120</t>
  </si>
  <si>
    <t>104227</t>
  </si>
  <si>
    <t>111113</t>
  </si>
  <si>
    <t>185166</t>
  </si>
  <si>
    <t>111114</t>
  </si>
  <si>
    <t>185167</t>
  </si>
  <si>
    <t>111115</t>
  </si>
  <si>
    <t>185171</t>
  </si>
  <si>
    <t>111116</t>
  </si>
  <si>
    <t>31472</t>
  </si>
  <si>
    <t>111117</t>
  </si>
  <si>
    <t>185168</t>
  </si>
  <si>
    <t>111118</t>
  </si>
  <si>
    <t>104229</t>
  </si>
  <si>
    <t>111119</t>
  </si>
  <si>
    <t>185169</t>
  </si>
  <si>
    <t>263413</t>
  </si>
  <si>
    <t>185170</t>
  </si>
  <si>
    <t>100449</t>
  </si>
  <si>
    <t>184552</t>
  </si>
  <si>
    <t>100450</t>
  </si>
  <si>
    <t>184517</t>
  </si>
  <si>
    <t>100451</t>
  </si>
  <si>
    <t>159689</t>
  </si>
  <si>
    <t>100452</t>
  </si>
  <si>
    <t>71379</t>
  </si>
  <si>
    <t>100453</t>
  </si>
  <si>
    <t>185172</t>
  </si>
  <si>
    <t>100454</t>
  </si>
  <si>
    <t>185173</t>
  </si>
  <si>
    <t>100455</t>
  </si>
  <si>
    <t>185174</t>
  </si>
  <si>
    <t>171121</t>
  </si>
  <si>
    <t>184527</t>
  </si>
  <si>
    <t>100456</t>
  </si>
  <si>
    <t>184525</t>
  </si>
  <si>
    <t>100457</t>
  </si>
  <si>
    <t>48722</t>
  </si>
  <si>
    <t>100458</t>
  </si>
  <si>
    <t>185176</t>
  </si>
  <si>
    <t>100459</t>
  </si>
  <si>
    <t>185177</t>
  </si>
  <si>
    <t>100460</t>
  </si>
  <si>
    <t>185178</t>
  </si>
  <si>
    <t>100468</t>
  </si>
  <si>
    <t>185180</t>
  </si>
  <si>
    <t>100461</t>
  </si>
  <si>
    <t>100004</t>
  </si>
  <si>
    <t>100462</t>
  </si>
  <si>
    <t>184536</t>
  </si>
  <si>
    <t>100463</t>
  </si>
  <si>
    <t>185179</t>
  </si>
  <si>
    <t>100464</t>
  </si>
  <si>
    <t>184538</t>
  </si>
  <si>
    <t>100465</t>
  </si>
  <si>
    <t>185181</t>
  </si>
  <si>
    <t>100466</t>
  </si>
  <si>
    <t>26232</t>
  </si>
  <si>
    <t>100467</t>
  </si>
  <si>
    <t>185182</t>
  </si>
  <si>
    <t>50468</t>
  </si>
  <si>
    <t>185183</t>
  </si>
  <si>
    <t>40014</t>
  </si>
  <si>
    <t>185184</t>
  </si>
  <si>
    <t>40015</t>
  </si>
  <si>
    <t>185185</t>
  </si>
  <si>
    <t>40019</t>
  </si>
  <si>
    <t>185186</t>
  </si>
  <si>
    <t>40020</t>
  </si>
  <si>
    <t>100011</t>
  </si>
  <si>
    <t>40021</t>
  </si>
  <si>
    <t>185187</t>
  </si>
  <si>
    <t>40022</t>
  </si>
  <si>
    <t>185188</t>
  </si>
  <si>
    <t>180138</t>
  </si>
  <si>
    <t>63993</t>
  </si>
  <si>
    <t>33722</t>
  </si>
  <si>
    <t>185189</t>
  </si>
  <si>
    <t>121983</t>
  </si>
  <si>
    <t>185190</t>
  </si>
  <si>
    <t>180140</t>
  </si>
  <si>
    <t>184531</t>
  </si>
  <si>
    <t>99404</t>
  </si>
  <si>
    <t>185191</t>
  </si>
  <si>
    <t>121986</t>
  </si>
  <si>
    <t>100005</t>
  </si>
  <si>
    <t>180142</t>
  </si>
  <si>
    <t>184522</t>
  </si>
  <si>
    <t>184627</t>
  </si>
  <si>
    <t>185192</t>
  </si>
  <si>
    <t>184628</t>
  </si>
  <si>
    <t>185193</t>
  </si>
  <si>
    <t>184630</t>
  </si>
  <si>
    <t>185194</t>
  </si>
  <si>
    <t>263373</t>
  </si>
  <si>
    <t>185195</t>
  </si>
  <si>
    <t>117028</t>
  </si>
  <si>
    <t>263389</t>
  </si>
  <si>
    <t>185196</t>
  </si>
  <si>
    <t>185197</t>
  </si>
  <si>
    <t>185198</t>
  </si>
  <si>
    <t>119116</t>
  </si>
  <si>
    <t>263368</t>
  </si>
  <si>
    <t>184529</t>
  </si>
  <si>
    <t>113733</t>
  </si>
  <si>
    <t>185199</t>
  </si>
  <si>
    <t>263376</t>
  </si>
  <si>
    <t>119114</t>
  </si>
  <si>
    <t>263277</t>
  </si>
  <si>
    <t>48731</t>
  </si>
  <si>
    <t>185200</t>
  </si>
  <si>
    <t>263364</t>
  </si>
  <si>
    <t>185201</t>
  </si>
  <si>
    <t>185202</t>
  </si>
  <si>
    <t>185204</t>
  </si>
  <si>
    <t>263380</t>
  </si>
  <si>
    <t>185205</t>
  </si>
  <si>
    <t>185206</t>
  </si>
  <si>
    <t>185207</t>
  </si>
  <si>
    <t>263379</t>
  </si>
  <si>
    <t>185208</t>
  </si>
  <si>
    <t>263366</t>
  </si>
  <si>
    <t>185211</t>
  </si>
  <si>
    <t>263360</t>
  </si>
  <si>
    <t>185210</t>
  </si>
  <si>
    <t>119120</t>
  </si>
  <si>
    <t>185214</t>
  </si>
  <si>
    <t>185212</t>
  </si>
  <si>
    <t>185213</t>
  </si>
  <si>
    <t>185215</t>
  </si>
  <si>
    <t>263385</t>
  </si>
  <si>
    <t>185216</t>
  </si>
  <si>
    <t>185217</t>
  </si>
  <si>
    <t>185218</t>
  </si>
  <si>
    <t>185219</t>
  </si>
  <si>
    <t>185220</t>
  </si>
  <si>
    <t>263328</t>
  </si>
  <si>
    <t>184511</t>
  </si>
  <si>
    <t>104224</t>
  </si>
  <si>
    <t>263378</t>
  </si>
  <si>
    <t>185221</t>
  </si>
  <si>
    <t>185222</t>
  </si>
  <si>
    <t>185223</t>
  </si>
  <si>
    <t>159697</t>
  </si>
  <si>
    <t>263386</t>
  </si>
  <si>
    <t>185224</t>
  </si>
  <si>
    <t>185225</t>
  </si>
  <si>
    <t>184541</t>
  </si>
  <si>
    <t>184508</t>
  </si>
  <si>
    <t>185227</t>
  </si>
  <si>
    <t>185256</t>
  </si>
  <si>
    <t>185228</t>
  </si>
  <si>
    <t>185229</t>
  </si>
  <si>
    <t>100006</t>
  </si>
  <si>
    <t>185230</t>
  </si>
  <si>
    <t>185231</t>
  </si>
  <si>
    <t>185232</t>
  </si>
  <si>
    <t>184535</t>
  </si>
  <si>
    <t>263356</t>
  </si>
  <si>
    <t>185234</t>
  </si>
  <si>
    <t>185235</t>
  </si>
  <si>
    <t>185236</t>
  </si>
  <si>
    <t>31465</t>
  </si>
  <si>
    <t>263370</t>
  </si>
  <si>
    <t>159686</t>
  </si>
  <si>
    <t>263369</t>
  </si>
  <si>
    <t>71388</t>
  </si>
  <si>
    <t>263359</t>
  </si>
  <si>
    <t>185237</t>
  </si>
  <si>
    <t>263362</t>
  </si>
  <si>
    <t>185238</t>
  </si>
  <si>
    <t>185239</t>
  </si>
  <si>
    <t>263382</t>
  </si>
  <si>
    <t>185240</t>
  </si>
  <si>
    <t>185241</t>
  </si>
  <si>
    <t>180034</t>
  </si>
  <si>
    <t>184530</t>
  </si>
  <si>
    <t>185242</t>
  </si>
  <si>
    <t>185175</t>
  </si>
  <si>
    <t>100012</t>
  </si>
  <si>
    <t>185243</t>
  </si>
  <si>
    <t>185244</t>
  </si>
  <si>
    <t>185245</t>
  </si>
  <si>
    <t>184542</t>
  </si>
  <si>
    <t>185246</t>
  </si>
  <si>
    <t>185247</t>
  </si>
  <si>
    <t>184532</t>
  </si>
  <si>
    <t>185248</t>
  </si>
  <si>
    <t>185249</t>
  </si>
  <si>
    <t>185250</t>
  </si>
  <si>
    <t>185251</t>
  </si>
  <si>
    <t>185252</t>
  </si>
  <si>
    <t>184539</t>
  </si>
  <si>
    <t>185253</t>
  </si>
  <si>
    <t>185255</t>
  </si>
  <si>
    <t>184543</t>
  </si>
  <si>
    <t>185254</t>
  </si>
  <si>
    <t>184540</t>
  </si>
  <si>
    <t>257875</t>
  </si>
  <si>
    <t>257876</t>
  </si>
  <si>
    <t>257877</t>
  </si>
  <si>
    <t>184502</t>
  </si>
  <si>
    <t>257878</t>
  </si>
  <si>
    <t>257879</t>
  </si>
  <si>
    <t>257880</t>
  </si>
  <si>
    <t>257881</t>
  </si>
  <si>
    <t>257882</t>
  </si>
  <si>
    <t>184501</t>
  </si>
  <si>
    <t>257886</t>
  </si>
  <si>
    <t>184505</t>
  </si>
  <si>
    <t>257883</t>
  </si>
  <si>
    <t>159691</t>
  </si>
  <si>
    <t>257884</t>
  </si>
  <si>
    <t>257885</t>
  </si>
  <si>
    <t>185285</t>
  </si>
  <si>
    <t>185286</t>
  </si>
  <si>
    <t>185287</t>
  </si>
  <si>
    <t>185289</t>
  </si>
  <si>
    <t>257804</t>
  </si>
  <si>
    <t>184566</t>
  </si>
  <si>
    <t>257805</t>
  </si>
  <si>
    <t>257806</t>
  </si>
  <si>
    <t>257807</t>
  </si>
  <si>
    <t>257808</t>
  </si>
  <si>
    <t>106367</t>
  </si>
  <si>
    <t>257809</t>
  </si>
  <si>
    <t>257810</t>
  </si>
  <si>
    <t>257811</t>
  </si>
  <si>
    <t>257812</t>
  </si>
  <si>
    <t>106368</t>
  </si>
  <si>
    <t>257814</t>
  </si>
  <si>
    <t>257815</t>
  </si>
  <si>
    <t>257817</t>
  </si>
  <si>
    <t>257818</t>
  </si>
  <si>
    <t>31474</t>
  </si>
  <si>
    <t>257819</t>
  </si>
  <si>
    <t>257820</t>
  </si>
  <si>
    <t>257821</t>
  </si>
  <si>
    <t>257822</t>
  </si>
  <si>
    <t>257823</t>
  </si>
  <si>
    <t>257825</t>
  </si>
  <si>
    <t>257826</t>
  </si>
  <si>
    <t>257827</t>
  </si>
  <si>
    <t>257828</t>
  </si>
  <si>
    <t>257829</t>
  </si>
  <si>
    <t>257830</t>
  </si>
  <si>
    <t>257831</t>
  </si>
  <si>
    <t>257832</t>
  </si>
  <si>
    <t>257836</t>
  </si>
  <si>
    <t>257833</t>
  </si>
  <si>
    <t>26417</t>
  </si>
  <si>
    <t>257834</t>
  </si>
  <si>
    <t>257835</t>
  </si>
  <si>
    <t>257837</t>
  </si>
  <si>
    <t>257839</t>
  </si>
  <si>
    <t>257840</t>
  </si>
  <si>
    <t>257841</t>
  </si>
  <si>
    <t>104233</t>
  </si>
  <si>
    <t>257842</t>
  </si>
  <si>
    <t>257843</t>
  </si>
  <si>
    <t>257844</t>
  </si>
  <si>
    <t>257845</t>
  </si>
  <si>
    <t>257846</t>
  </si>
  <si>
    <t>257847</t>
  </si>
  <si>
    <t>257848</t>
  </si>
  <si>
    <t>257849</t>
  </si>
  <si>
    <t>257850</t>
  </si>
  <si>
    <t>257851</t>
  </si>
  <si>
    <t>184561</t>
  </si>
  <si>
    <t>184563</t>
  </si>
  <si>
    <t>257874</t>
  </si>
  <si>
    <t>257852</t>
  </si>
  <si>
    <t>257853</t>
  </si>
  <si>
    <t>257854</t>
  </si>
  <si>
    <t>257855</t>
  </si>
  <si>
    <t>257856</t>
  </si>
  <si>
    <t>257857</t>
  </si>
  <si>
    <t>257858</t>
  </si>
  <si>
    <t>257859</t>
  </si>
  <si>
    <t>257860</t>
  </si>
  <si>
    <t>257861</t>
  </si>
  <si>
    <t>257862</t>
  </si>
  <si>
    <t>184564</t>
  </si>
  <si>
    <t>257863</t>
  </si>
  <si>
    <t>257864</t>
  </si>
  <si>
    <t>257865</t>
  </si>
  <si>
    <t>257866</t>
  </si>
  <si>
    <t>257867</t>
  </si>
  <si>
    <t>31476</t>
  </si>
  <si>
    <t>257868</t>
  </si>
  <si>
    <t>257869</t>
  </si>
  <si>
    <t>257870</t>
  </si>
  <si>
    <t>257871</t>
  </si>
  <si>
    <t>257872</t>
  </si>
  <si>
    <t>257873</t>
  </si>
  <si>
    <t>184514</t>
  </si>
  <si>
    <t>48727</t>
  </si>
  <si>
    <t>185257</t>
  </si>
  <si>
    <t>185258</t>
  </si>
  <si>
    <t>185259</t>
  </si>
  <si>
    <t>185260</t>
  </si>
  <si>
    <t>185261</t>
  </si>
  <si>
    <t>184565</t>
  </si>
  <si>
    <t>185262</t>
  </si>
  <si>
    <t>185263</t>
  </si>
  <si>
    <t>185265</t>
  </si>
  <si>
    <t>185266</t>
  </si>
  <si>
    <t>185267</t>
  </si>
  <si>
    <t>185268</t>
  </si>
  <si>
    <t>185269</t>
  </si>
  <si>
    <t>185270</t>
  </si>
  <si>
    <t>185271</t>
  </si>
  <si>
    <t>185272</t>
  </si>
  <si>
    <t>111543</t>
  </si>
  <si>
    <t>184513</t>
  </si>
  <si>
    <t>184515</t>
  </si>
  <si>
    <t>185274</t>
  </si>
  <si>
    <t>185276</t>
  </si>
  <si>
    <t>185275</t>
  </si>
  <si>
    <t>185277</t>
  </si>
  <si>
    <t>185279</t>
  </si>
  <si>
    <t>185278</t>
  </si>
  <si>
    <t>26418</t>
  </si>
  <si>
    <t>185280</t>
  </si>
  <si>
    <t>185283</t>
  </si>
  <si>
    <t>185281</t>
  </si>
  <si>
    <t>109444</t>
  </si>
  <si>
    <t>185282</t>
  </si>
  <si>
    <t>3179</t>
  </si>
  <si>
    <t>46570</t>
  </si>
  <si>
    <t>66927</t>
  </si>
  <si>
    <t>66926</t>
  </si>
  <si>
    <t>159682</t>
  </si>
  <si>
    <t>66879</t>
  </si>
  <si>
    <t>66876</t>
  </si>
  <si>
    <t>259043</t>
  </si>
  <si>
    <t>259044</t>
  </si>
  <si>
    <t>50908</t>
  </si>
  <si>
    <t>259045</t>
  </si>
  <si>
    <t>259046</t>
  </si>
  <si>
    <t>259047</t>
  </si>
  <si>
    <t>66886</t>
  </si>
  <si>
    <t>259054</t>
  </si>
  <si>
    <t>41488</t>
  </si>
  <si>
    <t>26187</t>
  </si>
  <si>
    <t>259048</t>
  </si>
  <si>
    <t>66887</t>
  </si>
  <si>
    <t>91954</t>
  </si>
  <si>
    <t>66881</t>
  </si>
  <si>
    <t>259049</t>
  </si>
  <si>
    <t>119096</t>
  </si>
  <si>
    <t>26189</t>
  </si>
  <si>
    <t>106365</t>
  </si>
  <si>
    <t>26190</t>
  </si>
  <si>
    <t>259050</t>
  </si>
  <si>
    <t>66880</t>
  </si>
  <si>
    <t>11752</t>
  </si>
  <si>
    <t>66883</t>
  </si>
  <si>
    <t>66888</t>
  </si>
  <si>
    <t>109296</t>
  </si>
  <si>
    <t>259051</t>
  </si>
  <si>
    <t>259052</t>
  </si>
  <si>
    <t>66884</t>
  </si>
  <si>
    <t>159683</t>
  </si>
  <si>
    <t>159684</t>
  </si>
  <si>
    <t>259053</t>
  </si>
  <si>
    <t>66889</t>
  </si>
  <si>
    <t>259059</t>
  </si>
  <si>
    <t>259060</t>
  </si>
  <si>
    <t>259093</t>
  </si>
  <si>
    <t>160934</t>
  </si>
  <si>
    <t>259064</t>
  </si>
  <si>
    <t>259065</t>
  </si>
  <si>
    <t>259069</t>
  </si>
  <si>
    <t>259063</t>
  </si>
  <si>
    <t>259085</t>
  </si>
  <si>
    <t>259088</t>
  </si>
  <si>
    <t>259072</t>
  </si>
  <si>
    <t>259086</t>
  </si>
  <si>
    <t>259089</t>
  </si>
  <si>
    <t>259087</t>
  </si>
  <si>
    <t>259091</t>
  </si>
  <si>
    <t>259094</t>
  </si>
  <si>
    <t>259095</t>
  </si>
  <si>
    <t>259096</t>
  </si>
  <si>
    <t>259097</t>
  </si>
  <si>
    <t>259099</t>
  </si>
  <si>
    <t>259100</t>
  </si>
  <si>
    <t>259068</t>
  </si>
  <si>
    <t>259070</t>
  </si>
  <si>
    <t>259092</t>
  </si>
  <si>
    <t>259684</t>
  </si>
  <si>
    <t>259101</t>
  </si>
  <si>
    <t>259657</t>
  </si>
  <si>
    <t>259664</t>
  </si>
  <si>
    <t>259665</t>
  </si>
  <si>
    <t>259672</t>
  </si>
  <si>
    <t>259673</t>
  </si>
  <si>
    <t>259680</t>
  </si>
  <si>
    <t>259682</t>
  </si>
  <si>
    <t>259689</t>
  </si>
  <si>
    <t>259659</t>
  </si>
  <si>
    <t>259062</t>
  </si>
  <si>
    <t>259067</t>
  </si>
  <si>
    <t>259066</t>
  </si>
  <si>
    <t>259098</t>
  </si>
  <si>
    <t>259661</t>
  </si>
  <si>
    <t>259666</t>
  </si>
  <si>
    <t>259686</t>
  </si>
  <si>
    <t>259671</t>
  </si>
  <si>
    <t>259675</t>
  </si>
  <si>
    <t>259676</t>
  </si>
  <si>
    <t>257888</t>
  </si>
  <si>
    <t>259081</t>
  </si>
  <si>
    <t>259655</t>
  </si>
  <si>
    <t>259656</t>
  </si>
  <si>
    <t>259658</t>
  </si>
  <si>
    <t>259660</t>
  </si>
  <si>
    <t>97126</t>
  </si>
  <si>
    <t>259690</t>
  </si>
  <si>
    <t>259662</t>
  </si>
  <si>
    <t>259663</t>
  </si>
  <si>
    <t>259667</t>
  </si>
  <si>
    <t>259669</t>
  </si>
  <si>
    <t>259670</t>
  </si>
  <si>
    <t>259674</t>
  </si>
  <si>
    <t>259681</t>
  </si>
  <si>
    <t>259073</t>
  </si>
  <si>
    <t>259687</t>
  </si>
  <si>
    <t>259678</t>
  </si>
  <si>
    <t>259677</t>
  </si>
  <si>
    <t>259683</t>
  </si>
  <si>
    <t>259688</t>
  </si>
  <si>
    <t>260442</t>
  </si>
  <si>
    <t>183955</t>
  </si>
  <si>
    <t>124616</t>
  </si>
  <si>
    <t>260500</t>
  </si>
  <si>
    <t>260498</t>
  </si>
  <si>
    <t>260501</t>
  </si>
  <si>
    <t>183956</t>
  </si>
  <si>
    <t>260502</t>
  </si>
  <si>
    <t>124619</t>
  </si>
  <si>
    <t>183960</t>
  </si>
  <si>
    <t>183961</t>
  </si>
  <si>
    <t>124621</t>
  </si>
  <si>
    <t>109484</t>
  </si>
  <si>
    <t>260071</t>
  </si>
  <si>
    <t>260074</t>
  </si>
  <si>
    <t>260075</t>
  </si>
  <si>
    <t>260076</t>
  </si>
  <si>
    <t>260077</t>
  </si>
  <si>
    <t>260078</t>
  </si>
  <si>
    <t>260079</t>
  </si>
  <si>
    <t>260080</t>
  </si>
  <si>
    <t>260081</t>
  </si>
  <si>
    <t>260082</t>
  </si>
  <si>
    <t>260083</t>
  </si>
  <si>
    <t>260084</t>
  </si>
  <si>
    <t>260085</t>
  </si>
  <si>
    <t>260086</t>
  </si>
  <si>
    <t>260087</t>
  </si>
  <si>
    <t>260088</t>
  </si>
  <si>
    <t>260089</t>
  </si>
  <si>
    <t>260090</t>
  </si>
  <si>
    <t>260091</t>
  </si>
  <si>
    <t>260092</t>
  </si>
  <si>
    <t>260093</t>
  </si>
  <si>
    <t>260094</t>
  </si>
  <si>
    <t>260095</t>
  </si>
  <si>
    <t>260096</t>
  </si>
  <si>
    <t>260097</t>
  </si>
  <si>
    <t>260099</t>
  </si>
  <si>
    <t>260100</t>
  </si>
  <si>
    <t>260101</t>
  </si>
  <si>
    <t>260102</t>
  </si>
  <si>
    <t>260103</t>
  </si>
  <si>
    <t>183966</t>
  </si>
  <si>
    <t>183967</t>
  </si>
  <si>
    <t>53298</t>
  </si>
  <si>
    <t>66998</t>
  </si>
  <si>
    <t>260437</t>
  </si>
  <si>
    <t>260441</t>
  </si>
  <si>
    <t>260126</t>
  </si>
  <si>
    <t>260127</t>
  </si>
  <si>
    <t>109488</t>
  </si>
  <si>
    <t>260128</t>
  </si>
  <si>
    <t>66997</t>
  </si>
  <si>
    <t>260129</t>
  </si>
  <si>
    <t>260105</t>
  </si>
  <si>
    <t>185123</t>
  </si>
  <si>
    <t>260106</t>
  </si>
  <si>
    <t>260423</t>
  </si>
  <si>
    <t>260424</t>
  </si>
  <si>
    <t>260425</t>
  </si>
  <si>
    <t>260426</t>
  </si>
  <si>
    <t>183965</t>
  </si>
  <si>
    <t>260427</t>
  </si>
  <si>
    <t>260428</t>
  </si>
  <si>
    <t>260107</t>
  </si>
  <si>
    <t>260108</t>
  </si>
  <si>
    <t>260109</t>
  </si>
  <si>
    <t>260110</t>
  </si>
  <si>
    <t>260111</t>
  </si>
  <si>
    <t>260112</t>
  </si>
  <si>
    <t>183972</t>
  </si>
  <si>
    <t>260113</t>
  </si>
  <si>
    <t>260115</t>
  </si>
  <si>
    <t>260116</t>
  </si>
  <si>
    <t>53302</t>
  </si>
  <si>
    <t>260117</t>
  </si>
  <si>
    <t>53296</t>
  </si>
  <si>
    <t>53297</t>
  </si>
  <si>
    <t>260114</t>
  </si>
  <si>
    <t>183959</t>
  </si>
  <si>
    <t>260429</t>
  </si>
  <si>
    <t>183963</t>
  </si>
  <si>
    <t>183962</t>
  </si>
  <si>
    <t>185124</t>
  </si>
  <si>
    <t>260430</t>
  </si>
  <si>
    <t>53301</t>
  </si>
  <si>
    <t>185125</t>
  </si>
  <si>
    <t>260431</t>
  </si>
  <si>
    <t>260432</t>
  </si>
  <si>
    <t>260433</t>
  </si>
  <si>
    <t>260118</t>
  </si>
  <si>
    <t>260119</t>
  </si>
  <si>
    <t>260434</t>
  </si>
  <si>
    <t>260120</t>
  </si>
  <si>
    <t>260121</t>
  </si>
  <si>
    <t>260122</t>
  </si>
  <si>
    <t>260123</t>
  </si>
  <si>
    <t>260124</t>
  </si>
  <si>
    <t>260125</t>
  </si>
  <si>
    <t>260435</t>
  </si>
  <si>
    <t>260436</t>
  </si>
  <si>
    <t>260503</t>
  </si>
  <si>
    <t>260417</t>
  </si>
  <si>
    <t>183953</t>
  </si>
  <si>
    <t>184291</t>
  </si>
  <si>
    <t>260418</t>
  </si>
  <si>
    <t>260419</t>
  </si>
  <si>
    <t>260420</t>
  </si>
  <si>
    <t>260421</t>
  </si>
  <si>
    <t>260422</t>
  </si>
  <si>
    <t>42912</t>
  </si>
  <si>
    <t>260063</t>
  </si>
  <si>
    <t>260064</t>
  </si>
  <si>
    <t>260065</t>
  </si>
  <si>
    <t>260066</t>
  </si>
  <si>
    <t>260438</t>
  </si>
  <si>
    <t>183975</t>
  </si>
  <si>
    <t>183976</t>
  </si>
  <si>
    <t>260440</t>
  </si>
  <si>
    <t>260439</t>
  </si>
  <si>
    <t>124607</t>
  </si>
  <si>
    <t>41491</t>
  </si>
  <si>
    <t>257889</t>
  </si>
  <si>
    <t>183984</t>
  </si>
  <si>
    <t>36787</t>
  </si>
  <si>
    <t>124608</t>
  </si>
  <si>
    <t>183982</t>
  </si>
  <si>
    <t>183985</t>
  </si>
  <si>
    <t>183987</t>
  </si>
  <si>
    <t>183988</t>
  </si>
  <si>
    <t>183989</t>
  </si>
  <si>
    <t>183990</t>
  </si>
  <si>
    <t>183992</t>
  </si>
  <si>
    <t>183993</t>
  </si>
  <si>
    <t>183994</t>
  </si>
  <si>
    <t>183995</t>
  </si>
  <si>
    <t>183996</t>
  </si>
  <si>
    <t>183998</t>
  </si>
  <si>
    <t>184000</t>
  </si>
  <si>
    <t>184015</t>
  </si>
  <si>
    <t>184012</t>
  </si>
  <si>
    <t>184003</t>
  </si>
  <si>
    <t>184004</t>
  </si>
  <si>
    <t>184005</t>
  </si>
  <si>
    <t>184011</t>
  </si>
  <si>
    <t>184006</t>
  </si>
  <si>
    <t>184007</t>
  </si>
  <si>
    <t>184008</t>
  </si>
  <si>
    <t>184009</t>
  </si>
  <si>
    <t>184010</t>
  </si>
  <si>
    <t>184014</t>
  </si>
  <si>
    <t>183999</t>
  </si>
  <si>
    <t>184027</t>
  </si>
  <si>
    <t>257890</t>
  </si>
  <si>
    <t>184030</t>
  </si>
  <si>
    <t>184031</t>
  </si>
  <si>
    <t>184029</t>
  </si>
  <si>
    <t>184033</t>
  </si>
  <si>
    <t>184032</t>
  </si>
  <si>
    <t>184034</t>
  </si>
  <si>
    <t>184036</t>
  </si>
  <si>
    <t>48718</t>
  </si>
  <si>
    <t>184038</t>
  </si>
  <si>
    <t>184041</t>
  </si>
  <si>
    <t>42934</t>
  </si>
  <si>
    <t>184047</t>
  </si>
  <si>
    <t>184053</t>
  </si>
  <si>
    <t>67070</t>
  </si>
  <si>
    <t>65457</t>
  </si>
  <si>
    <t>184061</t>
  </si>
  <si>
    <t>184056</t>
  </si>
  <si>
    <t>184058</t>
  </si>
  <si>
    <t>184059</t>
  </si>
  <si>
    <t>184063</t>
  </si>
  <si>
    <t>184064</t>
  </si>
  <si>
    <t>124635</t>
  </si>
  <si>
    <t>184065</t>
  </si>
  <si>
    <t>184066</t>
  </si>
  <si>
    <t>184070</t>
  </si>
  <si>
    <t>184069</t>
  </si>
  <si>
    <t>184071</t>
  </si>
  <si>
    <t>184072</t>
  </si>
  <si>
    <t>11773</t>
  </si>
  <si>
    <t>184073</t>
  </si>
  <si>
    <t>184074</t>
  </si>
  <si>
    <t>184075</t>
  </si>
  <si>
    <t>184076</t>
  </si>
  <si>
    <t>184077</t>
  </si>
  <si>
    <t>46547</t>
  </si>
  <si>
    <t>184105</t>
  </si>
  <si>
    <t>184107</t>
  </si>
  <si>
    <t>57013</t>
  </si>
  <si>
    <t>184108</t>
  </si>
  <si>
    <t>184110</t>
  </si>
  <si>
    <t>184106</t>
  </si>
  <si>
    <t>184109</t>
  </si>
  <si>
    <t>184078</t>
  </si>
  <si>
    <t>184081</t>
  </si>
  <si>
    <t>184083</t>
  </si>
  <si>
    <t>184084</t>
  </si>
  <si>
    <t>184085</t>
  </si>
  <si>
    <t>184086</t>
  </si>
  <si>
    <t>184087</t>
  </si>
  <si>
    <t>184089</t>
  </si>
  <si>
    <t>124636</t>
  </si>
  <si>
    <t>184090</t>
  </si>
  <si>
    <t>184092</t>
  </si>
  <si>
    <t>184093</t>
  </si>
  <si>
    <t>13658</t>
  </si>
  <si>
    <t>177005</t>
  </si>
  <si>
    <t>11700</t>
  </si>
  <si>
    <t>108857</t>
  </si>
  <si>
    <t>2329</t>
  </si>
  <si>
    <t>35933</t>
  </si>
  <si>
    <t>35935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</si>
</sst>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0&quot;gまで&quot;"/>
    <numFmt numFmtId="165" formatCode="&quot;$&quot;0.00"/>
    <numFmt numFmtId="166" formatCode="&quot;¥&quot;#,##0;[Red]-&quot;¥&quot;#,##0;&quot;¥&quot;0"/>
    <numFmt numFmtId="167" formatCode="#,##0&quot; g&quot;"/>
    <numFmt numFmtId="168" formatCode="#,##0;[Red]-#,##0;–"/>
    <numFmt numFmtId="169" formatCode="&quot;¥&quot;#,##0"/>
    <numFmt numFmtId="170" formatCode="0.0"/>
    <numFmt numFmtId="171" formatCode="#,##0.0"/>
    <numFmt numFmtId="172" formatCode="&quot;¥&quot;#,##0\ ;\ &quot;¥&quot;\-#,##0;"/>
    <numFmt numFmtId="173" formatCode="&quot;¥&quot;#,##0;[Red]&quot;¥&quot;-#,##0;–"/>
    <numFmt numFmtId="174" formatCode="0.000"/>
    <numFmt numFmtId="175" formatCode="00000"/>
    <numFmt numFmtId="176" formatCode="&quot;¥&quot;#,##0\ ;\ &quot;¥&quot;\-#,##0;&quot;適用なし&quot;"/>
    <numFmt numFmtId="177" formatCode="yyyy/mm/dd"/>
    <numFmt numFmtId="178" formatCode="[$$]#,##0.00"/>
    <numFmt numFmtId="179" formatCode="\$#,##0.00"/>
    <numFmt numFmtId="180" formatCode="&quot;¥&quot;#,##0;[Red]&quot;¥&quot;\-#,##0"/>
    <numFmt numFmtId="181" formatCode="#,##0&quot;g&quot;"/>
    <numFmt numFmtId="182" formatCode="0.0000%"/>
    <numFmt numFmtId="183" formatCode="#,##0&quot;cm&quot;"/>
    <numFmt numFmtId="184" formatCode="[$¥]#,##0"/>
    <numFmt numFmtId="185" formatCode="&quot;¥&quot;#,##0\ ;\ &quot;¥&quot;\-#,##0;&quot;&quot;"/>
    <numFmt numFmtId="186" formatCode="&quot;¥&quot;#,##0;[Red]-&quot;¥&quot;#,##0"/>
  </numFmts>
  <fonts count="59">
    <font>
      <sz val="11.0"/>
      <color theme="1"/>
      <name val="Calibri"/>
      <scheme val="minor"/>
    </font>
    <font>
      <sz val="11.0"/>
      <color theme="1"/>
      <name val="HiraKakuPro-W3"/>
    </font>
    <font>
      <sz val="15.0"/>
      <color theme="1"/>
      <name val="Calibri"/>
    </font>
    <font>
      <sz val="12.0"/>
      <color rgb="FF18334F"/>
      <name val="Noto Sans"/>
    </font>
    <font>
      <u/>
      <sz val="11.0"/>
      <color rgb="FF0000FF"/>
      <name val="HiraKakuPro-W3"/>
    </font>
    <font>
      <sz val="15.0"/>
      <color rgb="FF333333"/>
      <name val="Calibri"/>
    </font>
    <font/>
    <font>
      <sz val="11.0"/>
      <color rgb="FF000000"/>
      <name val="Calibri"/>
    </font>
    <font>
      <b/>
      <sz val="10.0"/>
      <color rgb="FFFFFFFF"/>
      <name val="Yu Gothic"/>
    </font>
    <font>
      <sz val="11.0"/>
      <color theme="1"/>
      <name val="Calibri"/>
    </font>
    <font>
      <sz val="18.0"/>
      <color rgb="FF2463B2"/>
      <name val="Noto Sans"/>
    </font>
    <font>
      <b/>
      <sz val="10.0"/>
      <color rgb="FF243447"/>
      <name val="Yu Gothic"/>
    </font>
    <font>
      <sz val="10.0"/>
      <color rgb="FF243447"/>
      <name val="Yu Gothic"/>
    </font>
    <font>
      <sz val="10.0"/>
      <color rgb="FF193554"/>
      <name val="Yu Gothic"/>
    </font>
    <font>
      <sz val="10.0"/>
      <color rgb="FF1565C0"/>
      <name val="Yu Gothic"/>
    </font>
    <font>
      <u/>
      <sz val="11.0"/>
      <color rgb="FF0000FF"/>
      <name val="HiraKakuPro-W3"/>
    </font>
    <font>
      <sz val="13.0"/>
      <color rgb="FF1F497D"/>
      <name val="HiraKakuPro-W3"/>
    </font>
    <font>
      <sz val="10.0"/>
      <color rgb="FF65758B"/>
      <name val="Noto Sans"/>
    </font>
    <font>
      <sz val="18.0"/>
      <color rgb="FF18334F"/>
      <name val="Noto Sans"/>
    </font>
    <font>
      <sz val="12.0"/>
      <color rgb="FF65758B"/>
      <name val="Noto Sans"/>
    </font>
    <font>
      <sz val="12.0"/>
      <color rgb="FFFFFFFF"/>
      <name val="Noto Sans"/>
    </font>
    <font>
      <b/>
      <sz val="12.0"/>
      <color rgb="FF18334F"/>
      <name val="Noto Sans"/>
    </font>
    <font>
      <b/>
      <sz val="20.0"/>
      <color rgb="FF18334F"/>
      <name val="Noto Sans"/>
    </font>
    <font>
      <sz val="16.0"/>
      <color rgb="FF18334F"/>
      <name val="Noto Sans"/>
    </font>
    <font>
      <b/>
      <sz val="11.0"/>
      <color rgb="FFFFFFFF"/>
      <name val="Arial"/>
    </font>
    <font>
      <b/>
      <sz val="11.0"/>
      <color rgb="FFFFFFFF"/>
      <name val="Meiryo"/>
    </font>
    <font>
      <sz val="11.0"/>
      <color rgb="FF000000"/>
      <name val="&quot;Source Sans Pro&quot;"/>
    </font>
    <font>
      <b/>
      <sz val="11.0"/>
      <color rgb="FF000000"/>
      <name val="&quot;Source Sans Pro&quot;"/>
    </font>
    <font>
      <color theme="1"/>
      <name val="Arial"/>
    </font>
    <font>
      <sz val="10.0"/>
      <color rgb="FF000000"/>
      <name val="Yu Gothic"/>
    </font>
    <font>
      <sz val="10.0"/>
      <color theme="1"/>
      <name val="Yu Gothic"/>
    </font>
    <font>
      <sz val="13.0"/>
      <color theme="1"/>
      <name val="Calibri"/>
    </font>
    <font>
      <sz val="14.0"/>
      <color theme="1"/>
      <name val="Calibri"/>
    </font>
    <font>
      <b/>
      <sz val="10.0"/>
      <color rgb="FF193554"/>
      <name val="Yu Gothic"/>
    </font>
    <font>
      <u/>
      <sz val="10.0"/>
      <color rgb="FF193554"/>
      <name val="Yu Gothic"/>
    </font>
    <font>
      <sz val="11.0"/>
      <color rgb="FF000000"/>
      <name val="Meiryo"/>
    </font>
    <font>
      <b/>
      <sz val="12.0"/>
      <color rgb="FF000000"/>
      <name val="Meiryo"/>
    </font>
    <font>
      <color theme="1"/>
      <name val="Calibri"/>
      <scheme val="minor"/>
    </font>
    <font>
      <sz val="12.0"/>
      <color rgb="FF000000"/>
      <name val="Meiryo"/>
    </font>
    <font>
      <b/>
      <sz val="11.0"/>
      <color rgb="FF000000"/>
      <name val="Meiryo"/>
    </font>
    <font>
      <b/>
      <sz val="11.0"/>
      <color theme="1"/>
      <name val="Meiryo"/>
    </font>
    <font>
      <b/>
      <sz val="11.0"/>
      <color theme="1"/>
      <name val="Arial"/>
    </font>
    <font>
      <sz val="11.0"/>
      <color rgb="FF203044"/>
      <name val="Noto Sans"/>
    </font>
    <font>
      <sz val="10.0"/>
      <color rgb="FF203044"/>
      <name val="Noto Sans"/>
    </font>
    <font>
      <b/>
      <sz val="16.0"/>
      <color rgb="FF203044"/>
      <name val="Noto Sans"/>
    </font>
    <font>
      <sz val="11.0"/>
      <color rgb="FF193554"/>
      <name val="Noto Sans"/>
    </font>
    <font>
      <sz val="11.0"/>
      <color rgb="FF1D4ED8"/>
      <name val="Noto Sans"/>
    </font>
    <font>
      <sz val="11.0"/>
      <color rgb="FF1565C0"/>
      <name val="Noto Sans"/>
    </font>
    <font>
      <sz val="12.0"/>
      <color rgb="FF2463B2"/>
      <name val="Noto Sans"/>
    </font>
    <font>
      <b/>
      <sz val="11.0"/>
      <color rgb="FF203044"/>
      <name val="Noto Sans"/>
    </font>
    <font>
      <sz val="11.0"/>
      <color rgb="FF65758B"/>
      <name val="Noto Sans"/>
    </font>
    <font>
      <b/>
      <sz val="12.0"/>
      <color rgb="FF000000"/>
      <name val="Noto Sans JP"/>
    </font>
    <font>
      <sz val="12.0"/>
      <color rgb="FF000000"/>
      <name val="Noto Sans JP"/>
    </font>
    <font>
      <b/>
      <sz val="11.0"/>
      <color rgb="FFFFFFFF"/>
      <name val="Noto Sans JP"/>
    </font>
    <font>
      <b/>
      <sz val="11.0"/>
      <color theme="1"/>
      <name val="Noto Sans JP"/>
    </font>
    <font>
      <b/>
      <sz val="10.0"/>
      <color theme="1"/>
      <name val="Yu Gothic"/>
    </font>
    <font>
      <b/>
      <sz val="11.0"/>
      <color theme="1"/>
      <name val="&quot;Source Sans Pro&quot;"/>
    </font>
    <font>
      <sz val="11.0"/>
      <color rgb="FF203044"/>
      <name val="Yu Gothic"/>
    </font>
    <font>
      <sz val="11.0"/>
      <color theme="1"/>
      <name val="Yu Gothic"/>
    </font>
  </fonts>
  <fills count="3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5EDF7"/>
        <bgColor rgb="FFE5EDF7"/>
      </patternFill>
    </fill>
    <fill>
      <patternFill patternType="solid">
        <fgColor rgb="FF254E70"/>
        <bgColor rgb="FF254E70"/>
      </patternFill>
    </fill>
    <fill>
      <patternFill patternType="solid">
        <fgColor rgb="FFFFF1CF"/>
        <bgColor rgb="FFFFF1C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1F5FA"/>
        <bgColor rgb="FFF1F5FA"/>
      </patternFill>
    </fill>
    <fill>
      <patternFill patternType="solid">
        <fgColor rgb="FF294D73"/>
        <bgColor rgb="FF294D73"/>
      </patternFill>
    </fill>
    <fill>
      <patternFill patternType="solid">
        <fgColor rgb="FFDBE5F1"/>
        <bgColor rgb="FFDBE5F1"/>
      </patternFill>
    </fill>
    <fill>
      <patternFill patternType="solid">
        <fgColor rgb="FFFCE8D5"/>
        <bgColor rgb="FFFCE8D5"/>
      </patternFill>
    </fill>
    <fill>
      <patternFill patternType="solid">
        <fgColor rgb="FFE97132"/>
        <bgColor rgb="FFE97132"/>
      </patternFill>
    </fill>
    <fill>
      <patternFill patternType="solid">
        <fgColor rgb="FF294C70"/>
        <bgColor rgb="FF294C70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FDE9D9"/>
        <bgColor rgb="FFFDE9D9"/>
      </patternFill>
    </fill>
    <fill>
      <patternFill patternType="solid">
        <fgColor rgb="FFECF8FF"/>
        <bgColor rgb="FFECF8FF"/>
      </patternFill>
    </fill>
    <fill>
      <patternFill patternType="solid">
        <fgColor rgb="FFED7D31"/>
        <bgColor rgb="FFED7D31"/>
      </patternFill>
    </fill>
    <fill>
      <patternFill patternType="solid">
        <fgColor rgb="FFFEF5F0"/>
        <bgColor rgb="FFFEF5F0"/>
      </patternFill>
    </fill>
    <fill>
      <patternFill patternType="solid">
        <fgColor rgb="FFE4FFF2"/>
        <bgColor rgb="FFE4FFF2"/>
      </patternFill>
    </fill>
    <fill>
      <patternFill patternType="solid">
        <fgColor rgb="FFF0F5FA"/>
        <bgColor rgb="FFF0F5FA"/>
      </patternFill>
    </fill>
    <fill>
      <patternFill patternType="solid">
        <fgColor rgb="FFFFF0CB"/>
        <bgColor rgb="FFFFF0CB"/>
      </patternFill>
    </fill>
    <fill>
      <patternFill patternType="solid">
        <fgColor rgb="FFE7EDF5"/>
        <bgColor rgb="FFE7EDF5"/>
      </patternFill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  <fill>
      <patternFill patternType="solid">
        <fgColor rgb="FFD9D9D9"/>
        <bgColor rgb="FFD9D9D9"/>
      </patternFill>
    </fill>
    <fill>
      <patternFill patternType="solid">
        <fgColor rgb="FFF3F6FA"/>
        <bgColor rgb="FFF3F6FA"/>
      </patternFill>
    </fill>
    <fill>
      <patternFill patternType="solid">
        <fgColor rgb="FFFFF8E3"/>
        <bgColor rgb="FFFFF8E3"/>
      </patternFill>
    </fill>
  </fills>
  <borders count="34">
    <border/>
    <border>
      <left/>
      <right/>
      <top/>
      <bottom/>
    </border>
    <border>
      <left style="thin">
        <color rgb="FFDAD9C7"/>
      </left>
      <right/>
      <top style="thin">
        <color rgb="FFDAD9C7"/>
      </top>
      <bottom/>
    </border>
    <border>
      <left style="thin">
        <color rgb="FF829BB5"/>
      </left>
      <top style="thin">
        <color rgb="FF829BB5"/>
      </top>
      <bottom style="thin">
        <color rgb="FF829BB5"/>
      </bottom>
    </border>
    <border>
      <top style="thin">
        <color rgb="FF829BB5"/>
      </top>
      <bottom style="thin">
        <color rgb="FF829BB5"/>
      </bottom>
    </border>
    <border>
      <right style="thin">
        <color rgb="FF829BB5"/>
      </right>
      <top style="thin">
        <color rgb="FF829BB5"/>
      </top>
      <bottom style="thin">
        <color rgb="FF829BB5"/>
      </bottom>
    </border>
    <border>
      <left style="thin">
        <color rgb="FFB8C7D3"/>
      </left>
      <top style="thin">
        <color rgb="FFB8C7D3"/>
      </top>
    </border>
    <border>
      <right style="thin">
        <color rgb="FFB8C7D3"/>
      </right>
      <top style="thin">
        <color rgb="FFB8C7D3"/>
      </top>
    </border>
    <border>
      <left style="thin">
        <color rgb="FFB8C7D3"/>
      </left>
      <bottom style="thin">
        <color rgb="FFD9E0E7"/>
      </bottom>
    </border>
    <border>
      <right style="thin">
        <color rgb="FFB8C7D3"/>
      </right>
      <bottom style="thin">
        <color rgb="FFD9E0E7"/>
      </bottom>
    </border>
    <border>
      <left style="thin">
        <color rgb="FFB8C7D3"/>
      </left>
      <top style="thin">
        <color rgb="FFD9E0E7"/>
      </top>
      <bottom style="thin">
        <color rgb="FFD9E0E7"/>
      </bottom>
    </border>
    <border>
      <right style="thin">
        <color rgb="FFB8C7D3"/>
      </right>
      <top style="thin">
        <color rgb="FFD9E0E7"/>
      </top>
      <bottom style="thin">
        <color rgb="FFD9E0E7"/>
      </bottom>
    </border>
    <border>
      <left style="thin">
        <color rgb="FFB8C7D3"/>
      </left>
      <top style="thin">
        <color rgb="FFD9E0E7"/>
      </top>
    </border>
    <border>
      <right style="thin">
        <color rgb="FFB8C7D3"/>
      </right>
      <top style="thin">
        <color rgb="FFD9E0E7"/>
      </top>
    </border>
    <border>
      <left style="thin">
        <color rgb="FFB8C7D3"/>
      </left>
      <top style="medium">
        <color rgb="FFE87524"/>
      </top>
      <bottom style="thin">
        <color rgb="FFB8C7D3"/>
      </bottom>
    </border>
    <border>
      <right style="thin">
        <color rgb="FFB8C7D3"/>
      </right>
      <top style="medium">
        <color rgb="FFE87524"/>
      </top>
      <bottom style="thin">
        <color rgb="FFB8C7D3"/>
      </bottom>
    </border>
    <border>
      <left style="thin">
        <color rgb="FF000000"/>
      </lef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757171"/>
      </bottom>
    </border>
    <border>
      <top style="thin">
        <color rgb="FF757171"/>
      </top>
      <bottom style="thin">
        <color rgb="FF757171"/>
      </bottom>
    </border>
    <border>
      <left style="thin">
        <color rgb="FF000000"/>
      </left>
    </border>
    <border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center"/>
    </xf>
    <xf borderId="0" fillId="0" fontId="2" numFmtId="38" xfId="0" applyAlignment="1" applyFont="1" applyNumberFormat="1">
      <alignment horizontal="right" vertical="center"/>
    </xf>
    <xf borderId="0" fillId="3" fontId="3" numFmtId="0" xfId="0" applyAlignment="1" applyFill="1" applyFont="1">
      <alignment shrinkToFit="0" vertical="center" wrapText="0"/>
    </xf>
    <xf borderId="1" fillId="2" fontId="4" numFmtId="0" xfId="0" applyAlignment="1" applyBorder="1" applyFill="1" applyFont="1">
      <alignment vertical="bottom"/>
    </xf>
    <xf borderId="2" fillId="3" fontId="5" numFmtId="164" xfId="0" applyAlignment="1" applyBorder="1" applyFill="1" applyFont="1" applyNumberFormat="1">
      <alignment horizontal="left" vertical="center"/>
    </xf>
    <xf borderId="3" fillId="4" fontId="3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vertical="center"/>
    </xf>
    <xf borderId="2" fillId="3" fontId="5" numFmtId="38" xfId="0" applyAlignment="1" applyBorder="1" applyFill="1" applyFont="1" applyNumberFormat="1">
      <alignment horizontal="right" vertical="center"/>
    </xf>
    <xf borderId="5" fillId="0" fontId="6" numFmtId="0" xfId="0" applyAlignment="1" applyBorder="1" applyFont="1">
      <alignment vertical="center"/>
    </xf>
    <xf borderId="0" fillId="0" fontId="2" numFmtId="164" xfId="0" applyAlignment="1" applyFont="1" applyNumberFormat="1">
      <alignment vertical="center"/>
    </xf>
    <xf borderId="0" fillId="0" fontId="7" numFmtId="0" xfId="0" applyAlignment="1" applyFont="1">
      <alignment shrinkToFit="0" vertical="bottom" wrapText="0"/>
    </xf>
    <xf borderId="6" fillId="5" fontId="8" numFmtId="0" xfId="0" applyAlignment="1" applyBorder="1" applyFill="1" applyFont="1">
      <alignment horizontal="left" shrinkToFit="0" vertical="center" wrapText="0"/>
    </xf>
    <xf borderId="7" fillId="5" fontId="8" numFmtId="0" xfId="0" applyAlignment="1" applyBorder="1" applyFill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9" numFmtId="0" xfId="0" applyAlignment="1" applyFont="1">
      <alignment vertical="center"/>
    </xf>
    <xf borderId="3" fillId="6" fontId="10" numFmtId="165" xfId="0" applyAlignment="1" applyBorder="1" applyFill="1" applyFont="1" applyNumberFormat="1">
      <alignment horizontal="center" readingOrder="0" shrinkToFit="0" vertical="center" wrapText="0"/>
    </xf>
    <xf borderId="8" fillId="0" fontId="11" numFmtId="0" xfId="0" applyAlignment="1" applyBorder="1" applyFont="1">
      <alignment horizontal="left" shrinkToFit="0" vertical="center" wrapText="0"/>
    </xf>
    <xf borderId="3" fillId="6" fontId="10" numFmtId="166" xfId="0" applyAlignment="1" applyBorder="1" applyFill="1" applyFont="1" applyNumberFormat="1">
      <alignment horizontal="center" readingOrder="0" shrinkToFit="0" vertical="center" wrapText="0"/>
    </xf>
    <xf borderId="3" fillId="6" fontId="10" numFmtId="167" xfId="0" applyAlignment="1" applyBorder="1" applyFill="1" applyFont="1" applyNumberFormat="1">
      <alignment horizontal="center" readingOrder="0" shrinkToFit="0" vertical="center" wrapText="0"/>
    </xf>
    <xf borderId="9" fillId="0" fontId="12" numFmtId="168" xfId="0" applyAlignment="1" applyBorder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center" wrapText="0"/>
    </xf>
    <xf borderId="3" fillId="6" fontId="10" numFmtId="49" xfId="0" applyAlignment="1" applyBorder="1" applyFill="1" applyFont="1" applyNumberFormat="1">
      <alignment horizontal="center" readingOrder="0" shrinkToFit="0" vertical="center" wrapText="0"/>
    </xf>
    <xf borderId="0" fillId="7" fontId="14" numFmtId="49" xfId="0" applyAlignment="1" applyFill="1" applyFont="1" applyNumberFormat="1">
      <alignment shrinkToFit="0" vertical="center" wrapText="0"/>
    </xf>
    <xf borderId="8" fillId="0" fontId="12" numFmtId="0" xfId="0" applyAlignment="1" applyBorder="1" applyFont="1">
      <alignment shrinkToFit="0" vertical="center" wrapText="0"/>
    </xf>
    <xf borderId="0" fillId="0" fontId="2" numFmtId="169" xfId="0" applyAlignment="1" applyFont="1" applyNumberFormat="1">
      <alignment vertical="center"/>
    </xf>
    <xf borderId="0" fillId="2" fontId="15" numFmtId="0" xfId="0" applyAlignment="1" applyFill="1" applyFont="1">
      <alignment vertical="bottom"/>
    </xf>
    <xf borderId="0" fillId="8" fontId="16" numFmtId="0" xfId="0" applyAlignment="1" applyFill="1" applyFont="1">
      <alignment horizontal="right" vertical="bottom"/>
    </xf>
    <xf borderId="10" fillId="0" fontId="12" numFmtId="0" xfId="0" applyAlignment="1" applyBorder="1" applyFont="1">
      <alignment shrinkToFit="0" vertical="center" wrapText="0"/>
    </xf>
    <xf borderId="0" fillId="8" fontId="16" numFmtId="10" xfId="0" applyAlignment="1" applyFill="1" applyFont="1" applyNumberFormat="1">
      <alignment horizontal="right" vertical="bottom"/>
    </xf>
    <xf borderId="3" fillId="9" fontId="17" numFmtId="0" xfId="0" applyAlignment="1" applyBorder="1" applyFill="1" applyFont="1">
      <alignment horizontal="center" shrinkToFit="0" vertical="center" wrapText="0"/>
    </xf>
    <xf borderId="11" fillId="0" fontId="12" numFmtId="168" xfId="0" applyAlignment="1" applyBorder="1" applyFont="1" applyNumberFormat="1">
      <alignment horizontal="right" shrinkToFit="0" vertical="center" wrapText="0"/>
    </xf>
    <xf borderId="3" fillId="6" fontId="10" numFmtId="170" xfId="0" applyAlignment="1" applyBorder="1" applyFill="1" applyFont="1" applyNumberFormat="1">
      <alignment horizontal="center" readingOrder="0" shrinkToFit="0" vertical="center" wrapText="0"/>
    </xf>
    <xf borderId="0" fillId="0" fontId="13" numFmtId="49" xfId="0" applyAlignment="1" applyFont="1" applyNumberFormat="1">
      <alignment shrinkToFit="0" vertical="center" wrapText="0"/>
    </xf>
    <xf borderId="3" fillId="6" fontId="10" numFmtId="165" xfId="0" applyAlignment="1" applyBorder="1" applyFill="1" applyFont="1" applyNumberFormat="1">
      <alignment horizontal="center" shrinkToFit="0" vertical="center" wrapText="0"/>
    </xf>
    <xf borderId="10" fillId="0" fontId="12" numFmtId="0" xfId="0" applyAlignment="1" applyBorder="1" applyFont="1">
      <alignment horizontal="left" shrinkToFit="0" vertical="center" wrapText="0"/>
    </xf>
    <xf borderId="3" fillId="9" fontId="18" numFmtId="2" xfId="0" applyAlignment="1" applyBorder="1" applyFill="1" applyFont="1" applyNumberFormat="1">
      <alignment horizontal="center" shrinkToFit="0" vertical="center" wrapText="0"/>
    </xf>
    <xf borderId="3" fillId="9" fontId="19" numFmtId="171" xfId="0" applyAlignment="1" applyBorder="1" applyFill="1" applyFont="1" applyNumberFormat="1">
      <alignment horizontal="center" shrinkToFit="0" vertical="center" wrapText="0"/>
    </xf>
    <xf borderId="3" fillId="10" fontId="20" numFmtId="0" xfId="0" applyAlignment="1" applyBorder="1" applyFill="1" applyFont="1">
      <alignment horizontal="center" shrinkToFit="0" vertical="center" wrapText="0"/>
    </xf>
    <xf borderId="0" fillId="0" fontId="13" numFmtId="3" xfId="0" applyAlignment="1" applyFont="1" applyNumberFormat="1">
      <alignment shrinkToFit="0" vertical="center" wrapText="0"/>
    </xf>
    <xf borderId="3" fillId="3" fontId="21" numFmtId="0" xfId="0" applyAlignment="1" applyBorder="1" applyFill="1" applyFont="1">
      <alignment shrinkToFit="0" vertical="center" wrapText="0"/>
    </xf>
    <xf borderId="3" fillId="3" fontId="22" numFmtId="166" xfId="0" applyAlignment="1" applyBorder="1" applyFill="1" applyFont="1" applyNumberFormat="1">
      <alignment horizontal="right" shrinkToFit="0" vertical="center" wrapText="0"/>
    </xf>
    <xf borderId="0" fillId="0" fontId="9" numFmtId="0" xfId="0" applyAlignment="1" applyFont="1">
      <alignment shrinkToFit="0" vertical="center" wrapText="1"/>
    </xf>
    <xf borderId="3" fillId="9" fontId="3" numFmtId="0" xfId="0" applyAlignment="1" applyBorder="1" applyFill="1" applyFont="1">
      <alignment shrinkToFit="0" vertical="center" wrapText="0"/>
    </xf>
    <xf borderId="3" fillId="9" fontId="23" numFmtId="166" xfId="0" applyAlignment="1" applyBorder="1" applyFill="1" applyFont="1" applyNumberFormat="1">
      <alignment horizontal="right" shrinkToFit="0" vertical="center" wrapText="0"/>
    </xf>
    <xf borderId="0" fillId="7" fontId="16" numFmtId="0" xfId="0" applyAlignment="1" applyFill="1" applyFont="1">
      <alignment horizontal="right" vertical="bottom"/>
    </xf>
    <xf borderId="0" fillId="7" fontId="16" numFmtId="49" xfId="0" applyAlignment="1" applyFill="1" applyFont="1" applyNumberFormat="1">
      <alignment horizontal="right" vertical="bottom"/>
    </xf>
    <xf borderId="0" fillId="7" fontId="16" numFmtId="10" xfId="0" applyAlignment="1" applyFill="1" applyFont="1" applyNumberFormat="1">
      <alignment horizontal="right" vertical="bottom"/>
    </xf>
    <xf borderId="0" fillId="0" fontId="13" numFmtId="172" xfId="0" applyAlignment="1" applyFont="1" applyNumberFormat="1">
      <alignment shrinkToFit="0" vertical="center" wrapText="0"/>
    </xf>
    <xf borderId="0" fillId="11" fontId="9" numFmtId="49" xfId="0" applyAlignment="1" applyFill="1" applyFont="1" applyNumberFormat="1">
      <alignment vertical="bottom"/>
    </xf>
    <xf borderId="0" fillId="7" fontId="16" numFmtId="4" xfId="0" applyAlignment="1" applyFill="1" applyFont="1" applyNumberFormat="1">
      <alignment horizontal="right" vertical="bottom"/>
    </xf>
    <xf borderId="12" fillId="0" fontId="12" numFmtId="0" xfId="0" applyAlignment="1" applyBorder="1" applyFont="1">
      <alignment horizontal="left" shrinkToFit="0" vertical="center" wrapText="0"/>
    </xf>
    <xf borderId="0" fillId="11" fontId="16" numFmtId="49" xfId="0" applyAlignment="1" applyFill="1" applyFont="1" applyNumberFormat="1">
      <alignment horizontal="right" vertical="bottom"/>
    </xf>
    <xf borderId="13" fillId="0" fontId="12" numFmtId="168" xfId="0" applyAlignment="1" applyBorder="1" applyFont="1" applyNumberFormat="1">
      <alignment horizontal="right" shrinkToFit="0" vertical="center" wrapText="0"/>
    </xf>
    <xf borderId="12" fillId="0" fontId="12" numFmtId="0" xfId="0" applyAlignment="1" applyBorder="1" applyFont="1">
      <alignment shrinkToFit="0" vertical="center" wrapText="0"/>
    </xf>
    <xf borderId="14" fillId="12" fontId="11" numFmtId="0" xfId="0" applyAlignment="1" applyBorder="1" applyFill="1" applyFont="1">
      <alignment shrinkToFit="0" vertical="center" wrapText="0"/>
    </xf>
    <xf borderId="15" fillId="12" fontId="11" numFmtId="173" xfId="0" applyAlignment="1" applyBorder="1" applyFill="1" applyFont="1" applyNumberFormat="1">
      <alignment horizontal="right" shrinkToFit="0" vertical="center" wrapText="0"/>
    </xf>
    <xf borderId="0" fillId="0" fontId="13" numFmtId="174" xfId="0" applyAlignment="1" applyFont="1" applyNumberFormat="1">
      <alignment shrinkToFit="0" vertical="center" wrapText="0"/>
    </xf>
    <xf borderId="16" fillId="13" fontId="24" numFmtId="171" xfId="0" applyAlignment="1" applyBorder="1" applyFill="1" applyFont="1" applyNumberFormat="1">
      <alignment horizontal="center" vertical="center"/>
    </xf>
    <xf borderId="17" fillId="13" fontId="25" numFmtId="171" xfId="0" applyAlignment="1" applyBorder="1" applyFill="1" applyFont="1" applyNumberFormat="1">
      <alignment horizontal="center" vertical="center"/>
    </xf>
    <xf borderId="0" fillId="0" fontId="26" numFmtId="0" xfId="0" applyAlignment="1" applyFont="1">
      <alignment horizontal="left" vertical="center"/>
    </xf>
    <xf borderId="0" fillId="14" fontId="8" numFmtId="0" xfId="0" applyAlignment="1" applyFill="1" applyFont="1">
      <alignment shrinkToFit="0" vertical="center" wrapText="0"/>
    </xf>
    <xf borderId="0" fillId="14" fontId="8" numFmtId="0" xfId="0" applyAlignment="1" applyFill="1" applyFont="1">
      <alignment vertical="center"/>
    </xf>
    <xf borderId="0" fillId="15" fontId="27" numFmtId="171" xfId="0" applyAlignment="1" applyFill="1" applyFont="1" applyNumberFormat="1">
      <alignment horizontal="center" vertical="center"/>
    </xf>
    <xf borderId="0" fillId="15" fontId="26" numFmtId="3" xfId="0" applyAlignment="1" applyFill="1" applyFont="1" applyNumberFormat="1">
      <alignment horizontal="center" vertical="center"/>
    </xf>
    <xf borderId="0" fillId="0" fontId="28" numFmtId="0" xfId="0" applyAlignment="1" applyFont="1">
      <alignment vertical="bottom"/>
    </xf>
    <xf borderId="0" fillId="0" fontId="29" numFmtId="170" xfId="0" applyAlignment="1" applyFont="1" applyNumberFormat="1">
      <alignment shrinkToFit="0" vertical="bottom" wrapText="0"/>
    </xf>
    <xf borderId="0" fillId="0" fontId="29" numFmtId="3" xfId="0" applyAlignment="1" applyFont="1" applyNumberFormat="1">
      <alignment shrinkToFit="0" vertical="bottom" wrapText="0"/>
    </xf>
    <xf borderId="0" fillId="0" fontId="30" numFmtId="3" xfId="0" applyAlignment="1" applyFont="1" applyNumberFormat="1">
      <alignment vertical="center"/>
    </xf>
    <xf borderId="0" fillId="0" fontId="30" numFmtId="3" xfId="0" applyAlignment="1" applyFont="1" applyNumberFormat="1">
      <alignment shrinkToFit="0" vertical="center" wrapText="0"/>
    </xf>
    <xf borderId="0" fillId="0" fontId="27" numFmtId="171" xfId="0" applyAlignment="1" applyFont="1" applyNumberFormat="1">
      <alignment horizontal="center" vertical="center"/>
    </xf>
    <xf borderId="0" fillId="0" fontId="26" numFmtId="3" xfId="0" applyAlignment="1" applyFont="1" applyNumberFormat="1">
      <alignment horizontal="center" vertical="center"/>
    </xf>
    <xf borderId="18" fillId="16" fontId="13" numFmtId="0" xfId="0" applyAlignment="1" applyBorder="1" applyFill="1" applyFont="1">
      <alignment shrinkToFit="0" vertical="center" wrapText="0"/>
    </xf>
    <xf borderId="18" fillId="7" fontId="13" numFmtId="10" xfId="0" applyAlignment="1" applyBorder="1" applyFill="1" applyFont="1" applyNumberFormat="1">
      <alignment shrinkToFit="0" vertical="center" wrapText="0"/>
    </xf>
    <xf borderId="0" fillId="7" fontId="14" numFmtId="3" xfId="0" applyAlignment="1" applyFill="1" applyFont="1" applyNumberFormat="1">
      <alignment shrinkToFit="0" vertical="center" wrapText="0"/>
    </xf>
    <xf borderId="0" fillId="11" fontId="31" numFmtId="49" xfId="0" applyAlignment="1" applyFill="1" applyFont="1" applyNumberFormat="1">
      <alignment vertical="bottom"/>
    </xf>
    <xf borderId="0" fillId="11" fontId="32" numFmtId="49" xfId="0" applyAlignment="1" applyFill="1" applyFont="1" applyNumberFormat="1">
      <alignment horizontal="right" vertical="bottom"/>
    </xf>
    <xf borderId="0" fillId="7" fontId="14" numFmtId="1" xfId="0" applyAlignment="1" applyFill="1" applyFont="1" applyNumberFormat="1">
      <alignment shrinkToFit="0" vertical="center" wrapText="0"/>
    </xf>
    <xf borderId="0" fillId="0" fontId="33" numFmtId="0" xfId="0" applyAlignment="1" applyFont="1">
      <alignment shrinkToFit="0" vertical="center" wrapText="0"/>
    </xf>
    <xf borderId="18" fillId="17" fontId="13" numFmtId="0" xfId="0" applyAlignment="1" applyBorder="1" applyFill="1" applyFont="1">
      <alignment horizontal="right" vertical="center"/>
    </xf>
    <xf borderId="19" fillId="0" fontId="13" numFmtId="0" xfId="0" applyAlignment="1" applyBorder="1" applyFont="1">
      <alignment vertical="center"/>
    </xf>
    <xf borderId="20" fillId="18" fontId="13" numFmtId="0" xfId="0" applyAlignment="1" applyBorder="1" applyFill="1" applyFont="1">
      <alignment vertical="center"/>
    </xf>
    <xf borderId="0" fillId="0" fontId="9" numFmtId="3" xfId="0" applyAlignment="1" applyFont="1" applyNumberFormat="1">
      <alignment vertical="center"/>
    </xf>
    <xf borderId="18" fillId="0" fontId="34" numFmtId="0" xfId="0" applyAlignment="1" applyBorder="1" applyFont="1">
      <alignment shrinkToFit="0" vertical="center" wrapText="0"/>
    </xf>
    <xf borderId="18" fillId="0" fontId="13" numFmtId="0" xfId="0" applyAlignment="1" applyBorder="1" applyFont="1">
      <alignment shrinkToFit="0" vertical="center" wrapText="0"/>
    </xf>
    <xf borderId="18" fillId="0" fontId="13" numFmtId="0" xfId="0" applyAlignment="1" applyBorder="1" applyFont="1">
      <alignment vertical="center"/>
    </xf>
    <xf borderId="0" fillId="7" fontId="14" numFmtId="175" xfId="0" applyAlignment="1" applyFill="1" applyFont="1" applyNumberFormat="1">
      <alignment shrinkToFit="0" vertical="center" wrapText="0"/>
    </xf>
    <xf borderId="18" fillId="0" fontId="13" numFmtId="3" xfId="0" applyAlignment="1" applyBorder="1" applyFont="1" applyNumberFormat="1">
      <alignment vertical="center"/>
    </xf>
    <xf borderId="18" fillId="7" fontId="14" numFmtId="10" xfId="0" applyAlignment="1" applyBorder="1" applyFill="1" applyFont="1" applyNumberFormat="1">
      <alignment horizontal="right" vertical="center"/>
    </xf>
    <xf borderId="18" fillId="7" fontId="14" numFmtId="3" xfId="0" applyAlignment="1" applyBorder="1" applyFill="1" applyFont="1" applyNumberFormat="1">
      <alignment vertical="center"/>
    </xf>
    <xf borderId="0" fillId="7" fontId="14" numFmtId="10" xfId="0" applyAlignment="1" applyFill="1" applyFont="1" applyNumberFormat="1">
      <alignment shrinkToFit="0" vertical="center" wrapText="0"/>
    </xf>
    <xf borderId="18" fillId="3" fontId="13" numFmtId="176" xfId="0" applyAlignment="1" applyBorder="1" applyFill="1" applyFont="1" applyNumberFormat="1">
      <alignment vertical="center"/>
    </xf>
    <xf borderId="0" fillId="0" fontId="13" numFmtId="177" xfId="0" applyAlignment="1" applyFont="1" applyNumberFormat="1">
      <alignment shrinkToFit="0" vertical="center" wrapText="0"/>
    </xf>
    <xf borderId="0" fillId="0" fontId="13" numFmtId="0" xfId="0" applyAlignment="1" applyFont="1">
      <alignment vertical="center"/>
    </xf>
    <xf borderId="20" fillId="18" fontId="13" numFmtId="3" xfId="0" applyAlignment="1" applyBorder="1" applyFill="1" applyFont="1" applyNumberFormat="1">
      <alignment vertical="center"/>
    </xf>
    <xf borderId="0" fillId="0" fontId="33" numFmtId="3" xfId="0" applyAlignment="1" applyFont="1" applyNumberFormat="1">
      <alignment shrinkToFit="0" vertical="center" wrapText="0"/>
    </xf>
    <xf borderId="0" fillId="0" fontId="35" numFmtId="0" xfId="0" applyAlignment="1" applyFont="1">
      <alignment shrinkToFit="0" vertical="bottom" wrapText="0"/>
    </xf>
    <xf borderId="0" fillId="0" fontId="36" numFmtId="0" xfId="0" applyAlignment="1" applyFont="1">
      <alignment shrinkToFit="0" vertical="center" wrapText="0"/>
    </xf>
    <xf borderId="0" fillId="0" fontId="37" numFmtId="0" xfId="0" applyAlignment="1" applyFont="1">
      <alignment vertical="center"/>
    </xf>
    <xf borderId="0" fillId="0" fontId="38" numFmtId="0" xfId="0" applyAlignment="1" applyFont="1">
      <alignment shrinkToFit="0" vertical="center" wrapText="0"/>
    </xf>
    <xf borderId="0" fillId="0" fontId="39" numFmtId="0" xfId="0" applyAlignment="1" applyFont="1">
      <alignment horizontal="left" shrinkToFit="0" vertical="center" wrapText="0"/>
    </xf>
    <xf borderId="0" fillId="19" fontId="25" numFmtId="0" xfId="0" applyAlignment="1" applyFill="1" applyFont="1">
      <alignment horizontal="left" shrinkToFit="0" vertical="center" wrapText="0"/>
    </xf>
    <xf borderId="21" fillId="0" fontId="40" numFmtId="0" xfId="0" applyAlignment="1" applyBorder="1" applyFont="1">
      <alignment horizontal="left" shrinkToFit="0" vertical="center" wrapText="0"/>
    </xf>
    <xf borderId="21" fillId="0" fontId="41" numFmtId="0" xfId="0" applyAlignment="1" applyBorder="1" applyFont="1">
      <alignment horizontal="left" shrinkToFit="0" vertical="center" wrapText="0"/>
    </xf>
    <xf borderId="21" fillId="14" fontId="8" numFmtId="0" xfId="0" applyAlignment="1" applyBorder="1" applyFill="1" applyFont="1">
      <alignment horizontal="center" shrinkToFit="0" vertical="center" wrapText="0"/>
    </xf>
    <xf borderId="22" fillId="20" fontId="41" numFmtId="0" xfId="0" applyAlignment="1" applyBorder="1" applyFill="1" applyFont="1">
      <alignment horizontal="left" shrinkToFit="0" vertical="center" wrapText="0"/>
    </xf>
    <xf borderId="22" fillId="0" fontId="6" numFmtId="0" xfId="0" applyAlignment="1" applyBorder="1" applyFont="1">
      <alignment vertical="center"/>
    </xf>
    <xf borderId="0" fillId="0" fontId="30" numFmtId="0" xfId="0" applyAlignment="1" applyFont="1">
      <alignment vertical="center"/>
    </xf>
    <xf borderId="0" fillId="0" fontId="30" numFmtId="0" xfId="0" applyAlignment="1" applyFont="1">
      <alignment shrinkToFit="0" vertical="center" wrapText="0"/>
    </xf>
    <xf borderId="21" fillId="20" fontId="40" numFmtId="170" xfId="0" applyAlignment="1" applyBorder="1" applyFill="1" applyFont="1" applyNumberFormat="1">
      <alignment horizontal="left" shrinkToFit="0" vertical="center" wrapText="0"/>
    </xf>
    <xf borderId="21" fillId="20" fontId="40" numFmtId="3" xfId="0" applyAlignment="1" applyBorder="1" applyFill="1" applyFont="1" applyNumberFormat="1">
      <alignment horizontal="left" shrinkToFit="0" vertical="center" wrapText="0"/>
    </xf>
    <xf borderId="21" fillId="0" fontId="30" numFmtId="3" xfId="0" applyAlignment="1" applyBorder="1" applyFont="1" applyNumberFormat="1">
      <alignment horizontal="center" shrinkToFit="0" vertical="center" wrapText="0"/>
    </xf>
    <xf borderId="21" fillId="20" fontId="39" numFmtId="170" xfId="0" applyAlignment="1" applyBorder="1" applyFill="1" applyFont="1" applyNumberFormat="1">
      <alignment horizontal="left" shrinkToFit="0" vertical="center" wrapText="0"/>
    </xf>
    <xf borderId="0" fillId="0" fontId="26" numFmtId="0" xfId="0" applyAlignment="1" applyFont="1">
      <alignment shrinkToFit="0" vertical="center" wrapText="0"/>
    </xf>
    <xf borderId="20" fillId="18" fontId="13" numFmtId="0" xfId="0" applyAlignment="1" applyBorder="1" applyFill="1" applyFont="1">
      <alignment shrinkToFit="0" vertical="center" wrapText="0"/>
    </xf>
    <xf borderId="18" fillId="21" fontId="13" numFmtId="0" xfId="0" applyAlignment="1" applyBorder="1" applyFill="1" applyFont="1">
      <alignment shrinkToFit="0" vertical="center" wrapText="0"/>
    </xf>
    <xf borderId="16" fillId="0" fontId="42" numFmtId="0" xfId="0" applyAlignment="1" applyBorder="1" applyFont="1">
      <alignment vertical="center"/>
    </xf>
    <xf borderId="18" fillId="3" fontId="13" numFmtId="3" xfId="0" applyAlignment="1" applyBorder="1" applyFill="1" applyFont="1" applyNumberFormat="1">
      <alignment vertical="center"/>
    </xf>
    <xf borderId="18" fillId="18" fontId="43" numFmtId="0" xfId="0" applyAlignment="1" applyBorder="1" applyFill="1" applyFont="1">
      <alignment vertical="center"/>
    </xf>
    <xf borderId="18" fillId="18" fontId="43" numFmtId="0" xfId="0" applyAlignment="1" applyBorder="1" applyFill="1" applyFont="1">
      <alignment horizontal="center" vertical="center"/>
    </xf>
    <xf borderId="19" fillId="0" fontId="43" numFmtId="0" xfId="0" applyAlignment="1" applyBorder="1" applyFont="1">
      <alignment vertical="center"/>
    </xf>
    <xf borderId="0" fillId="3" fontId="43" numFmtId="0" xfId="0" applyAlignment="1" applyFill="1" applyFont="1">
      <alignment horizontal="right" vertical="center"/>
    </xf>
    <xf borderId="0" fillId="0" fontId="43" numFmtId="0" xfId="0" applyAlignment="1" applyFont="1">
      <alignment vertical="center"/>
    </xf>
    <xf borderId="0" fillId="0" fontId="42" numFmtId="0" xfId="0" applyAlignment="1" applyFont="1">
      <alignment shrinkToFit="0" vertical="center" wrapText="0"/>
    </xf>
    <xf borderId="18" fillId="7" fontId="14" numFmtId="1" xfId="0" applyAlignment="1" applyBorder="1" applyFill="1" applyFont="1" applyNumberFormat="1">
      <alignment shrinkToFit="0" vertical="center" wrapText="0"/>
    </xf>
    <xf borderId="0" fillId="0" fontId="44" numFmtId="0" xfId="0" applyAlignment="1" applyFont="1">
      <alignment shrinkToFit="0" vertical="center" wrapText="0"/>
    </xf>
    <xf borderId="0" fillId="22" fontId="45" numFmtId="0" xfId="0" applyAlignment="1" applyFill="1" applyFont="1">
      <alignment horizontal="right" shrinkToFit="0" vertical="center" wrapText="0"/>
    </xf>
    <xf borderId="0" fillId="23" fontId="46" numFmtId="10" xfId="0" applyAlignment="1" applyFill="1" applyFont="1" applyNumberFormat="1">
      <alignment horizontal="right" shrinkToFit="0" vertical="center" wrapText="0"/>
    </xf>
    <xf borderId="0" fillId="0" fontId="42" numFmtId="0" xfId="0" applyAlignment="1" applyFont="1">
      <alignment vertical="center"/>
    </xf>
    <xf borderId="0" fillId="23" fontId="46" numFmtId="10" xfId="0" applyAlignment="1" applyFill="1" applyFont="1" applyNumberFormat="1">
      <alignment horizontal="right" readingOrder="0" shrinkToFit="0" vertical="center" wrapText="0"/>
    </xf>
    <xf borderId="18" fillId="17" fontId="43" numFmtId="40" xfId="0" applyAlignment="1" applyBorder="1" applyFill="1" applyFont="1" applyNumberFormat="1">
      <alignment vertical="center"/>
    </xf>
    <xf borderId="0" fillId="23" fontId="46" numFmtId="0" xfId="0" applyAlignment="1" applyFill="1" applyFont="1">
      <alignment horizontal="right" shrinkToFit="0" vertical="center" wrapText="0"/>
    </xf>
    <xf borderId="0" fillId="7" fontId="47" numFmtId="2" xfId="0" applyAlignment="1" applyFill="1" applyFont="1" applyNumberFormat="1">
      <alignment horizontal="right" shrinkToFit="0" vertical="center" wrapText="0"/>
    </xf>
    <xf borderId="18" fillId="17" fontId="43" numFmtId="178" xfId="0" applyAlignment="1" applyBorder="1" applyFill="1" applyFont="1" applyNumberFormat="1">
      <alignment horizontal="right" vertical="center"/>
    </xf>
    <xf borderId="20" fillId="18" fontId="13" numFmtId="3" xfId="0" applyAlignment="1" applyBorder="1" applyFill="1" applyFont="1" applyNumberFormat="1">
      <alignment shrinkToFit="0" vertical="center" wrapText="0"/>
    </xf>
    <xf borderId="23" fillId="0" fontId="42" numFmtId="0" xfId="0" applyAlignment="1" applyBorder="1" applyFont="1">
      <alignment vertical="center"/>
    </xf>
    <xf borderId="0" fillId="22" fontId="45" numFmtId="10" xfId="0" applyAlignment="1" applyFill="1" applyFont="1" applyNumberFormat="1">
      <alignment horizontal="right" shrinkToFit="0" vertical="center" wrapText="0"/>
    </xf>
    <xf borderId="18" fillId="18" fontId="43" numFmtId="0" xfId="0" applyAlignment="1" applyBorder="1" applyFill="1" applyFont="1">
      <alignment horizontal="center" shrinkToFit="0" vertical="center" wrapText="1"/>
    </xf>
    <xf borderId="18" fillId="21" fontId="43" numFmtId="0" xfId="0" applyAlignment="1" applyBorder="1" applyFill="1" applyFont="1">
      <alignment horizontal="center" shrinkToFit="0" vertical="center" wrapText="1"/>
    </xf>
    <xf borderId="0" fillId="9" fontId="3" numFmtId="166" xfId="0" applyAlignment="1" applyFill="1" applyFont="1" applyNumberFormat="1">
      <alignment horizontal="right" shrinkToFit="0" vertical="center" wrapText="0"/>
    </xf>
    <xf borderId="0" fillId="0" fontId="43" numFmtId="0" xfId="0" applyAlignment="1" applyFont="1">
      <alignment shrinkToFit="0" vertical="center" wrapText="1"/>
    </xf>
    <xf borderId="0" fillId="6" fontId="48" numFmtId="166" xfId="0" applyAlignment="1" applyFill="1" applyFont="1" applyNumberFormat="1">
      <alignment horizontal="right" shrinkToFit="0" vertical="center" wrapText="0"/>
    </xf>
    <xf borderId="0" fillId="7" fontId="47" numFmtId="49" xfId="0" applyAlignment="1" applyFill="1" applyFont="1" applyNumberFormat="1">
      <alignment horizontal="right" shrinkToFit="0" vertical="center" wrapText="0"/>
    </xf>
    <xf borderId="0" fillId="7" fontId="47" numFmtId="3" xfId="0" applyAlignment="1" applyFill="1" applyFont="1" applyNumberFormat="1">
      <alignment shrinkToFit="0" vertical="center" wrapText="0"/>
    </xf>
    <xf borderId="0" fillId="24" fontId="49" numFmtId="0" xfId="0" applyAlignment="1" applyFill="1" applyFont="1">
      <alignment shrinkToFit="0" vertical="center" wrapText="0"/>
    </xf>
    <xf borderId="18" fillId="17" fontId="43" numFmtId="179" xfId="0" applyAlignment="1" applyBorder="1" applyFill="1" applyFont="1" applyNumberFormat="1">
      <alignment horizontal="right" vertical="center"/>
    </xf>
    <xf borderId="0" fillId="0" fontId="42" numFmtId="10" xfId="0" applyAlignment="1" applyFont="1" applyNumberFormat="1">
      <alignment shrinkToFit="0" vertical="center" wrapText="0"/>
    </xf>
    <xf borderId="0" fillId="0" fontId="42" numFmtId="166" xfId="0" applyAlignment="1" applyFont="1" applyNumberFormat="1">
      <alignment shrinkToFit="0" vertical="center" wrapText="0"/>
    </xf>
    <xf borderId="18" fillId="17" fontId="43" numFmtId="180" xfId="0" applyAlignment="1" applyBorder="1" applyFill="1" applyFont="1" applyNumberFormat="1">
      <alignment horizontal="right" vertical="center"/>
    </xf>
    <xf borderId="18" fillId="17" fontId="43" numFmtId="181" xfId="0" applyAlignment="1" applyBorder="1" applyFill="1" applyFont="1" applyNumberFormat="1">
      <alignment horizontal="right" vertical="center"/>
    </xf>
    <xf borderId="0" fillId="0" fontId="42" numFmtId="0" xfId="0" applyAlignment="1" applyFont="1">
      <alignment shrinkToFit="0" vertical="center" wrapText="1"/>
    </xf>
    <xf borderId="0" fillId="9" fontId="3" numFmtId="0" xfId="0" applyAlignment="1" applyFill="1" applyFont="1">
      <alignment shrinkToFit="0" vertical="center" wrapText="1"/>
    </xf>
    <xf borderId="0" fillId="4" fontId="3" numFmtId="2" xfId="0" applyAlignment="1" applyFill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8" fillId="0" fontId="43" numFmtId="10" xfId="0" applyAlignment="1" applyBorder="1" applyFont="1" applyNumberFormat="1">
      <alignment horizontal="right" vertical="center"/>
    </xf>
    <xf borderId="0" fillId="0" fontId="50" numFmtId="0" xfId="0" applyAlignment="1" applyFont="1">
      <alignment shrinkToFit="0" vertical="center" wrapText="1"/>
    </xf>
    <xf borderId="0" fillId="6" fontId="48" numFmtId="2" xfId="0" applyAlignment="1" applyFill="1" applyFont="1" applyNumberFormat="1">
      <alignment shrinkToFit="0" vertical="center" wrapText="0"/>
    </xf>
    <xf borderId="0" fillId="0" fontId="13" numFmtId="0" xfId="0" applyAlignment="1" applyFont="1">
      <alignment shrinkToFit="0" vertical="center" wrapText="1"/>
    </xf>
    <xf borderId="18" fillId="17" fontId="43" numFmtId="49" xfId="0" applyAlignment="1" applyBorder="1" applyFill="1" applyFont="1" applyNumberFormat="1">
      <alignment horizontal="right" vertical="center"/>
    </xf>
    <xf borderId="0" fillId="7" fontId="14" numFmtId="4" xfId="0" applyAlignment="1" applyFill="1" applyFont="1" applyNumberFormat="1">
      <alignment shrinkToFit="0" vertical="center" wrapText="0"/>
    </xf>
    <xf borderId="18" fillId="17" fontId="43" numFmtId="10" xfId="0" applyAlignment="1" applyBorder="1" applyFill="1" applyFont="1" applyNumberFormat="1">
      <alignment horizontal="right" vertical="center"/>
    </xf>
    <xf borderId="18" fillId="17" fontId="43" numFmtId="9" xfId="0" applyAlignment="1" applyBorder="1" applyFill="1" applyFont="1" applyNumberFormat="1">
      <alignment horizontal="right" vertical="center"/>
    </xf>
    <xf borderId="0" fillId="7" fontId="14" numFmtId="182" xfId="0" applyAlignment="1" applyFill="1" applyFont="1" applyNumberFormat="1">
      <alignment shrinkToFit="0" vertical="center" wrapText="0"/>
    </xf>
    <xf borderId="18" fillId="17" fontId="43" numFmtId="0" xfId="0" applyAlignment="1" applyBorder="1" applyFill="1" applyFont="1">
      <alignment horizontal="right" vertical="center"/>
    </xf>
    <xf borderId="18" fillId="17" fontId="43" numFmtId="10" xfId="0" applyAlignment="1" applyBorder="1" applyFill="1" applyFont="1" applyNumberFormat="1">
      <alignment vertical="center"/>
    </xf>
    <xf borderId="0" fillId="0" fontId="43" numFmtId="0" xfId="0" applyAlignment="1" applyFont="1">
      <alignment shrinkToFit="0" vertical="center" wrapText="0"/>
    </xf>
    <xf borderId="0" fillId="3" fontId="43" numFmtId="0" xfId="0" applyAlignment="1" applyFill="1" applyFont="1">
      <alignment horizontal="center" vertical="center"/>
    </xf>
    <xf borderId="18" fillId="18" fontId="43" numFmtId="0" xfId="0" applyAlignment="1" applyBorder="1" applyFill="1" applyFont="1">
      <alignment shrinkToFit="0" vertical="center" wrapText="1"/>
    </xf>
    <xf borderId="0" fillId="3" fontId="43" numFmtId="178" xfId="0" applyAlignment="1" applyFill="1" applyFont="1" applyNumberFormat="1">
      <alignment horizontal="right" shrinkToFit="0" vertical="center" wrapText="1"/>
    </xf>
    <xf borderId="0" fillId="0" fontId="43" numFmtId="0" xfId="0" applyAlignment="1" applyFont="1">
      <alignment horizontal="right" shrinkToFit="0" vertical="center" wrapText="1"/>
    </xf>
    <xf borderId="0" fillId="0" fontId="51" numFmtId="0" xfId="0" applyAlignment="1" applyFont="1">
      <alignment shrinkToFit="0" vertical="center" wrapText="0"/>
    </xf>
    <xf borderId="0" fillId="0" fontId="52" numFmtId="0" xfId="0" applyAlignment="1" applyFont="1">
      <alignment shrinkToFit="0" vertical="center" wrapText="0"/>
    </xf>
    <xf borderId="0" fillId="25" fontId="53" numFmtId="0" xfId="0" applyAlignment="1" applyFill="1" applyFont="1">
      <alignment horizontal="left" shrinkToFit="0" vertical="center" wrapText="0"/>
    </xf>
    <xf borderId="18" fillId="0" fontId="43" numFmtId="181" xfId="0" applyAlignment="1" applyBorder="1" applyFont="1" applyNumberFormat="1">
      <alignment vertical="center"/>
    </xf>
    <xf borderId="24" fillId="0" fontId="54" numFmtId="0" xfId="0" applyAlignment="1" applyBorder="1" applyFont="1">
      <alignment horizontal="left" shrinkToFit="0" vertical="center" wrapText="0"/>
    </xf>
    <xf borderId="24" fillId="14" fontId="8" numFmtId="0" xfId="0" applyAlignment="1" applyBorder="1" applyFill="1" applyFont="1">
      <alignment horizontal="center" shrinkToFit="0" vertical="center" wrapText="0"/>
    </xf>
    <xf borderId="18" fillId="17" fontId="43" numFmtId="183" xfId="0" applyAlignment="1" applyBorder="1" applyFill="1" applyFont="1" applyNumberFormat="1">
      <alignment vertical="center"/>
    </xf>
    <xf borderId="24" fillId="26" fontId="54" numFmtId="0" xfId="0" applyAlignment="1" applyBorder="1" applyFill="1" applyFont="1">
      <alignment horizontal="left" shrinkToFit="0" vertical="center" wrapText="0"/>
    </xf>
    <xf borderId="24" fillId="26" fontId="55" numFmtId="0" xfId="0" applyAlignment="1" applyBorder="1" applyFill="1" applyFont="1">
      <alignment horizontal="left" shrinkToFit="0" vertical="center" wrapText="0"/>
    </xf>
    <xf borderId="0" fillId="0" fontId="29" numFmtId="0" xfId="0" applyAlignment="1" applyFont="1">
      <alignment shrinkToFit="0" vertical="center" wrapText="0"/>
    </xf>
    <xf borderId="25" fillId="26" fontId="54" numFmtId="0" xfId="0" applyAlignment="1" applyBorder="1" applyFill="1" applyFont="1">
      <alignment shrinkToFit="0" vertical="center" wrapText="0"/>
    </xf>
    <xf borderId="25" fillId="0" fontId="6" numFmtId="0" xfId="0" applyAlignment="1" applyBorder="1" applyFont="1">
      <alignment vertical="center"/>
    </xf>
    <xf borderId="24" fillId="26" fontId="56" numFmtId="170" xfId="0" applyAlignment="1" applyBorder="1" applyFill="1" applyFont="1" applyNumberFormat="1">
      <alignment horizontal="left" shrinkToFit="0" vertical="center" wrapText="0"/>
    </xf>
    <xf borderId="24" fillId="26" fontId="56" numFmtId="3" xfId="0" applyAlignment="1" applyBorder="1" applyFill="1" applyFont="1" applyNumberFormat="1">
      <alignment horizontal="left" shrinkToFit="0" vertical="center" wrapText="0"/>
    </xf>
    <xf borderId="18" fillId="0" fontId="43" numFmtId="181" xfId="0" applyAlignment="1" applyBorder="1" applyFont="1" applyNumberFormat="1">
      <alignment horizontal="right" vertical="center"/>
    </xf>
    <xf borderId="24" fillId="27" fontId="30" numFmtId="3" xfId="0" applyAlignment="1" applyBorder="1" applyFill="1" applyFont="1" applyNumberFormat="1">
      <alignment horizontal="center" shrinkToFit="0" vertical="center" wrapText="0"/>
    </xf>
    <xf borderId="0" fillId="0" fontId="29" numFmtId="3" xfId="0" applyAlignment="1" applyFont="1" applyNumberFormat="1">
      <alignment shrinkToFit="0" vertical="center" wrapText="0"/>
    </xf>
    <xf borderId="0" fillId="0" fontId="44" numFmtId="0" xfId="0" applyAlignment="1" applyFont="1">
      <alignment shrinkToFit="0" vertical="center" wrapText="1"/>
    </xf>
    <xf borderId="0" fillId="28" fontId="42" numFmtId="0" xfId="0" applyAlignment="1" applyFill="1" applyFont="1">
      <alignment shrinkToFit="0" vertical="center" wrapText="0"/>
    </xf>
    <xf borderId="0" fillId="28" fontId="42" numFmtId="0" xfId="0" applyAlignment="1" applyFill="1" applyFont="1">
      <alignment shrinkToFit="0" vertical="center" wrapText="1"/>
    </xf>
    <xf borderId="0" fillId="3" fontId="42" numFmtId="0" xfId="0" applyAlignment="1" applyFill="1" applyFont="1">
      <alignment shrinkToFit="0" vertical="center" wrapText="0"/>
    </xf>
    <xf borderId="0" fillId="3" fontId="42" numFmtId="0" xfId="0" applyAlignment="1" applyFill="1" applyFont="1">
      <alignment shrinkToFit="0" vertical="center" wrapText="1"/>
    </xf>
    <xf borderId="18" fillId="0" fontId="43" numFmtId="184" xfId="0" applyAlignment="1" applyBorder="1" applyFont="1" applyNumberFormat="1">
      <alignment vertical="center"/>
    </xf>
    <xf borderId="18" fillId="0" fontId="43" numFmtId="0" xfId="0" applyAlignment="1" applyBorder="1" applyFont="1">
      <alignment vertical="center"/>
    </xf>
    <xf borderId="0" fillId="3" fontId="43" numFmtId="178" xfId="0" applyAlignment="1" applyFill="1" applyFont="1" applyNumberFormat="1">
      <alignment horizontal="right" vertical="center"/>
    </xf>
    <xf borderId="0" fillId="3" fontId="43" numFmtId="178" xfId="0" applyAlignment="1" applyFill="1" applyFont="1" applyNumberFormat="1">
      <alignment vertical="center"/>
    </xf>
    <xf borderId="0" fillId="0" fontId="57" numFmtId="0" xfId="0" applyAlignment="1" applyFont="1">
      <alignment shrinkToFit="0" vertical="center" wrapText="0"/>
    </xf>
    <xf borderId="0" fillId="0" fontId="57" numFmtId="0" xfId="0" applyAlignment="1" applyFont="1">
      <alignment shrinkToFit="0" vertical="center" wrapText="1"/>
    </xf>
    <xf borderId="0" fillId="0" fontId="58" numFmtId="0" xfId="0" applyAlignment="1" applyFont="1">
      <alignment shrinkToFit="0" vertical="center" wrapText="0"/>
    </xf>
    <xf borderId="0" fillId="0" fontId="58" numFmtId="0" xfId="0" applyAlignment="1" applyFont="1">
      <alignment shrinkToFit="0" vertical="center" wrapText="1"/>
    </xf>
    <xf borderId="0" fillId="3" fontId="43" numFmtId="0" xfId="0" applyAlignment="1" applyFill="1" applyFont="1">
      <alignment vertical="center"/>
    </xf>
    <xf borderId="26" fillId="0" fontId="43" numFmtId="0" xfId="0" applyAlignment="1" applyBorder="1" applyFont="1">
      <alignment vertical="center"/>
    </xf>
    <xf borderId="0" fillId="3" fontId="43" numFmtId="9" xfId="0" applyAlignment="1" applyFill="1" applyFont="1" applyNumberFormat="1">
      <alignment vertical="center"/>
    </xf>
    <xf borderId="27" fillId="18" fontId="43" numFmtId="0" xfId="0" applyAlignment="1" applyBorder="1" applyFill="1" applyFont="1">
      <alignment horizontal="center" shrinkToFit="0" vertical="center" wrapText="1"/>
    </xf>
    <xf borderId="27" fillId="18" fontId="43" numFmtId="0" xfId="0" applyAlignment="1" applyBorder="1" applyFill="1" applyFont="1">
      <alignment shrinkToFit="0" vertical="center" wrapText="1"/>
    </xf>
    <xf borderId="28" fillId="18" fontId="43" numFmtId="0" xfId="0" applyAlignment="1" applyBorder="1" applyFill="1" applyFont="1">
      <alignment horizontal="center" shrinkToFit="0" vertical="center" wrapText="1"/>
    </xf>
    <xf borderId="29" fillId="18" fontId="43" numFmtId="0" xfId="0" applyAlignment="1" applyBorder="1" applyFill="1" applyFont="1">
      <alignment horizontal="center" shrinkToFit="0" vertical="center" wrapText="1"/>
    </xf>
    <xf borderId="23" fillId="18" fontId="43" numFmtId="0" xfId="0" applyAlignment="1" applyBorder="1" applyFill="1" applyFont="1">
      <alignment horizontal="center" shrinkToFit="0" vertical="center" wrapText="1"/>
    </xf>
    <xf borderId="23" fillId="0" fontId="43" numFmtId="0" xfId="0" applyAlignment="1" applyBorder="1" applyFont="1">
      <alignment shrinkToFit="0" vertical="center" wrapText="1"/>
    </xf>
    <xf borderId="30" fillId="18" fontId="43" numFmtId="0" xfId="0" applyAlignment="1" applyBorder="1" applyFill="1" applyFont="1">
      <alignment shrinkToFit="0" vertical="center" wrapText="1"/>
    </xf>
    <xf borderId="18" fillId="3" fontId="43" numFmtId="0" xfId="0" applyAlignment="1" applyBorder="1" applyFill="1" applyFont="1">
      <alignment vertical="center"/>
    </xf>
    <xf borderId="0" fillId="0" fontId="26" numFmtId="170" xfId="0" applyAlignment="1" applyFont="1" applyNumberFormat="1">
      <alignment shrinkToFit="0" vertical="center" wrapText="0"/>
    </xf>
    <xf borderId="0" fillId="0" fontId="26" numFmtId="3" xfId="0" applyAlignment="1" applyFont="1" applyNumberFormat="1">
      <alignment shrinkToFit="0" vertical="center" wrapText="0"/>
    </xf>
    <xf borderId="18" fillId="3" fontId="43" numFmtId="172" xfId="0" applyAlignment="1" applyBorder="1" applyFill="1" applyFont="1" applyNumberFormat="1">
      <alignment vertical="center"/>
    </xf>
    <xf borderId="0" fillId="0" fontId="9" numFmtId="170" xfId="0" applyAlignment="1" applyFont="1" applyNumberFormat="1">
      <alignment shrinkToFit="0" vertical="center" wrapText="0"/>
    </xf>
    <xf borderId="0" fillId="0" fontId="9" numFmtId="3" xfId="0" applyAlignment="1" applyFont="1" applyNumberFormat="1">
      <alignment shrinkToFit="0" vertical="center" wrapText="0"/>
    </xf>
    <xf borderId="18" fillId="3" fontId="43" numFmtId="185" xfId="0" applyAlignment="1" applyBorder="1" applyFill="1" applyFont="1" applyNumberFormat="1">
      <alignment vertical="center"/>
    </xf>
    <xf borderId="18" fillId="3" fontId="43" numFmtId="185" xfId="0" applyAlignment="1" applyBorder="1" applyFill="1" applyFont="1" applyNumberFormat="1">
      <alignment horizontal="right" vertical="center"/>
    </xf>
    <xf borderId="31" fillId="3" fontId="43" numFmtId="172" xfId="0" applyAlignment="1" applyBorder="1" applyFill="1" applyFont="1" applyNumberFormat="1">
      <alignment vertical="center"/>
    </xf>
    <xf borderId="23" fillId="0" fontId="43" numFmtId="0" xfId="0" applyAlignment="1" applyBorder="1" applyFont="1">
      <alignment vertical="center"/>
    </xf>
    <xf borderId="30" fillId="0" fontId="43" numFmtId="172" xfId="0" applyAlignment="1" applyBorder="1" applyFont="1" applyNumberFormat="1">
      <alignment vertical="center"/>
    </xf>
    <xf borderId="1" fillId="3" fontId="43" numFmtId="0" xfId="0" applyAlignment="1" applyBorder="1" applyFill="1" applyFont="1">
      <alignment horizontal="left" shrinkToFit="0" vertical="center" wrapText="1"/>
    </xf>
    <xf borderId="18" fillId="29" fontId="43" numFmtId="0" xfId="0" applyAlignment="1" applyBorder="1" applyFill="1" applyFont="1">
      <alignment horizontal="left" vertical="center"/>
    </xf>
    <xf borderId="18" fillId="0" fontId="43" numFmtId="0" xfId="0" applyAlignment="1" applyBorder="1" applyFont="1">
      <alignment horizontal="right" vertical="center"/>
    </xf>
    <xf borderId="18" fillId="0" fontId="43" numFmtId="172" xfId="0" applyAlignment="1" applyBorder="1" applyFont="1" applyNumberFormat="1">
      <alignment vertical="center"/>
    </xf>
    <xf borderId="32" fillId="3" fontId="43" numFmtId="172" xfId="0" applyAlignment="1" applyBorder="1" applyFill="1" applyFont="1" applyNumberFormat="1">
      <alignment vertical="center"/>
    </xf>
    <xf borderId="0" fillId="0" fontId="43" numFmtId="166" xfId="0" applyAlignment="1" applyFont="1" applyNumberFormat="1">
      <alignment vertical="center"/>
    </xf>
    <xf borderId="0" fillId="0" fontId="43" numFmtId="1" xfId="0" applyAlignment="1" applyFont="1" applyNumberFormat="1">
      <alignment vertical="center"/>
    </xf>
    <xf borderId="0" fillId="0" fontId="37" numFmtId="4" xfId="0" applyAlignment="1" applyFont="1" applyNumberFormat="1">
      <alignment vertical="center"/>
    </xf>
    <xf borderId="33" fillId="0" fontId="42" numFmtId="0" xfId="0" applyAlignment="1" applyBorder="1" applyFont="1">
      <alignment vertical="center"/>
    </xf>
    <xf borderId="26" fillId="0" fontId="43" numFmtId="0" xfId="0" applyAlignment="1" applyBorder="1" applyFont="1">
      <alignment shrinkToFit="0" vertical="center" wrapText="1"/>
    </xf>
    <xf borderId="0" fillId="0" fontId="43" numFmtId="166" xfId="0" applyAlignment="1" applyFont="1" applyNumberFormat="1">
      <alignment shrinkToFit="0" vertical="center" wrapText="1"/>
    </xf>
    <xf borderId="0" fillId="0" fontId="43" numFmtId="186" xfId="0" applyAlignment="1" applyFont="1" applyNumberFormat="1">
      <alignment vertical="center"/>
    </xf>
    <xf borderId="0" fillId="0" fontId="37" numFmtId="3" xfId="0" applyAlignment="1" applyFont="1" applyNumberFormat="1">
      <alignment vertical="center"/>
    </xf>
    <xf borderId="0" fillId="0" fontId="37" numFmtId="166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B42318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76</xdr:row>
      <xdr:rowOff>0</xdr:rowOff>
    </xdr:from>
    <xdr:ext cx="9525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x.com/ja-jp/shipping/surcharges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ydhl.express.dhl/jp/ja/ship/surcharges.html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3F68"/>
    <pageSetUpPr/>
  </sheetPr>
  <sheetViews>
    <sheetView showGridLines="0" workbookViewId="0"/>
  </sheetViews>
  <sheetFormatPr customHeight="1" defaultColWidth="14.43" defaultRowHeight="15.0"/>
  <cols>
    <col customWidth="1" min="1" max="1" width="9.71"/>
    <col customWidth="1" min="2" max="41" width="4.43"/>
    <col customWidth="1" min="42" max="42" width="9.71"/>
  </cols>
  <sheetData>
    <row r="1" ht="16.5" customHeight="1">
      <c r="A1" s="4"/>
      <c r="B1" s="7" t="s">
        <v>5</v>
      </c>
      <c r="C1" s="8"/>
      <c r="D1" s="8"/>
      <c r="E1" s="8"/>
      <c r="F1" s="8"/>
      <c r="G1" s="8"/>
      <c r="H1" s="8"/>
      <c r="I1" s="8"/>
      <c r="J1" s="8"/>
      <c r="K1" s="10"/>
      <c r="L1" s="7" t="s">
        <v>7</v>
      </c>
      <c r="M1" s="8"/>
      <c r="N1" s="8"/>
      <c r="O1" s="8"/>
      <c r="P1" s="8"/>
      <c r="Q1" s="8"/>
      <c r="R1" s="8"/>
      <c r="S1" s="8"/>
      <c r="T1" s="8"/>
      <c r="U1" s="10"/>
      <c r="V1" s="7" t="s">
        <v>9</v>
      </c>
      <c r="W1" s="8"/>
      <c r="X1" s="8"/>
      <c r="Y1" s="8"/>
      <c r="Z1" s="8"/>
      <c r="AA1" s="8"/>
      <c r="AB1" s="8"/>
      <c r="AC1" s="8"/>
      <c r="AD1" s="8"/>
      <c r="AE1" s="10"/>
      <c r="AF1" s="7" t="s">
        <v>10</v>
      </c>
      <c r="AG1" s="8"/>
      <c r="AH1" s="8"/>
      <c r="AI1" s="8"/>
      <c r="AJ1" s="8"/>
      <c r="AK1" s="8"/>
      <c r="AL1" s="8"/>
      <c r="AM1" s="8"/>
      <c r="AN1" s="8"/>
      <c r="AO1" s="10"/>
      <c r="AP1" s="4"/>
    </row>
    <row r="2" ht="24.0" customHeight="1">
      <c r="A2" s="4"/>
      <c r="B2" s="17">
        <v>82.98</v>
      </c>
      <c r="C2" s="8"/>
      <c r="D2" s="8"/>
      <c r="E2" s="8"/>
      <c r="F2" s="8"/>
      <c r="G2" s="8"/>
      <c r="H2" s="8"/>
      <c r="I2" s="8"/>
      <c r="J2" s="8"/>
      <c r="K2" s="10"/>
      <c r="L2" s="19">
        <v>5800.0</v>
      </c>
      <c r="M2" s="8"/>
      <c r="N2" s="8"/>
      <c r="O2" s="8"/>
      <c r="P2" s="8"/>
      <c r="Q2" s="8"/>
      <c r="R2" s="8"/>
      <c r="S2" s="8"/>
      <c r="T2" s="8"/>
      <c r="U2" s="10"/>
      <c r="V2" s="20">
        <v>1500.0</v>
      </c>
      <c r="W2" s="8"/>
      <c r="X2" s="8"/>
      <c r="Y2" s="8"/>
      <c r="Z2" s="8"/>
      <c r="AA2" s="8"/>
      <c r="AB2" s="8"/>
      <c r="AC2" s="8"/>
      <c r="AD2" s="8"/>
      <c r="AE2" s="10"/>
      <c r="AF2" s="23" t="s">
        <v>15</v>
      </c>
      <c r="AG2" s="8"/>
      <c r="AH2" s="8"/>
      <c r="AI2" s="8"/>
      <c r="AJ2" s="8"/>
      <c r="AK2" s="8"/>
      <c r="AL2" s="8"/>
      <c r="AM2" s="8"/>
      <c r="AN2" s="8"/>
      <c r="AO2" s="10"/>
      <c r="AP2" s="4"/>
    </row>
    <row r="3" ht="18.0" customHeight="1">
      <c r="A3" s="4"/>
      <c r="B3" s="7" t="s">
        <v>19</v>
      </c>
      <c r="C3" s="8"/>
      <c r="D3" s="8"/>
      <c r="E3" s="8"/>
      <c r="F3" s="8"/>
      <c r="G3" s="10"/>
      <c r="H3" s="7" t="s">
        <v>20</v>
      </c>
      <c r="I3" s="8"/>
      <c r="J3" s="8"/>
      <c r="K3" s="8"/>
      <c r="L3" s="8"/>
      <c r="M3" s="10"/>
      <c r="N3" s="7" t="s">
        <v>21</v>
      </c>
      <c r="O3" s="8"/>
      <c r="P3" s="8"/>
      <c r="Q3" s="8"/>
      <c r="R3" s="8"/>
      <c r="S3" s="10"/>
      <c r="T3" s="7" t="s">
        <v>24</v>
      </c>
      <c r="U3" s="8"/>
      <c r="V3" s="8"/>
      <c r="W3" s="8"/>
      <c r="X3" s="8"/>
      <c r="Y3" s="8"/>
      <c r="Z3" s="8"/>
      <c r="AA3" s="10"/>
      <c r="AB3" s="7" t="s">
        <v>25</v>
      </c>
      <c r="AC3" s="8"/>
      <c r="AD3" s="8"/>
      <c r="AE3" s="8"/>
      <c r="AF3" s="8"/>
      <c r="AG3" s="10"/>
      <c r="AH3" s="31" t="s">
        <v>27</v>
      </c>
      <c r="AI3" s="8"/>
      <c r="AJ3" s="8"/>
      <c r="AK3" s="10"/>
      <c r="AL3" s="31" t="s">
        <v>28</v>
      </c>
      <c r="AM3" s="8"/>
      <c r="AN3" s="8"/>
      <c r="AO3" s="10"/>
      <c r="AP3" s="4"/>
    </row>
    <row r="4" ht="24.0" customHeight="1">
      <c r="A4" s="4"/>
      <c r="B4" s="33">
        <v>20.0</v>
      </c>
      <c r="C4" s="8"/>
      <c r="D4" s="8"/>
      <c r="E4" s="8"/>
      <c r="F4" s="8"/>
      <c r="G4" s="10"/>
      <c r="H4" s="33">
        <v>20.0</v>
      </c>
      <c r="I4" s="8"/>
      <c r="J4" s="8"/>
      <c r="K4" s="8"/>
      <c r="L4" s="8"/>
      <c r="M4" s="10"/>
      <c r="N4" s="33">
        <v>20.0</v>
      </c>
      <c r="O4" s="8"/>
      <c r="P4" s="8"/>
      <c r="Q4" s="8"/>
      <c r="R4" s="8"/>
      <c r="S4" s="10"/>
      <c r="T4" s="35">
        <v>0.0</v>
      </c>
      <c r="U4" s="8"/>
      <c r="V4" s="8"/>
      <c r="W4" s="8"/>
      <c r="X4" s="8"/>
      <c r="Y4" s="8"/>
      <c r="Z4" s="8"/>
      <c r="AA4" s="10"/>
      <c r="AB4" s="37">
        <f>'設定'!B4</f>
        <v>158.158</v>
      </c>
      <c r="AC4" s="8"/>
      <c r="AD4" s="8"/>
      <c r="AE4" s="8"/>
      <c r="AF4" s="8"/>
      <c r="AG4" s="10"/>
      <c r="AH4" s="38">
        <f>'計算詳細'!F8</f>
        <v>1000</v>
      </c>
      <c r="AI4" s="8"/>
      <c r="AJ4" s="8"/>
      <c r="AK4" s="10"/>
      <c r="AL4" s="38">
        <f>'計算詳細'!G8</f>
        <v>1600</v>
      </c>
      <c r="AM4" s="8"/>
      <c r="AN4" s="8"/>
      <c r="AO4" s="10"/>
      <c r="AP4" s="4"/>
    </row>
    <row r="5" ht="16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21.0" customHeight="1">
      <c r="A6" s="4"/>
      <c r="B6" s="39" t="s">
        <v>33</v>
      </c>
      <c r="C6" s="8"/>
      <c r="D6" s="8"/>
      <c r="E6" s="10"/>
      <c r="F6" s="39" t="s">
        <v>34</v>
      </c>
      <c r="G6" s="8"/>
      <c r="H6" s="8"/>
      <c r="I6" s="8"/>
      <c r="J6" s="8"/>
      <c r="K6" s="8"/>
      <c r="L6" s="8"/>
      <c r="M6" s="8"/>
      <c r="N6" s="8"/>
      <c r="O6" s="8"/>
      <c r="P6" s="8"/>
      <c r="Q6" s="10"/>
      <c r="R6" s="39" t="s">
        <v>35</v>
      </c>
      <c r="S6" s="8"/>
      <c r="T6" s="8"/>
      <c r="U6" s="8"/>
      <c r="V6" s="8"/>
      <c r="W6" s="8"/>
      <c r="X6" s="8"/>
      <c r="Y6" s="8"/>
      <c r="Z6" s="8"/>
      <c r="AA6" s="8"/>
      <c r="AB6" s="8"/>
      <c r="AC6" s="10"/>
      <c r="AD6" s="39" t="s">
        <v>36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10"/>
      <c r="AP6" s="4"/>
    </row>
    <row r="7" ht="24.0" customHeight="1">
      <c r="A7" s="4"/>
      <c r="B7" s="41" t="s">
        <v>37</v>
      </c>
      <c r="C7" s="8"/>
      <c r="D7" s="8"/>
      <c r="E7" s="10"/>
      <c r="F7" s="42">
        <f>'計算詳細'!M16</f>
        <v>-335.5975492</v>
      </c>
      <c r="G7" s="8"/>
      <c r="H7" s="8"/>
      <c r="I7" s="8"/>
      <c r="J7" s="8"/>
      <c r="K7" s="8"/>
      <c r="L7" s="8"/>
      <c r="M7" s="8"/>
      <c r="N7" s="8"/>
      <c r="O7" s="8"/>
      <c r="P7" s="8"/>
      <c r="Q7" s="10"/>
      <c r="R7" s="42">
        <f>'計算詳細'!N16</f>
        <v>389.4024508</v>
      </c>
      <c r="S7" s="8"/>
      <c r="T7" s="8"/>
      <c r="U7" s="8"/>
      <c r="V7" s="8"/>
      <c r="W7" s="8"/>
      <c r="X7" s="8"/>
      <c r="Y7" s="8"/>
      <c r="Z7" s="8"/>
      <c r="AA7" s="8"/>
      <c r="AB7" s="8"/>
      <c r="AC7" s="10"/>
      <c r="AD7" s="42">
        <f>'計算詳細'!O16</f>
        <v>349.6234508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10"/>
      <c r="AP7" s="4"/>
    </row>
    <row r="8" ht="21.0" customHeight="1">
      <c r="A8" s="4"/>
      <c r="B8" s="44" t="s">
        <v>40</v>
      </c>
      <c r="C8" s="8"/>
      <c r="D8" s="8"/>
      <c r="E8" s="10"/>
      <c r="F8" s="45">
        <f>'計算詳細'!M20</f>
        <v>191.6751781</v>
      </c>
      <c r="G8" s="8"/>
      <c r="H8" s="8"/>
      <c r="I8" s="8"/>
      <c r="J8" s="8"/>
      <c r="K8" s="8"/>
      <c r="L8" s="8"/>
      <c r="M8" s="8"/>
      <c r="N8" s="8"/>
      <c r="O8" s="8"/>
      <c r="P8" s="8"/>
      <c r="Q8" s="10"/>
      <c r="R8" s="45">
        <f>'計算詳細'!N20</f>
        <v>916.6751781</v>
      </c>
      <c r="S8" s="8"/>
      <c r="T8" s="8"/>
      <c r="U8" s="8"/>
      <c r="V8" s="8"/>
      <c r="W8" s="8"/>
      <c r="X8" s="8"/>
      <c r="Y8" s="8"/>
      <c r="Z8" s="8"/>
      <c r="AA8" s="8"/>
      <c r="AB8" s="8"/>
      <c r="AC8" s="10"/>
      <c r="AD8" s="45">
        <f>'計算詳細'!O20</f>
        <v>876.8961781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10"/>
      <c r="AP8" s="4"/>
    </row>
    <row r="9" ht="21.0" customHeight="1">
      <c r="A9" s="4"/>
      <c r="B9" s="44" t="s">
        <v>44</v>
      </c>
      <c r="C9" s="8"/>
      <c r="D9" s="8"/>
      <c r="E9" s="10"/>
      <c r="F9" s="45">
        <f>'計算詳細'!C16</f>
        <v>3726</v>
      </c>
      <c r="G9" s="8"/>
      <c r="H9" s="8"/>
      <c r="I9" s="8"/>
      <c r="J9" s="8"/>
      <c r="K9" s="8"/>
      <c r="L9" s="8"/>
      <c r="M9" s="8"/>
      <c r="N9" s="8"/>
      <c r="O9" s="8"/>
      <c r="P9" s="8"/>
      <c r="Q9" s="10"/>
      <c r="R9" s="45">
        <f>'計算詳細'!C16</f>
        <v>3726</v>
      </c>
      <c r="S9" s="8"/>
      <c r="T9" s="8"/>
      <c r="U9" s="8"/>
      <c r="V9" s="8"/>
      <c r="W9" s="8"/>
      <c r="X9" s="8"/>
      <c r="Y9" s="8"/>
      <c r="Z9" s="8"/>
      <c r="AA9" s="8"/>
      <c r="AB9" s="8"/>
      <c r="AC9" s="10"/>
      <c r="AD9" s="45">
        <f>'計算詳細'!D16</f>
        <v>3060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10"/>
      <c r="AP9" s="4"/>
    </row>
    <row r="10" ht="16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ht="21.0" customHeight="1">
      <c r="A11" s="4"/>
      <c r="B11" s="39" t="s">
        <v>33</v>
      </c>
      <c r="C11" s="8"/>
      <c r="D11" s="8"/>
      <c r="E11" s="10"/>
      <c r="F11" s="39" t="s">
        <v>151</v>
      </c>
      <c r="G11" s="8"/>
      <c r="H11" s="8"/>
      <c r="I11" s="8"/>
      <c r="J11" s="8"/>
      <c r="K11" s="10"/>
      <c r="L11" s="39" t="s">
        <v>165</v>
      </c>
      <c r="M11" s="8"/>
      <c r="N11" s="8"/>
      <c r="O11" s="8"/>
      <c r="P11" s="8"/>
      <c r="Q11" s="10"/>
      <c r="R11" s="39" t="s">
        <v>178</v>
      </c>
      <c r="S11" s="8"/>
      <c r="T11" s="8"/>
      <c r="U11" s="8"/>
      <c r="V11" s="8"/>
      <c r="W11" s="10"/>
      <c r="X11" s="39" t="s">
        <v>188</v>
      </c>
      <c r="Y11" s="8"/>
      <c r="Z11" s="8"/>
      <c r="AA11" s="8"/>
      <c r="AB11" s="8"/>
      <c r="AC11" s="10"/>
      <c r="AD11" s="39" t="s">
        <v>197</v>
      </c>
      <c r="AE11" s="8"/>
      <c r="AF11" s="8"/>
      <c r="AG11" s="8"/>
      <c r="AH11" s="8"/>
      <c r="AI11" s="10"/>
      <c r="AJ11" s="39" t="s">
        <v>208</v>
      </c>
      <c r="AK11" s="8"/>
      <c r="AL11" s="8"/>
      <c r="AM11" s="8"/>
      <c r="AN11" s="8"/>
      <c r="AO11" s="10"/>
      <c r="AP11" s="4"/>
    </row>
    <row r="12" ht="24.0" customHeight="1">
      <c r="A12" s="4"/>
      <c r="B12" s="41" t="s">
        <v>37</v>
      </c>
      <c r="C12" s="8"/>
      <c r="D12" s="8"/>
      <c r="E12" s="10"/>
      <c r="F12" s="42">
        <f>'計算詳細'!I13</f>
        <v>-347.7815492</v>
      </c>
      <c r="G12" s="8"/>
      <c r="H12" s="8"/>
      <c r="I12" s="8"/>
      <c r="J12" s="8"/>
      <c r="K12" s="10"/>
      <c r="L12" s="42">
        <f>'計算詳細'!Q25</f>
        <v>-1440.781549</v>
      </c>
      <c r="M12" s="8"/>
      <c r="N12" s="8"/>
      <c r="O12" s="8"/>
      <c r="P12" s="8"/>
      <c r="Q12" s="10"/>
      <c r="R12" s="42">
        <f>'計算詳細'!J13</f>
        <v>-1790.781549</v>
      </c>
      <c r="S12" s="8"/>
      <c r="T12" s="8"/>
      <c r="U12" s="8"/>
      <c r="V12" s="8"/>
      <c r="W12" s="10"/>
      <c r="X12" s="42">
        <f>'計算詳細'!Q27</f>
        <v>-892.7815492</v>
      </c>
      <c r="Y12" s="8"/>
      <c r="Z12" s="8"/>
      <c r="AA12" s="8"/>
      <c r="AB12" s="8"/>
      <c r="AC12" s="10"/>
      <c r="AD12" s="42">
        <f>'計算詳細'!K13</f>
        <v>-2071.781549</v>
      </c>
      <c r="AE12" s="8"/>
      <c r="AF12" s="8"/>
      <c r="AG12" s="8"/>
      <c r="AH12" s="8"/>
      <c r="AI12" s="10"/>
      <c r="AJ12" s="42">
        <f>'計算詳細'!Q29</f>
        <v>-2209.781549</v>
      </c>
      <c r="AK12" s="8"/>
      <c r="AL12" s="8"/>
      <c r="AM12" s="8"/>
      <c r="AN12" s="8"/>
      <c r="AO12" s="10"/>
      <c r="AP12" s="4"/>
    </row>
    <row r="13" ht="21.0" customHeight="1">
      <c r="A13" s="4"/>
      <c r="B13" s="44" t="s">
        <v>40</v>
      </c>
      <c r="C13" s="8"/>
      <c r="D13" s="8"/>
      <c r="E13" s="10"/>
      <c r="F13" s="45">
        <f>'計算詳細'!I14</f>
        <v>179.4911781</v>
      </c>
      <c r="G13" s="8"/>
      <c r="H13" s="8"/>
      <c r="I13" s="8"/>
      <c r="J13" s="8"/>
      <c r="K13" s="10"/>
      <c r="L13" s="45">
        <f>'計算詳細'!Q26</f>
        <v>-913.5088219</v>
      </c>
      <c r="M13" s="8"/>
      <c r="N13" s="8"/>
      <c r="O13" s="8"/>
      <c r="P13" s="8"/>
      <c r="Q13" s="10"/>
      <c r="R13" s="45">
        <f>'計算詳細'!J14</f>
        <v>-1263.508822</v>
      </c>
      <c r="S13" s="8"/>
      <c r="T13" s="8"/>
      <c r="U13" s="8"/>
      <c r="V13" s="8"/>
      <c r="W13" s="10"/>
      <c r="X13" s="45">
        <f>'計算詳細'!Q28</f>
        <v>-365.5088219</v>
      </c>
      <c r="Y13" s="8"/>
      <c r="Z13" s="8"/>
      <c r="AA13" s="8"/>
      <c r="AB13" s="8"/>
      <c r="AC13" s="10"/>
      <c r="AD13" s="45">
        <f>'計算詳細'!K14</f>
        <v>-1544.508822</v>
      </c>
      <c r="AE13" s="8"/>
      <c r="AF13" s="8"/>
      <c r="AG13" s="8"/>
      <c r="AH13" s="8"/>
      <c r="AI13" s="10"/>
      <c r="AJ13" s="45">
        <f>'計算詳細'!Q30</f>
        <v>-1682.508822</v>
      </c>
      <c r="AK13" s="8"/>
      <c r="AL13" s="8"/>
      <c r="AM13" s="8"/>
      <c r="AN13" s="8"/>
      <c r="AO13" s="10"/>
      <c r="AP13" s="4"/>
    </row>
    <row r="14" ht="21.0" customHeight="1">
      <c r="A14" s="4"/>
      <c r="B14" s="44" t="s">
        <v>44</v>
      </c>
      <c r="C14" s="8"/>
      <c r="D14" s="8"/>
      <c r="E14" s="10"/>
      <c r="F14" s="45">
        <f>'エコノミー送料'!G6</f>
        <v>5106</v>
      </c>
      <c r="G14" s="8"/>
      <c r="H14" s="8"/>
      <c r="I14" s="8"/>
      <c r="J14" s="8"/>
      <c r="K14" s="10"/>
      <c r="L14" s="45">
        <f>'エコノミー送料'!G5</f>
        <v>6199</v>
      </c>
      <c r="M14" s="8"/>
      <c r="N14" s="8"/>
      <c r="O14" s="8"/>
      <c r="P14" s="8"/>
      <c r="Q14" s="10"/>
      <c r="R14" s="45">
        <f>'計算詳細'!J16</f>
        <v>5362</v>
      </c>
      <c r="S14" s="8"/>
      <c r="T14" s="8"/>
      <c r="U14" s="8"/>
      <c r="V14" s="8"/>
      <c r="W14" s="10"/>
      <c r="X14" s="45">
        <f>IF(ISNUMBER('設定'!B30),'設定'!B30,'FedEx 送料'!M3)</f>
        <v>5084</v>
      </c>
      <c r="Y14" s="8"/>
      <c r="Z14" s="8"/>
      <c r="AA14" s="8"/>
      <c r="AB14" s="8"/>
      <c r="AC14" s="10"/>
      <c r="AD14" s="45">
        <f>'計算詳細'!K16</f>
        <v>4999</v>
      </c>
      <c r="AE14" s="8"/>
      <c r="AF14" s="8"/>
      <c r="AG14" s="8"/>
      <c r="AH14" s="8"/>
      <c r="AI14" s="10"/>
      <c r="AJ14" s="45">
        <f>IF(ISNUMBER('設定'!B31),'設定'!B31,'DHL　送料'!M6)</f>
        <v>5533</v>
      </c>
      <c r="AK14" s="8"/>
      <c r="AL14" s="8"/>
      <c r="AM14" s="8"/>
      <c r="AN14" s="8"/>
      <c r="AO14" s="10"/>
      <c r="AP14" s="4"/>
    </row>
    <row r="15" ht="16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ht="21.0" customHeight="1">
      <c r="A16" s="4"/>
      <c r="B16" s="39" t="s">
        <v>33</v>
      </c>
      <c r="C16" s="8"/>
      <c r="D16" s="8"/>
      <c r="E16" s="8"/>
      <c r="F16" s="10"/>
      <c r="G16" s="39" t="s">
        <v>648</v>
      </c>
      <c r="H16" s="8"/>
      <c r="I16" s="8"/>
      <c r="J16" s="8"/>
      <c r="K16" s="8"/>
      <c r="L16" s="8"/>
      <c r="M16" s="10"/>
      <c r="N16" s="39" t="s">
        <v>659</v>
      </c>
      <c r="O16" s="8"/>
      <c r="P16" s="8"/>
      <c r="Q16" s="8"/>
      <c r="R16" s="8"/>
      <c r="S16" s="8"/>
      <c r="T16" s="10"/>
      <c r="U16" s="39" t="s">
        <v>670</v>
      </c>
      <c r="V16" s="8"/>
      <c r="W16" s="8"/>
      <c r="X16" s="8"/>
      <c r="Y16" s="8"/>
      <c r="Z16" s="8"/>
      <c r="AA16" s="10"/>
      <c r="AB16" s="39" t="s">
        <v>32</v>
      </c>
      <c r="AC16" s="8"/>
      <c r="AD16" s="8"/>
      <c r="AE16" s="8"/>
      <c r="AF16" s="8"/>
      <c r="AG16" s="8"/>
      <c r="AH16" s="10"/>
      <c r="AI16" s="39" t="s">
        <v>4</v>
      </c>
      <c r="AJ16" s="8"/>
      <c r="AK16" s="8"/>
      <c r="AL16" s="8"/>
      <c r="AM16" s="8"/>
      <c r="AN16" s="8"/>
      <c r="AO16" s="10"/>
      <c r="AP16" s="4"/>
    </row>
    <row r="17" ht="24.0" customHeight="1">
      <c r="A17" s="4"/>
      <c r="B17" s="41" t="s">
        <v>37</v>
      </c>
      <c r="C17" s="8"/>
      <c r="D17" s="8"/>
      <c r="E17" s="8"/>
      <c r="F17" s="10"/>
      <c r="G17" s="42">
        <f>'計算詳細'!C13</f>
        <v>1032.218451</v>
      </c>
      <c r="H17" s="8"/>
      <c r="I17" s="8"/>
      <c r="J17" s="8"/>
      <c r="K17" s="8"/>
      <c r="L17" s="8"/>
      <c r="M17" s="10"/>
      <c r="N17" s="42">
        <f>'計算詳細'!D13</f>
        <v>1698.218451</v>
      </c>
      <c r="O17" s="8"/>
      <c r="P17" s="8"/>
      <c r="Q17" s="8"/>
      <c r="R17" s="8"/>
      <c r="S17" s="8"/>
      <c r="T17" s="10"/>
      <c r="U17" s="42">
        <f>'計算詳細'!E13</f>
        <v>-1125.840709</v>
      </c>
      <c r="V17" s="8"/>
      <c r="W17" s="8"/>
      <c r="X17" s="8"/>
      <c r="Y17" s="8"/>
      <c r="Z17" s="8"/>
      <c r="AA17" s="10"/>
      <c r="AB17" s="42">
        <f>'計算詳細'!F13</f>
        <v>1016.159291</v>
      </c>
      <c r="AC17" s="8"/>
      <c r="AD17" s="8"/>
      <c r="AE17" s="8"/>
      <c r="AF17" s="8"/>
      <c r="AG17" s="8"/>
      <c r="AH17" s="10"/>
      <c r="AI17" s="42">
        <f>'計算詳細'!G13</f>
        <v>-99.84070876</v>
      </c>
      <c r="AJ17" s="8"/>
      <c r="AK17" s="8"/>
      <c r="AL17" s="8"/>
      <c r="AM17" s="8"/>
      <c r="AN17" s="8"/>
      <c r="AO17" s="10"/>
      <c r="AP17" s="4"/>
    </row>
    <row r="18" ht="21.0" customHeight="1">
      <c r="A18" s="4"/>
      <c r="B18" s="44" t="s">
        <v>40</v>
      </c>
      <c r="C18" s="8"/>
      <c r="D18" s="8"/>
      <c r="E18" s="8"/>
      <c r="F18" s="10"/>
      <c r="G18" s="45">
        <f>'計算詳細'!C14</f>
        <v>1559.491178</v>
      </c>
      <c r="H18" s="8"/>
      <c r="I18" s="8"/>
      <c r="J18" s="8"/>
      <c r="K18" s="8"/>
      <c r="L18" s="8"/>
      <c r="M18" s="10"/>
      <c r="N18" s="45">
        <f>'計算詳細'!D14</f>
        <v>2225.491178</v>
      </c>
      <c r="O18" s="8"/>
      <c r="P18" s="8"/>
      <c r="Q18" s="8"/>
      <c r="R18" s="8"/>
      <c r="S18" s="8"/>
      <c r="T18" s="10"/>
      <c r="U18" s="45">
        <f>'計算詳細'!E14</f>
        <v>-598.5679815</v>
      </c>
      <c r="V18" s="8"/>
      <c r="W18" s="8"/>
      <c r="X18" s="8"/>
      <c r="Y18" s="8"/>
      <c r="Z18" s="8"/>
      <c r="AA18" s="10"/>
      <c r="AB18" s="45">
        <f>'計算詳細'!F14</f>
        <v>1543.432019</v>
      </c>
      <c r="AC18" s="8"/>
      <c r="AD18" s="8"/>
      <c r="AE18" s="8"/>
      <c r="AF18" s="8"/>
      <c r="AG18" s="8"/>
      <c r="AH18" s="10"/>
      <c r="AI18" s="45">
        <f>'計算詳細'!G14</f>
        <v>427.4320185</v>
      </c>
      <c r="AJ18" s="8"/>
      <c r="AK18" s="8"/>
      <c r="AL18" s="8"/>
      <c r="AM18" s="8"/>
      <c r="AN18" s="8"/>
      <c r="AO18" s="10"/>
      <c r="AP18" s="4"/>
    </row>
    <row r="19" ht="21.0" customHeight="1">
      <c r="A19" s="4"/>
      <c r="B19" s="44" t="s">
        <v>44</v>
      </c>
      <c r="C19" s="8"/>
      <c r="D19" s="8"/>
      <c r="E19" s="8"/>
      <c r="F19" s="10"/>
      <c r="G19" s="45">
        <f>'計算詳細'!C16</f>
        <v>3726</v>
      </c>
      <c r="H19" s="8"/>
      <c r="I19" s="8"/>
      <c r="J19" s="8"/>
      <c r="K19" s="8"/>
      <c r="L19" s="8"/>
      <c r="M19" s="10"/>
      <c r="N19" s="45">
        <f>'計算詳細'!D16</f>
        <v>3060</v>
      </c>
      <c r="O19" s="8"/>
      <c r="P19" s="8"/>
      <c r="Q19" s="8"/>
      <c r="R19" s="8"/>
      <c r="S19" s="8"/>
      <c r="T19" s="10"/>
      <c r="U19" s="45">
        <f>'計算詳細'!E16</f>
        <v>5940</v>
      </c>
      <c r="V19" s="8"/>
      <c r="W19" s="8"/>
      <c r="X19" s="8"/>
      <c r="Y19" s="8"/>
      <c r="Z19" s="8"/>
      <c r="AA19" s="10"/>
      <c r="AB19" s="45">
        <f>'計算詳細'!F16</f>
        <v>3798</v>
      </c>
      <c r="AC19" s="8"/>
      <c r="AD19" s="8"/>
      <c r="AE19" s="8"/>
      <c r="AF19" s="8"/>
      <c r="AG19" s="8"/>
      <c r="AH19" s="10"/>
      <c r="AI19" s="45">
        <f>'計算詳細'!G16</f>
        <v>4914</v>
      </c>
      <c r="AJ19" s="8"/>
      <c r="AK19" s="8"/>
      <c r="AL19" s="8"/>
      <c r="AM19" s="8"/>
      <c r="AN19" s="8"/>
      <c r="AO19" s="10"/>
      <c r="AP19" s="4"/>
    </row>
    <row r="20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ht="27.0" customHeight="1"/>
    <row r="22" ht="16.5" customHeight="1"/>
    <row r="23" ht="21.0" customHeight="1"/>
    <row r="24" ht="21.0" customHeight="1"/>
    <row r="25" ht="16.5" customHeight="1"/>
    <row r="26" ht="24.0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16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8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9:E9"/>
    <mergeCell ref="F11:K11"/>
    <mergeCell ref="L11:Q11"/>
    <mergeCell ref="R11:W11"/>
    <mergeCell ref="X11:AC11"/>
    <mergeCell ref="AD11:AI11"/>
    <mergeCell ref="AJ11:AO11"/>
    <mergeCell ref="B11:E11"/>
    <mergeCell ref="F12:K12"/>
    <mergeCell ref="L12:Q12"/>
    <mergeCell ref="R12:W12"/>
    <mergeCell ref="X12:AC12"/>
    <mergeCell ref="AD12:AI12"/>
    <mergeCell ref="AJ12:AO12"/>
    <mergeCell ref="B12:E12"/>
    <mergeCell ref="F13:K13"/>
    <mergeCell ref="L13:Q13"/>
    <mergeCell ref="R13:W13"/>
    <mergeCell ref="X13:AC13"/>
    <mergeCell ref="AD13:AI13"/>
    <mergeCell ref="AJ13:AO13"/>
    <mergeCell ref="B13:E13"/>
    <mergeCell ref="F14:K14"/>
    <mergeCell ref="L14:Q14"/>
    <mergeCell ref="R14:W14"/>
    <mergeCell ref="X14:AC14"/>
    <mergeCell ref="AD14:AI14"/>
    <mergeCell ref="AJ14:AO14"/>
    <mergeCell ref="G18:M18"/>
    <mergeCell ref="N18:T18"/>
    <mergeCell ref="B19:F19"/>
    <mergeCell ref="G19:M19"/>
    <mergeCell ref="N19:T19"/>
    <mergeCell ref="U18:AA18"/>
    <mergeCell ref="AB18:AH18"/>
    <mergeCell ref="U19:AA19"/>
    <mergeCell ref="AB19:AH19"/>
    <mergeCell ref="AI19:AO19"/>
    <mergeCell ref="B17:F17"/>
    <mergeCell ref="G17:M17"/>
    <mergeCell ref="N17:T17"/>
    <mergeCell ref="U17:AA17"/>
    <mergeCell ref="AB17:AH17"/>
    <mergeCell ref="AI17:AO17"/>
    <mergeCell ref="B18:F18"/>
    <mergeCell ref="AI18:AO18"/>
    <mergeCell ref="B1:K1"/>
    <mergeCell ref="L1:U1"/>
    <mergeCell ref="V1:AE1"/>
    <mergeCell ref="AF1:AO1"/>
    <mergeCell ref="L2:U2"/>
    <mergeCell ref="V2:AE2"/>
    <mergeCell ref="AF2:AO2"/>
    <mergeCell ref="B2:K2"/>
    <mergeCell ref="H3:M3"/>
    <mergeCell ref="N3:S3"/>
    <mergeCell ref="T3:AA3"/>
    <mergeCell ref="AB3:AG3"/>
    <mergeCell ref="AH3:AK3"/>
    <mergeCell ref="AL3:AO3"/>
    <mergeCell ref="B3:G3"/>
    <mergeCell ref="H4:M4"/>
    <mergeCell ref="N4:S4"/>
    <mergeCell ref="T4:AA4"/>
    <mergeCell ref="AB4:AG4"/>
    <mergeCell ref="AH4:AK4"/>
    <mergeCell ref="AL4:AO4"/>
    <mergeCell ref="R7:AC7"/>
    <mergeCell ref="AD7:AO7"/>
    <mergeCell ref="B4:G4"/>
    <mergeCell ref="B6:E6"/>
    <mergeCell ref="F6:Q6"/>
    <mergeCell ref="R6:AC6"/>
    <mergeCell ref="AD6:AO6"/>
    <mergeCell ref="B7:E7"/>
    <mergeCell ref="F7:Q7"/>
    <mergeCell ref="B8:E8"/>
    <mergeCell ref="F8:Q8"/>
    <mergeCell ref="R8:AC8"/>
    <mergeCell ref="AD8:AO8"/>
    <mergeCell ref="F9:Q9"/>
    <mergeCell ref="R9:AC9"/>
    <mergeCell ref="AD9:AO9"/>
    <mergeCell ref="B14:E14"/>
    <mergeCell ref="B16:F16"/>
    <mergeCell ref="G16:M16"/>
    <mergeCell ref="N16:T16"/>
    <mergeCell ref="U16:AA16"/>
    <mergeCell ref="AB16:AH16"/>
    <mergeCell ref="AI16:AO16"/>
  </mergeCells>
  <conditionalFormatting sqref="B7:AO7">
    <cfRule type="cellIs" dxfId="0" priority="1" operator="lessThan">
      <formula>0</formula>
    </cfRule>
  </conditionalFormatting>
  <conditionalFormatting sqref="B12:AO12">
    <cfRule type="cellIs" dxfId="0" priority="2" operator="lessThan">
      <formula>0</formula>
    </cfRule>
  </conditionalFormatting>
  <conditionalFormatting sqref="B17:AO17">
    <cfRule type="cellIs" dxfId="0" priority="3" operator="lessThan">
      <formula>0</formula>
    </cfRule>
  </conditionalFormatting>
  <conditionalFormatting sqref="B8:AO8">
    <cfRule type="cellIs" dxfId="0" priority="4" operator="lessThan">
      <formula>0</formula>
    </cfRule>
  </conditionalFormatting>
  <conditionalFormatting sqref="B13:AO13">
    <cfRule type="cellIs" dxfId="0" priority="5" operator="lessThan">
      <formula>0</formula>
    </cfRule>
  </conditionalFormatting>
  <conditionalFormatting sqref="B18:AO18">
    <cfRule type="cellIs" dxfId="0" priority="6" operator="lessThan">
      <formula>0</formula>
    </cfRule>
  </conditionalFormatting>
  <dataValidations>
    <dataValidation type="decimal" operator="greaterThan" allowBlank="1" sqref="V2">
      <formula1>0.0</formula1>
    </dataValidation>
    <dataValidation type="decimal" operator="greaterThanOrEqual" allowBlank="1" sqref="B2 L2 B4 H4 N4 T4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21.71"/>
    <col customWidth="1" min="22" max="24" width="10.86"/>
  </cols>
  <sheetData>
    <row r="1" ht="18.0" customHeight="1">
      <c r="A1" s="1" t="s">
        <v>0</v>
      </c>
      <c r="B1" s="5">
        <f>COUNTIF(B4:B2102,'計算詳細'!$F$4)</f>
        <v>0</v>
      </c>
      <c r="C1" s="5">
        <f>COUNTIF(C4:C2102,'計算詳細'!$F$4)</f>
        <v>0</v>
      </c>
      <c r="D1" s="5">
        <f>COUNTIF(D4:D2102,'計算詳細'!$F$4)</f>
        <v>0</v>
      </c>
      <c r="E1" s="5">
        <f>COUNTIF(E4:E2102,'計算詳細'!$F$4)</f>
        <v>0</v>
      </c>
      <c r="F1" s="5">
        <f>COUNTIF(F4:F2102,'計算詳細'!$F$4)</f>
        <v>0</v>
      </c>
      <c r="G1" s="5">
        <f>COUNTIF(G4:G2102,'計算詳細'!$F$4)</f>
        <v>0</v>
      </c>
      <c r="H1" s="5">
        <f>COUNTIF(H4:H2102,'計算詳細'!$F$4)</f>
        <v>0</v>
      </c>
      <c r="I1" s="5">
        <f>COUNTIF(I4:I2102,'計算詳細'!$F$4)</f>
        <v>0</v>
      </c>
      <c r="J1" s="5">
        <f>COUNTIF(J4:J2102,'計算詳細'!$F$4)</f>
        <v>0</v>
      </c>
      <c r="K1" s="5">
        <f>COUNTIF(K4:K2102,'計算詳細'!$F$4)</f>
        <v>0</v>
      </c>
      <c r="L1" s="5">
        <f>COUNTIF(L4:L2102,'計算詳細'!$F$4)</f>
        <v>0</v>
      </c>
      <c r="M1" s="5">
        <f>COUNTIF(M4:M2102,'計算詳細'!$F$4)</f>
        <v>0</v>
      </c>
      <c r="N1" s="5">
        <f>COUNTIF(N4:N2102,'計算詳細'!$F$4)</f>
        <v>0</v>
      </c>
      <c r="O1" s="5">
        <f>COUNTIF(O4:O2102,'計算詳細'!$F$4)</f>
        <v>0</v>
      </c>
      <c r="P1" s="5">
        <f>COUNTIF(P4:P2102,'計算詳細'!$F$4)</f>
        <v>0</v>
      </c>
      <c r="Q1" s="5">
        <f>COUNTIF(Q4:Q2102,'計算詳細'!$F$4)</f>
        <v>0</v>
      </c>
      <c r="R1" s="5">
        <f>COUNTIF(R4:R2102,'計算詳細'!$F$4)</f>
        <v>0</v>
      </c>
      <c r="S1" s="5">
        <f>COUNTIF(S4:S2102,'計算詳細'!$F$4)</f>
        <v>0</v>
      </c>
      <c r="T1" s="5">
        <f>COUNTIF(T4:T2102,'計算詳細'!$F$4)</f>
        <v>0</v>
      </c>
      <c r="U1" s="5">
        <f>COUNTIF(U4:U2102,'計算詳細'!$F$4)</f>
        <v>1</v>
      </c>
      <c r="V1" s="27"/>
      <c r="W1" s="27"/>
      <c r="X1" s="27"/>
    </row>
    <row r="2" ht="18.0" customHeight="1">
      <c r="A2" s="28" t="s">
        <v>22</v>
      </c>
      <c r="B2" s="30">
        <f>IF(AND(ISNUMBER(B6),ISNUMBER(B7),'計算詳細'!$B$4&gt;=B6),B7,IF('計算詳細'!$B$4&gt;=B4,B5,B3))</f>
        <v>0.025</v>
      </c>
      <c r="C2" s="30">
        <f>C3</f>
        <v>0.05</v>
      </c>
      <c r="D2" s="30">
        <f>IF(AND(ISNUMBER(D6),ISNUMBER(D7),'計算詳細'!$B$4&gt;=D6),D7,IF('計算詳細'!$B$4&gt;=D4,D5,D3))</f>
        <v>0.067</v>
      </c>
      <c r="E2" s="30">
        <f>IF(AND(ISNUMBER(E6),ISNUMBER(E7),'計算詳細'!$B$4&gt;=E6),E7,IF('計算詳細'!$B$4&gt;=E4,E5,E3))</f>
        <v>0.0735</v>
      </c>
      <c r="F2" s="30">
        <f>F3</f>
        <v>0.07</v>
      </c>
      <c r="G2" s="30">
        <f>IF(AND(ISNUMBER(G6),ISNUMBER(G7),'計算詳細'!$B$4&gt;=G6),G7,IF('計算詳細'!$B$4&gt;=G4,G5,G3))</f>
        <v>0.075</v>
      </c>
      <c r="H2" s="30">
        <f>IF(AND(ISNUMBER(H6),ISNUMBER(H7),'計算詳細'!$B$4&gt;=H6),H7,IF('計算詳細'!$B$4&gt;=H4,H5,H3))</f>
        <v>0.09</v>
      </c>
      <c r="I2" s="30">
        <f>IF(AND(ISNUMBER(I6),ISNUMBER(I7),'計算詳細'!$B$4&gt;=I6),I7,IF('計算詳細'!$B$4&gt;=I4,I5,I3))</f>
        <v>0.0935</v>
      </c>
      <c r="J2" s="30">
        <f>IF(AND(ISNUMBER(J6),ISNUMBER(J7),'計算詳細'!$B$4&gt;=J6),J7,IF('計算詳細'!$B$4&gt;=J4,J5,J3))</f>
        <v>0.095</v>
      </c>
      <c r="K2" s="30">
        <f>IF(AND(ISNUMBER(K6),ISNUMBER(K7),'計算詳細'!$B$4&gt;=K6),K7,IF('計算詳細'!$B$4&gt;=K4,K5,K3))</f>
        <v>0.097</v>
      </c>
      <c r="L2" s="30">
        <f>IF(AND(ISNUMBER(L6),ISNUMBER(L7),'計算詳細'!$B$4&gt;=L6),L7,IF('計算詳細'!$B$4&gt;=L4,L5,L3))</f>
        <v>0.1035</v>
      </c>
      <c r="M2" s="30">
        <f>IF(AND(ISNUMBER(M6),ISNUMBER(M7),'計算詳細'!$B$4&gt;=M6),M7,IF('計算詳細'!$B$4&gt;=M4,M5,M3))</f>
        <v>0.115</v>
      </c>
      <c r="N2" s="30">
        <f>IF(AND(ISNUMBER(N6),ISNUMBER(N7),'計算詳細'!$B$4&gt;=N6),N7,IF('計算詳細'!$B$4&gt;=N4,N5,N3))</f>
        <v>0.1235</v>
      </c>
      <c r="O2" s="30">
        <f>IF(AND(ISNUMBER(O6),ISNUMBER(O7),'計算詳細'!$B$4&gt;=O6),O7,IF('計算詳細'!$B$4&gt;=O4,O5,O3))</f>
        <v>0.125</v>
      </c>
      <c r="P2" s="30">
        <f>IF(AND(ISNUMBER(P6),ISNUMBER(P7),'計算詳細'!$B$4&gt;=P6),P7,IF('計算詳細'!$B$4&gt;=P4,P5,P3))</f>
        <v>0.127</v>
      </c>
      <c r="Q2" s="30">
        <f>IF(AND(ISNUMBER(Q6),ISNUMBER(Q7),'計算詳細'!$B$4&gt;=Q6),Q7,IF('計算詳細'!$B$4&gt;=Q4,Q5,Q3))</f>
        <v>0.13</v>
      </c>
      <c r="R2" s="30">
        <f>IF(AND(ISNUMBER(R6),ISNUMBER(R7),'計算詳細'!$B$4&gt;=R6),R7,IF('計算詳細'!$B$4&gt;=R4,R5,R3))</f>
        <v>0.13</v>
      </c>
      <c r="S2" s="30">
        <f>IF(AND(ISNUMBER(S6),ISNUMBER(S7),'計算詳細'!$B$4&gt;=S6),S7,IF('計算詳細'!$B$4&gt;=S4,S5,S3))</f>
        <v>0.153</v>
      </c>
      <c r="T2" s="30">
        <f>IF(AND(ISNUMBER(T6),ISNUMBER(T7),'計算詳細'!$B$4&gt;=T6),T7,IF('計算詳細'!$B$4&gt;=T4,T5,T3))</f>
        <v>0.0935</v>
      </c>
      <c r="U2" s="30">
        <f>IF(AND(ISNUMBER(U6),ISNUMBER(U7),'計算詳細'!$B$4&gt;=U6),U7,IF('計算詳細'!$B$4&gt;=U4,U5,U3))</f>
        <v>0.127</v>
      </c>
      <c r="V2" s="46"/>
      <c r="W2" s="46"/>
      <c r="X2" s="46"/>
    </row>
    <row r="3" ht="18.0" customHeight="1">
      <c r="A3" s="47" t="s">
        <v>43</v>
      </c>
      <c r="B3" s="48">
        <v>0.025</v>
      </c>
      <c r="C3" s="48">
        <v>0.05</v>
      </c>
      <c r="D3" s="48">
        <v>0.067</v>
      </c>
      <c r="E3" s="48">
        <v>0.0735</v>
      </c>
      <c r="F3" s="48">
        <v>0.07</v>
      </c>
      <c r="G3" s="48">
        <v>0.075</v>
      </c>
      <c r="H3" s="48">
        <v>0.09</v>
      </c>
      <c r="I3" s="48">
        <v>0.0935</v>
      </c>
      <c r="J3" s="48">
        <v>0.095</v>
      </c>
      <c r="K3" s="48">
        <v>0.09699999999999999</v>
      </c>
      <c r="L3" s="48">
        <v>0.1035</v>
      </c>
      <c r="M3" s="48">
        <v>0.115</v>
      </c>
      <c r="N3" s="48">
        <v>0.1235</v>
      </c>
      <c r="O3" s="48">
        <v>0.125</v>
      </c>
      <c r="P3" s="48">
        <v>0.127</v>
      </c>
      <c r="Q3" s="48">
        <v>0.13</v>
      </c>
      <c r="R3" s="48">
        <v>0.13</v>
      </c>
      <c r="S3" s="48">
        <v>0.153</v>
      </c>
      <c r="T3" s="48">
        <v>0.0935</v>
      </c>
      <c r="U3" s="48">
        <v>0.127</v>
      </c>
      <c r="V3" s="50"/>
      <c r="W3" s="50"/>
      <c r="X3" s="50"/>
    </row>
    <row r="4" ht="18.0" customHeight="1">
      <c r="A4" s="47" t="s">
        <v>45</v>
      </c>
      <c r="B4" s="51">
        <v>15000.0</v>
      </c>
      <c r="C4" s="51"/>
      <c r="D4" s="51">
        <v>2500.0</v>
      </c>
      <c r="E4" s="51">
        <v>2500.0</v>
      </c>
      <c r="F4" s="47"/>
      <c r="G4" s="51">
        <v>1500.0</v>
      </c>
      <c r="H4" s="51">
        <v>4000.0</v>
      </c>
      <c r="I4" s="51">
        <v>1000.0</v>
      </c>
      <c r="J4" s="51">
        <v>1000.0</v>
      </c>
      <c r="K4" s="51">
        <v>2500.0</v>
      </c>
      <c r="L4" s="51">
        <v>2500.0</v>
      </c>
      <c r="M4" s="51">
        <v>1000.0</v>
      </c>
      <c r="N4" s="51">
        <v>2500.0</v>
      </c>
      <c r="O4" s="51">
        <v>1000.0</v>
      </c>
      <c r="P4" s="51">
        <v>1000.0</v>
      </c>
      <c r="Q4" s="51">
        <v>2000.0</v>
      </c>
      <c r="R4" s="51">
        <v>5000.0</v>
      </c>
      <c r="S4" s="51">
        <v>2500.0</v>
      </c>
      <c r="T4" s="51">
        <v>2500.0</v>
      </c>
      <c r="U4" s="51">
        <v>2500.0</v>
      </c>
      <c r="V4" s="50"/>
      <c r="W4" s="50"/>
      <c r="X4" s="50"/>
    </row>
    <row r="5" ht="18.0" customHeight="1">
      <c r="A5" s="47" t="s">
        <v>46</v>
      </c>
      <c r="B5" s="48">
        <v>0.005</v>
      </c>
      <c r="C5" s="48"/>
      <c r="D5" s="48">
        <v>0.0235</v>
      </c>
      <c r="E5" s="48">
        <v>0.0235</v>
      </c>
      <c r="F5" s="48"/>
      <c r="G5" s="48">
        <v>0.05</v>
      </c>
      <c r="H5" s="48">
        <v>0.0235</v>
      </c>
      <c r="I5" s="48">
        <v>0.0235</v>
      </c>
      <c r="J5" s="48">
        <v>0.0235</v>
      </c>
      <c r="K5" s="48">
        <v>0.0235</v>
      </c>
      <c r="L5" s="48">
        <v>0.0235</v>
      </c>
      <c r="M5" s="48">
        <v>0.0235</v>
      </c>
      <c r="N5" s="48">
        <v>0.0235</v>
      </c>
      <c r="O5" s="48">
        <v>0.04</v>
      </c>
      <c r="P5" s="48">
        <v>0.0235</v>
      </c>
      <c r="Q5" s="48">
        <v>0.07</v>
      </c>
      <c r="R5" s="48">
        <v>0.07</v>
      </c>
      <c r="S5" s="48">
        <v>0.0235</v>
      </c>
      <c r="T5" s="48">
        <v>0.0235</v>
      </c>
      <c r="U5" s="48">
        <v>0.0235</v>
      </c>
      <c r="V5" s="50"/>
      <c r="W5" s="50"/>
      <c r="X5" s="50"/>
    </row>
    <row r="6" ht="18.0" customHeight="1">
      <c r="A6" s="47" t="s">
        <v>48</v>
      </c>
      <c r="B6" s="47"/>
      <c r="C6" s="47"/>
      <c r="D6" s="47"/>
      <c r="E6" s="47"/>
      <c r="F6" s="47"/>
      <c r="G6" s="51">
        <v>10000.0</v>
      </c>
      <c r="H6" s="51"/>
      <c r="I6" s="51"/>
      <c r="J6" s="51"/>
      <c r="K6" s="51"/>
      <c r="L6" s="51"/>
      <c r="M6" s="51"/>
      <c r="N6" s="51"/>
      <c r="O6" s="51">
        <v>5000.0</v>
      </c>
      <c r="P6" s="51"/>
      <c r="Q6" s="51"/>
      <c r="R6" s="51"/>
      <c r="S6" s="51"/>
      <c r="T6" s="51"/>
      <c r="U6" s="51"/>
      <c r="V6" s="50"/>
      <c r="W6" s="50"/>
      <c r="X6" s="50"/>
    </row>
    <row r="7" ht="18.0" customHeight="1">
      <c r="A7" s="47" t="s">
        <v>49</v>
      </c>
      <c r="B7" s="47"/>
      <c r="C7" s="47"/>
      <c r="D7" s="47"/>
      <c r="E7" s="47"/>
      <c r="F7" s="47"/>
      <c r="G7" s="48">
        <v>0.045</v>
      </c>
      <c r="H7" s="47"/>
      <c r="I7" s="47"/>
      <c r="J7" s="47"/>
      <c r="K7" s="47"/>
      <c r="L7" s="47"/>
      <c r="M7" s="47"/>
      <c r="N7" s="47"/>
      <c r="O7" s="48">
        <v>0.03</v>
      </c>
      <c r="P7" s="47"/>
      <c r="Q7" s="47"/>
      <c r="R7" s="47"/>
      <c r="S7" s="47"/>
      <c r="T7" s="47"/>
      <c r="U7" s="47"/>
      <c r="V7" s="50"/>
      <c r="W7" s="50"/>
      <c r="X7" s="50"/>
    </row>
    <row r="8" ht="18.0" customHeight="1">
      <c r="A8" s="53"/>
      <c r="B8" s="53" t="s">
        <v>50</v>
      </c>
      <c r="C8" s="53" t="s">
        <v>51</v>
      </c>
      <c r="D8" s="53" t="s">
        <v>52</v>
      </c>
      <c r="E8" s="53" t="s">
        <v>54</v>
      </c>
      <c r="F8" s="53" t="s">
        <v>55</v>
      </c>
      <c r="G8" s="53" t="s">
        <v>56</v>
      </c>
      <c r="H8" s="53" t="s">
        <v>57</v>
      </c>
      <c r="I8" s="53" t="s">
        <v>58</v>
      </c>
      <c r="J8" s="53" t="s">
        <v>59</v>
      </c>
      <c r="K8" s="53" t="s">
        <v>60</v>
      </c>
      <c r="L8" s="53" t="s">
        <v>61</v>
      </c>
      <c r="M8" s="53" t="s">
        <v>62</v>
      </c>
      <c r="N8" s="53" t="s">
        <v>63</v>
      </c>
      <c r="O8" s="53" t="s">
        <v>64</v>
      </c>
      <c r="P8" s="53" t="s">
        <v>65</v>
      </c>
      <c r="Q8" s="53" t="s">
        <v>66</v>
      </c>
      <c r="R8" s="53" t="s">
        <v>67</v>
      </c>
      <c r="S8" s="53" t="s">
        <v>68</v>
      </c>
      <c r="T8" s="53" t="s">
        <v>69</v>
      </c>
      <c r="U8" s="53" t="s">
        <v>70</v>
      </c>
      <c r="V8" s="53"/>
      <c r="W8" s="53"/>
      <c r="X8" s="53"/>
    </row>
    <row r="9" ht="18.0" customHeight="1">
      <c r="A9" s="53"/>
      <c r="B9" s="53" t="s">
        <v>71</v>
      </c>
      <c r="C9" s="53" t="s">
        <v>72</v>
      </c>
      <c r="D9" s="53" t="s">
        <v>73</v>
      </c>
      <c r="E9" s="53" t="s">
        <v>74</v>
      </c>
      <c r="F9" s="53" t="s">
        <v>75</v>
      </c>
      <c r="G9" s="53" t="s">
        <v>76</v>
      </c>
      <c r="H9" s="53" t="s">
        <v>77</v>
      </c>
      <c r="I9" s="53" t="s">
        <v>78</v>
      </c>
      <c r="J9" s="53" t="s">
        <v>79</v>
      </c>
      <c r="K9" s="53" t="s">
        <v>80</v>
      </c>
      <c r="L9" s="53" t="s">
        <v>81</v>
      </c>
      <c r="M9" s="53" t="s">
        <v>82</v>
      </c>
      <c r="N9" s="53" t="s">
        <v>83</v>
      </c>
      <c r="O9" s="53" t="s">
        <v>84</v>
      </c>
      <c r="P9" s="53" t="s">
        <v>85</v>
      </c>
      <c r="Q9" s="53"/>
      <c r="R9" s="53" t="s">
        <v>86</v>
      </c>
      <c r="S9" s="53" t="s">
        <v>87</v>
      </c>
      <c r="T9" s="53" t="s">
        <v>88</v>
      </c>
      <c r="U9" s="53" t="s">
        <v>89</v>
      </c>
      <c r="V9" s="53"/>
      <c r="W9" s="53"/>
      <c r="X9" s="53"/>
    </row>
    <row r="10" ht="18.0" customHeight="1">
      <c r="A10" s="53"/>
      <c r="B10" s="53" t="s">
        <v>90</v>
      </c>
      <c r="C10" s="53" t="s">
        <v>91</v>
      </c>
      <c r="D10" s="53" t="s">
        <v>92</v>
      </c>
      <c r="E10" s="53" t="s">
        <v>93</v>
      </c>
      <c r="F10" s="53"/>
      <c r="G10" s="53" t="s">
        <v>94</v>
      </c>
      <c r="H10" s="53" t="s">
        <v>95</v>
      </c>
      <c r="I10" s="53" t="s">
        <v>96</v>
      </c>
      <c r="J10" s="53" t="s">
        <v>97</v>
      </c>
      <c r="K10" s="53" t="s">
        <v>98</v>
      </c>
      <c r="L10" s="53" t="s">
        <v>99</v>
      </c>
      <c r="M10" s="53" t="s">
        <v>100</v>
      </c>
      <c r="N10" s="53" t="s">
        <v>101</v>
      </c>
      <c r="O10" s="53" t="s">
        <v>102</v>
      </c>
      <c r="P10" s="53" t="s">
        <v>103</v>
      </c>
      <c r="Q10" s="53"/>
      <c r="R10" s="53" t="s">
        <v>104</v>
      </c>
      <c r="S10" s="53" t="s">
        <v>105</v>
      </c>
      <c r="T10" s="53" t="s">
        <v>106</v>
      </c>
      <c r="U10" s="53" t="s">
        <v>107</v>
      </c>
      <c r="V10" s="53"/>
      <c r="W10" s="53"/>
      <c r="X10" s="53"/>
    </row>
    <row r="11" ht="18.0" customHeight="1">
      <c r="A11" s="53"/>
      <c r="B11" s="53" t="s">
        <v>108</v>
      </c>
      <c r="C11" s="53" t="s">
        <v>109</v>
      </c>
      <c r="D11" s="53" t="s">
        <v>110</v>
      </c>
      <c r="E11" s="53" t="s">
        <v>111</v>
      </c>
      <c r="F11" s="53"/>
      <c r="G11" s="53" t="s">
        <v>112</v>
      </c>
      <c r="H11" s="53" t="s">
        <v>113</v>
      </c>
      <c r="I11" s="53" t="s">
        <v>114</v>
      </c>
      <c r="J11" s="53" t="s">
        <v>115</v>
      </c>
      <c r="K11" s="53" t="s">
        <v>116</v>
      </c>
      <c r="L11" s="53" t="s">
        <v>117</v>
      </c>
      <c r="M11" s="53" t="s">
        <v>118</v>
      </c>
      <c r="N11" s="53" t="s">
        <v>119</v>
      </c>
      <c r="O11" s="53" t="s">
        <v>121</v>
      </c>
      <c r="P11" s="53" t="s">
        <v>122</v>
      </c>
      <c r="Q11" s="53"/>
      <c r="R11" s="53" t="s">
        <v>123</v>
      </c>
      <c r="S11" s="53" t="s">
        <v>124</v>
      </c>
      <c r="T11" s="53" t="s">
        <v>125</v>
      </c>
      <c r="U11" s="53" t="s">
        <v>126</v>
      </c>
      <c r="V11" s="53"/>
      <c r="W11" s="53"/>
      <c r="X11" s="53"/>
    </row>
    <row r="12" ht="18.0" customHeight="1">
      <c r="A12" s="53"/>
      <c r="B12" s="53" t="s">
        <v>127</v>
      </c>
      <c r="C12" s="53" t="s">
        <v>128</v>
      </c>
      <c r="D12" s="53" t="s">
        <v>129</v>
      </c>
      <c r="E12" s="53" t="s">
        <v>130</v>
      </c>
      <c r="F12" s="53"/>
      <c r="G12" s="53" t="s">
        <v>131</v>
      </c>
      <c r="H12" s="53" t="s">
        <v>132</v>
      </c>
      <c r="I12" s="53" t="s">
        <v>133</v>
      </c>
      <c r="J12" s="53" t="s">
        <v>134</v>
      </c>
      <c r="K12" s="53" t="s">
        <v>135</v>
      </c>
      <c r="L12" s="53" t="s">
        <v>136</v>
      </c>
      <c r="M12" s="53" t="s">
        <v>137</v>
      </c>
      <c r="N12" s="53" t="s">
        <v>138</v>
      </c>
      <c r="O12" s="53" t="s">
        <v>139</v>
      </c>
      <c r="P12" s="53" t="s">
        <v>140</v>
      </c>
      <c r="Q12" s="53"/>
      <c r="R12" s="53" t="s">
        <v>141</v>
      </c>
      <c r="S12" s="53" t="s">
        <v>142</v>
      </c>
      <c r="T12" s="53" t="s">
        <v>143</v>
      </c>
      <c r="U12" s="53" t="s">
        <v>144</v>
      </c>
      <c r="V12" s="53"/>
      <c r="W12" s="53"/>
      <c r="X12" s="53"/>
    </row>
    <row r="13" ht="18.0" customHeight="1">
      <c r="A13" s="53"/>
      <c r="B13" s="53" t="s">
        <v>145</v>
      </c>
      <c r="C13" s="53" t="s">
        <v>146</v>
      </c>
      <c r="D13" s="53" t="s">
        <v>147</v>
      </c>
      <c r="E13" s="53" t="s">
        <v>148</v>
      </c>
      <c r="F13" s="53"/>
      <c r="G13" s="53" t="s">
        <v>149</v>
      </c>
      <c r="H13" s="53" t="s">
        <v>150</v>
      </c>
      <c r="I13" s="53" t="s">
        <v>152</v>
      </c>
      <c r="J13" s="53" t="s">
        <v>153</v>
      </c>
      <c r="K13" s="53" t="s">
        <v>154</v>
      </c>
      <c r="L13" s="53" t="s">
        <v>155</v>
      </c>
      <c r="M13" s="53" t="s">
        <v>156</v>
      </c>
      <c r="N13" s="53" t="s">
        <v>157</v>
      </c>
      <c r="O13" s="53" t="s">
        <v>159</v>
      </c>
      <c r="P13" s="53" t="s">
        <v>160</v>
      </c>
      <c r="Q13" s="53"/>
      <c r="R13" s="53" t="s">
        <v>161</v>
      </c>
      <c r="S13" s="53" t="s">
        <v>162</v>
      </c>
      <c r="T13" s="53" t="s">
        <v>163</v>
      </c>
      <c r="U13" s="53" t="s">
        <v>164</v>
      </c>
      <c r="V13" s="53"/>
      <c r="W13" s="53"/>
      <c r="X13" s="53"/>
    </row>
    <row r="14" ht="18.0" customHeight="1">
      <c r="A14" s="53"/>
      <c r="B14" s="53" t="s">
        <v>166</v>
      </c>
      <c r="C14" s="53" t="s">
        <v>167</v>
      </c>
      <c r="D14" s="53" t="s">
        <v>168</v>
      </c>
      <c r="E14" s="53" t="s">
        <v>169</v>
      </c>
      <c r="F14" s="53"/>
      <c r="G14" s="53" t="s">
        <v>170</v>
      </c>
      <c r="H14" s="53" t="s">
        <v>171</v>
      </c>
      <c r="I14" s="53" t="s">
        <v>172</v>
      </c>
      <c r="J14" s="53" t="s">
        <v>173</v>
      </c>
      <c r="K14" s="53" t="s">
        <v>174</v>
      </c>
      <c r="L14" s="53" t="s">
        <v>175</v>
      </c>
      <c r="M14" s="53" t="s">
        <v>176</v>
      </c>
      <c r="N14" s="53" t="s">
        <v>177</v>
      </c>
      <c r="O14" s="53" t="s">
        <v>179</v>
      </c>
      <c r="P14" s="53" t="s">
        <v>180</v>
      </c>
      <c r="Q14" s="53"/>
      <c r="R14" s="53" t="s">
        <v>181</v>
      </c>
      <c r="S14" s="53" t="s">
        <v>182</v>
      </c>
      <c r="T14" s="53" t="s">
        <v>183</v>
      </c>
      <c r="U14" s="53" t="s">
        <v>184</v>
      </c>
      <c r="V14" s="53"/>
      <c r="W14" s="53"/>
      <c r="X14" s="53"/>
    </row>
    <row r="15" ht="18.0" customHeight="1">
      <c r="A15" s="53"/>
      <c r="B15" s="53" t="s">
        <v>185</v>
      </c>
      <c r="C15" s="53"/>
      <c r="D15" s="53" t="s">
        <v>186</v>
      </c>
      <c r="E15" s="53" t="s">
        <v>187</v>
      </c>
      <c r="F15" s="53"/>
      <c r="G15" s="53" t="s">
        <v>171</v>
      </c>
      <c r="H15" s="53" t="s">
        <v>189</v>
      </c>
      <c r="I15" s="53" t="s">
        <v>190</v>
      </c>
      <c r="J15" s="53" t="s">
        <v>191</v>
      </c>
      <c r="K15" s="53" t="s">
        <v>192</v>
      </c>
      <c r="L15" s="53" t="s">
        <v>193</v>
      </c>
      <c r="M15" s="53" t="s">
        <v>194</v>
      </c>
      <c r="N15" s="53" t="s">
        <v>195</v>
      </c>
      <c r="O15" s="53" t="s">
        <v>196</v>
      </c>
      <c r="P15" s="53" t="s">
        <v>198</v>
      </c>
      <c r="Q15" s="53"/>
      <c r="R15" s="53" t="s">
        <v>199</v>
      </c>
      <c r="S15" s="53" t="s">
        <v>200</v>
      </c>
      <c r="T15" s="53" t="s">
        <v>201</v>
      </c>
      <c r="U15" s="53" t="s">
        <v>202</v>
      </c>
      <c r="V15" s="53"/>
      <c r="W15" s="53"/>
      <c r="X15" s="53"/>
    </row>
    <row r="16" ht="18.0" customHeight="1">
      <c r="A16" s="53"/>
      <c r="B16" s="53" t="s">
        <v>203</v>
      </c>
      <c r="C16" s="53"/>
      <c r="D16" s="53" t="s">
        <v>204</v>
      </c>
      <c r="E16" s="53" t="s">
        <v>205</v>
      </c>
      <c r="F16" s="53"/>
      <c r="G16" s="53" t="s">
        <v>206</v>
      </c>
      <c r="H16" s="53" t="s">
        <v>207</v>
      </c>
      <c r="I16" s="53" t="s">
        <v>209</v>
      </c>
      <c r="J16" s="53" t="s">
        <v>210</v>
      </c>
      <c r="K16" s="53" t="s">
        <v>211</v>
      </c>
      <c r="L16" s="53" t="s">
        <v>212</v>
      </c>
      <c r="M16" s="53" t="s">
        <v>214</v>
      </c>
      <c r="N16" s="53" t="s">
        <v>215</v>
      </c>
      <c r="O16" s="53" t="s">
        <v>216</v>
      </c>
      <c r="P16" s="53" t="s">
        <v>217</v>
      </c>
      <c r="Q16" s="53"/>
      <c r="R16" s="53" t="s">
        <v>218</v>
      </c>
      <c r="S16" s="53" t="s">
        <v>219</v>
      </c>
      <c r="T16" s="53" t="s">
        <v>220</v>
      </c>
      <c r="U16" s="53" t="s">
        <v>222</v>
      </c>
      <c r="V16" s="53"/>
      <c r="W16" s="53"/>
      <c r="X16" s="53"/>
    </row>
    <row r="17" ht="18.0" customHeight="1">
      <c r="A17" s="53"/>
      <c r="B17" s="53" t="s">
        <v>224</v>
      </c>
      <c r="C17" s="53"/>
      <c r="D17" s="53" t="s">
        <v>225</v>
      </c>
      <c r="E17" s="53" t="s">
        <v>226</v>
      </c>
      <c r="F17" s="53"/>
      <c r="G17" s="53" t="s">
        <v>227</v>
      </c>
      <c r="H17" s="53" t="s">
        <v>228</v>
      </c>
      <c r="I17" s="53" t="s">
        <v>229</v>
      </c>
      <c r="J17" s="53" t="s">
        <v>230</v>
      </c>
      <c r="K17" s="53" t="s">
        <v>231</v>
      </c>
      <c r="L17" s="53" t="s">
        <v>232</v>
      </c>
      <c r="M17" s="53" t="s">
        <v>233</v>
      </c>
      <c r="N17" s="53" t="s">
        <v>234</v>
      </c>
      <c r="O17" s="53" t="s">
        <v>235</v>
      </c>
      <c r="P17" s="53" t="s">
        <v>237</v>
      </c>
      <c r="Q17" s="53"/>
      <c r="R17" s="53" t="s">
        <v>238</v>
      </c>
      <c r="S17" s="53" t="s">
        <v>239</v>
      </c>
      <c r="T17" s="53" t="s">
        <v>240</v>
      </c>
      <c r="U17" s="53" t="s">
        <v>242</v>
      </c>
      <c r="V17" s="53"/>
      <c r="W17" s="53"/>
      <c r="X17" s="53"/>
    </row>
    <row r="18" ht="18.0" customHeight="1">
      <c r="A18" s="53"/>
      <c r="B18" s="53" t="s">
        <v>244</v>
      </c>
      <c r="C18" s="53"/>
      <c r="D18" s="53" t="s">
        <v>245</v>
      </c>
      <c r="E18" s="53" t="s">
        <v>247</v>
      </c>
      <c r="F18" s="53"/>
      <c r="G18" s="53" t="s">
        <v>249</v>
      </c>
      <c r="H18" s="53" t="s">
        <v>251</v>
      </c>
      <c r="I18" s="53" t="s">
        <v>252</v>
      </c>
      <c r="J18" s="53" t="s">
        <v>254</v>
      </c>
      <c r="K18" s="53" t="s">
        <v>256</v>
      </c>
      <c r="L18" s="53" t="s">
        <v>258</v>
      </c>
      <c r="M18" s="53" t="s">
        <v>260</v>
      </c>
      <c r="N18" s="53" t="s">
        <v>262</v>
      </c>
      <c r="O18" s="53" t="s">
        <v>264</v>
      </c>
      <c r="P18" s="53" t="s">
        <v>266</v>
      </c>
      <c r="Q18" s="53"/>
      <c r="R18" s="53" t="s">
        <v>268</v>
      </c>
      <c r="S18" s="53" t="s">
        <v>270</v>
      </c>
      <c r="T18" s="53" t="s">
        <v>272</v>
      </c>
      <c r="U18" s="53" t="s">
        <v>274</v>
      </c>
      <c r="V18" s="53"/>
      <c r="W18" s="53"/>
      <c r="X18" s="53"/>
    </row>
    <row r="19" ht="18.0" customHeight="1">
      <c r="A19" s="53"/>
      <c r="B19" s="53" t="s">
        <v>277</v>
      </c>
      <c r="C19" s="53"/>
      <c r="D19" s="53" t="s">
        <v>279</v>
      </c>
      <c r="E19" s="53" t="s">
        <v>280</v>
      </c>
      <c r="F19" s="53"/>
      <c r="G19" s="53" t="s">
        <v>228</v>
      </c>
      <c r="H19" s="53" t="s">
        <v>282</v>
      </c>
      <c r="I19" s="53" t="s">
        <v>284</v>
      </c>
      <c r="J19" s="53" t="s">
        <v>286</v>
      </c>
      <c r="K19" s="53" t="s">
        <v>287</v>
      </c>
      <c r="L19" s="53" t="s">
        <v>289</v>
      </c>
      <c r="M19" s="53" t="s">
        <v>291</v>
      </c>
      <c r="N19" s="53" t="s">
        <v>292</v>
      </c>
      <c r="O19" s="53" t="s">
        <v>294</v>
      </c>
      <c r="P19" s="53" t="s">
        <v>296</v>
      </c>
      <c r="Q19" s="53"/>
      <c r="R19" s="53" t="s">
        <v>297</v>
      </c>
      <c r="S19" s="53" t="s">
        <v>299</v>
      </c>
      <c r="T19" s="53" t="s">
        <v>301</v>
      </c>
      <c r="U19" s="53" t="s">
        <v>302</v>
      </c>
      <c r="V19" s="53"/>
      <c r="W19" s="53"/>
      <c r="X19" s="53"/>
    </row>
    <row r="20" ht="18.0" customHeight="1">
      <c r="A20" s="53"/>
      <c r="B20" s="53" t="s">
        <v>303</v>
      </c>
      <c r="C20" s="53"/>
      <c r="D20" s="53" t="s">
        <v>304</v>
      </c>
      <c r="E20" s="53" t="s">
        <v>305</v>
      </c>
      <c r="F20" s="53"/>
      <c r="G20" s="53" t="s">
        <v>306</v>
      </c>
      <c r="H20" s="53" t="s">
        <v>307</v>
      </c>
      <c r="I20" s="53" t="s">
        <v>308</v>
      </c>
      <c r="J20" s="53"/>
      <c r="K20" s="53" t="s">
        <v>309</v>
      </c>
      <c r="L20" s="53" t="s">
        <v>310</v>
      </c>
      <c r="M20" s="53" t="s">
        <v>311</v>
      </c>
      <c r="N20" s="53" t="s">
        <v>312</v>
      </c>
      <c r="O20" s="53" t="s">
        <v>313</v>
      </c>
      <c r="P20" s="53" t="s">
        <v>314</v>
      </c>
      <c r="Q20" s="53"/>
      <c r="R20" s="53" t="s">
        <v>315</v>
      </c>
      <c r="S20" s="53" t="s">
        <v>316</v>
      </c>
      <c r="T20" s="53" t="s">
        <v>317</v>
      </c>
      <c r="U20" s="53" t="s">
        <v>318</v>
      </c>
      <c r="V20" s="53"/>
      <c r="W20" s="53"/>
      <c r="X20" s="53"/>
    </row>
    <row r="21" ht="18.0" customHeight="1">
      <c r="A21" s="53"/>
      <c r="B21" s="53" t="s">
        <v>319</v>
      </c>
      <c r="C21" s="53"/>
      <c r="D21" s="53" t="s">
        <v>320</v>
      </c>
      <c r="E21" s="53" t="s">
        <v>321</v>
      </c>
      <c r="F21" s="53"/>
      <c r="G21" s="53" t="s">
        <v>322</v>
      </c>
      <c r="H21" s="53" t="s">
        <v>323</v>
      </c>
      <c r="I21" s="53" t="s">
        <v>324</v>
      </c>
      <c r="J21" s="53"/>
      <c r="K21" s="53" t="s">
        <v>325</v>
      </c>
      <c r="L21" s="53" t="s">
        <v>326</v>
      </c>
      <c r="M21" s="53" t="s">
        <v>327</v>
      </c>
      <c r="N21" s="53" t="s">
        <v>328</v>
      </c>
      <c r="O21" s="53" t="s">
        <v>329</v>
      </c>
      <c r="P21" s="53" t="s">
        <v>330</v>
      </c>
      <c r="Q21" s="53"/>
      <c r="R21" s="53" t="s">
        <v>331</v>
      </c>
      <c r="S21" s="53" t="s">
        <v>332</v>
      </c>
      <c r="T21" s="53" t="s">
        <v>333</v>
      </c>
      <c r="U21" s="53" t="s">
        <v>334</v>
      </c>
      <c r="V21" s="53"/>
      <c r="W21" s="53"/>
      <c r="X21" s="53"/>
    </row>
    <row r="22" ht="18.0" customHeight="1">
      <c r="A22" s="53"/>
      <c r="B22" s="53" t="s">
        <v>335</v>
      </c>
      <c r="C22" s="53"/>
      <c r="D22" s="53" t="s">
        <v>336</v>
      </c>
      <c r="E22" s="53" t="s">
        <v>337</v>
      </c>
      <c r="F22" s="53"/>
      <c r="G22" s="53" t="s">
        <v>338</v>
      </c>
      <c r="H22" s="53" t="s">
        <v>339</v>
      </c>
      <c r="I22" s="53" t="s">
        <v>340</v>
      </c>
      <c r="J22" s="53"/>
      <c r="K22" s="53" t="s">
        <v>341</v>
      </c>
      <c r="L22" s="53" t="s">
        <v>342</v>
      </c>
      <c r="M22" s="53" t="s">
        <v>343</v>
      </c>
      <c r="N22" s="53" t="s">
        <v>344</v>
      </c>
      <c r="O22" s="53" t="s">
        <v>345</v>
      </c>
      <c r="P22" s="53" t="s">
        <v>346</v>
      </c>
      <c r="Q22" s="53"/>
      <c r="R22" s="53" t="s">
        <v>347</v>
      </c>
      <c r="S22" s="53" t="s">
        <v>348</v>
      </c>
      <c r="T22" s="53" t="s">
        <v>349</v>
      </c>
      <c r="U22" s="53" t="s">
        <v>350</v>
      </c>
      <c r="V22" s="53"/>
      <c r="W22" s="53"/>
      <c r="X22" s="53"/>
    </row>
    <row r="23" ht="18.0" customHeight="1">
      <c r="A23" s="53"/>
      <c r="B23" s="53" t="s">
        <v>351</v>
      </c>
      <c r="C23" s="53"/>
      <c r="D23" s="53" t="s">
        <v>352</v>
      </c>
      <c r="E23" s="53" t="s">
        <v>353</v>
      </c>
      <c r="F23" s="53"/>
      <c r="G23" s="53"/>
      <c r="H23" s="53" t="s">
        <v>354</v>
      </c>
      <c r="I23" s="53" t="s">
        <v>355</v>
      </c>
      <c r="J23" s="53"/>
      <c r="K23" s="53" t="s">
        <v>356</v>
      </c>
      <c r="L23" s="53" t="s">
        <v>357</v>
      </c>
      <c r="M23" s="53" t="s">
        <v>358</v>
      </c>
      <c r="N23" s="53" t="s">
        <v>359</v>
      </c>
      <c r="O23" s="53" t="s">
        <v>360</v>
      </c>
      <c r="P23" s="53" t="s">
        <v>361</v>
      </c>
      <c r="Q23" s="53"/>
      <c r="R23" s="53" t="s">
        <v>362</v>
      </c>
      <c r="S23" s="53" t="s">
        <v>363</v>
      </c>
      <c r="T23" s="53" t="s">
        <v>364</v>
      </c>
      <c r="U23" s="53" t="s">
        <v>365</v>
      </c>
      <c r="V23" s="53"/>
      <c r="W23" s="53"/>
      <c r="X23" s="53"/>
    </row>
    <row r="24" ht="18.0" customHeight="1">
      <c r="A24" s="53"/>
      <c r="B24" s="53" t="s">
        <v>366</v>
      </c>
      <c r="C24" s="53"/>
      <c r="D24" s="53" t="s">
        <v>367</v>
      </c>
      <c r="E24" s="53" t="s">
        <v>368</v>
      </c>
      <c r="F24" s="53"/>
      <c r="G24" s="53"/>
      <c r="H24" s="53" t="s">
        <v>369</v>
      </c>
      <c r="I24" s="53" t="s">
        <v>370</v>
      </c>
      <c r="J24" s="53"/>
      <c r="K24" s="53" t="s">
        <v>371</v>
      </c>
      <c r="L24" s="53" t="s">
        <v>372</v>
      </c>
      <c r="M24" s="53" t="s">
        <v>373</v>
      </c>
      <c r="N24" s="53" t="s">
        <v>375</v>
      </c>
      <c r="O24" s="53" t="s">
        <v>376</v>
      </c>
      <c r="P24" s="53" t="s">
        <v>377</v>
      </c>
      <c r="Q24" s="53"/>
      <c r="R24" s="53" t="s">
        <v>378</v>
      </c>
      <c r="S24" s="53" t="s">
        <v>379</v>
      </c>
      <c r="T24" s="53" t="s">
        <v>380</v>
      </c>
      <c r="U24" s="53" t="s">
        <v>381</v>
      </c>
      <c r="V24" s="53"/>
      <c r="W24" s="53"/>
      <c r="X24" s="53"/>
    </row>
    <row r="25" ht="18.0" customHeight="1">
      <c r="A25" s="53"/>
      <c r="B25" s="53" t="s">
        <v>382</v>
      </c>
      <c r="C25" s="53"/>
      <c r="D25" s="53" t="s">
        <v>383</v>
      </c>
      <c r="E25" s="53"/>
      <c r="F25" s="53"/>
      <c r="G25" s="53"/>
      <c r="H25" s="53" t="s">
        <v>384</v>
      </c>
      <c r="I25" s="53" t="s">
        <v>385</v>
      </c>
      <c r="J25" s="53"/>
      <c r="K25" s="53" t="s">
        <v>386</v>
      </c>
      <c r="L25" s="53" t="s">
        <v>387</v>
      </c>
      <c r="M25" s="53" t="s">
        <v>388</v>
      </c>
      <c r="N25" s="53" t="s">
        <v>389</v>
      </c>
      <c r="O25" s="53" t="s">
        <v>390</v>
      </c>
      <c r="P25" s="53" t="s">
        <v>391</v>
      </c>
      <c r="Q25" s="53"/>
      <c r="R25" s="53" t="s">
        <v>392</v>
      </c>
      <c r="S25" s="53" t="s">
        <v>393</v>
      </c>
      <c r="T25" s="53" t="s">
        <v>394</v>
      </c>
      <c r="U25" s="53" t="s">
        <v>395</v>
      </c>
      <c r="V25" s="53"/>
      <c r="W25" s="53"/>
      <c r="X25" s="53"/>
    </row>
    <row r="26" ht="18.0" customHeight="1">
      <c r="A26" s="53"/>
      <c r="B26" s="53" t="s">
        <v>396</v>
      </c>
      <c r="C26" s="53"/>
      <c r="D26" s="53" t="s">
        <v>397</v>
      </c>
      <c r="E26" s="53"/>
      <c r="F26" s="53"/>
      <c r="G26" s="53"/>
      <c r="H26" s="53" t="s">
        <v>398</v>
      </c>
      <c r="I26" s="53" t="s">
        <v>399</v>
      </c>
      <c r="J26" s="53"/>
      <c r="K26" s="53" t="s">
        <v>400</v>
      </c>
      <c r="L26" s="53" t="s">
        <v>401</v>
      </c>
      <c r="M26" s="53" t="s">
        <v>194</v>
      </c>
      <c r="N26" s="53" t="s">
        <v>402</v>
      </c>
      <c r="O26" s="53" t="s">
        <v>403</v>
      </c>
      <c r="P26" s="53" t="s">
        <v>404</v>
      </c>
      <c r="Q26" s="53"/>
      <c r="R26" s="53" t="s">
        <v>405</v>
      </c>
      <c r="S26" s="53" t="s">
        <v>406</v>
      </c>
      <c r="T26" s="53" t="s">
        <v>407</v>
      </c>
      <c r="U26" s="53" t="s">
        <v>408</v>
      </c>
      <c r="V26" s="53"/>
      <c r="W26" s="53"/>
      <c r="X26" s="53"/>
    </row>
    <row r="27" ht="18.0" customHeight="1">
      <c r="A27" s="53"/>
      <c r="B27" s="53" t="s">
        <v>409</v>
      </c>
      <c r="C27" s="53"/>
      <c r="D27" s="53" t="s">
        <v>410</v>
      </c>
      <c r="E27" s="53"/>
      <c r="F27" s="53"/>
      <c r="G27" s="53"/>
      <c r="H27" s="53" t="s">
        <v>411</v>
      </c>
      <c r="I27" s="53" t="s">
        <v>412</v>
      </c>
      <c r="J27" s="53"/>
      <c r="K27" s="53" t="s">
        <v>413</v>
      </c>
      <c r="L27" s="53" t="s">
        <v>414</v>
      </c>
      <c r="M27" s="53" t="s">
        <v>415</v>
      </c>
      <c r="N27" s="53" t="s">
        <v>416</v>
      </c>
      <c r="O27" s="53" t="s">
        <v>417</v>
      </c>
      <c r="P27" s="53" t="s">
        <v>418</v>
      </c>
      <c r="Q27" s="53"/>
      <c r="R27" s="53" t="s">
        <v>419</v>
      </c>
      <c r="S27" s="53" t="s">
        <v>420</v>
      </c>
      <c r="T27" s="53" t="s">
        <v>421</v>
      </c>
      <c r="U27" s="53" t="s">
        <v>422</v>
      </c>
      <c r="V27" s="53"/>
      <c r="W27" s="53"/>
      <c r="X27" s="53"/>
    </row>
    <row r="28" ht="18.0" customHeight="1">
      <c r="A28" s="53"/>
      <c r="B28" s="53" t="s">
        <v>423</v>
      </c>
      <c r="C28" s="53"/>
      <c r="D28" s="53" t="s">
        <v>424</v>
      </c>
      <c r="E28" s="53"/>
      <c r="F28" s="53"/>
      <c r="G28" s="53"/>
      <c r="H28" s="53" t="s">
        <v>425</v>
      </c>
      <c r="I28" s="53" t="s">
        <v>426</v>
      </c>
      <c r="J28" s="53"/>
      <c r="K28" s="53" t="s">
        <v>427</v>
      </c>
      <c r="L28" s="53" t="s">
        <v>428</v>
      </c>
      <c r="M28" s="53" t="s">
        <v>429</v>
      </c>
      <c r="N28" s="53" t="s">
        <v>430</v>
      </c>
      <c r="O28" s="53" t="s">
        <v>179</v>
      </c>
      <c r="P28" s="53" t="s">
        <v>431</v>
      </c>
      <c r="Q28" s="53"/>
      <c r="R28" s="53" t="s">
        <v>433</v>
      </c>
      <c r="S28" s="53" t="s">
        <v>434</v>
      </c>
      <c r="T28" s="53" t="s">
        <v>435</v>
      </c>
      <c r="U28" s="53" t="s">
        <v>436</v>
      </c>
      <c r="V28" s="53"/>
      <c r="W28" s="53"/>
      <c r="X28" s="53"/>
    </row>
    <row r="29" ht="18.0" customHeight="1">
      <c r="A29" s="53"/>
      <c r="B29" s="53" t="s">
        <v>437</v>
      </c>
      <c r="C29" s="53"/>
      <c r="D29" s="53" t="s">
        <v>438</v>
      </c>
      <c r="E29" s="53"/>
      <c r="F29" s="53"/>
      <c r="G29" s="53"/>
      <c r="H29" s="53" t="s">
        <v>439</v>
      </c>
      <c r="I29" s="53" t="s">
        <v>440</v>
      </c>
      <c r="J29" s="53"/>
      <c r="K29" s="53" t="s">
        <v>441</v>
      </c>
      <c r="L29" s="53" t="s">
        <v>442</v>
      </c>
      <c r="M29" s="53" t="s">
        <v>443</v>
      </c>
      <c r="N29" s="53" t="s">
        <v>444</v>
      </c>
      <c r="O29" s="53"/>
      <c r="P29" s="53" t="s">
        <v>445</v>
      </c>
      <c r="Q29" s="53"/>
      <c r="R29" s="53" t="s">
        <v>446</v>
      </c>
      <c r="S29" s="53" t="s">
        <v>447</v>
      </c>
      <c r="T29" s="53" t="s">
        <v>448</v>
      </c>
      <c r="U29" s="53" t="s">
        <v>449</v>
      </c>
      <c r="V29" s="53"/>
      <c r="W29" s="53"/>
      <c r="X29" s="53"/>
    </row>
    <row r="30" ht="18.0" customHeight="1">
      <c r="A30" s="53"/>
      <c r="B30" s="53" t="s">
        <v>450</v>
      </c>
      <c r="C30" s="53"/>
      <c r="D30" s="53" t="s">
        <v>451</v>
      </c>
      <c r="E30" s="53"/>
      <c r="F30" s="53"/>
      <c r="G30" s="53"/>
      <c r="H30" s="53" t="s">
        <v>452</v>
      </c>
      <c r="I30" s="53" t="s">
        <v>454</v>
      </c>
      <c r="J30" s="53"/>
      <c r="K30" s="53" t="s">
        <v>455</v>
      </c>
      <c r="L30" s="53" t="s">
        <v>456</v>
      </c>
      <c r="M30" s="53" t="s">
        <v>457</v>
      </c>
      <c r="N30" s="53" t="s">
        <v>458</v>
      </c>
      <c r="O30" s="53"/>
      <c r="P30" s="53" t="s">
        <v>459</v>
      </c>
      <c r="Q30" s="53"/>
      <c r="R30" s="53" t="s">
        <v>460</v>
      </c>
      <c r="S30" s="53" t="s">
        <v>461</v>
      </c>
      <c r="T30" s="53" t="s">
        <v>462</v>
      </c>
      <c r="U30" s="53" t="s">
        <v>463</v>
      </c>
      <c r="V30" s="53"/>
      <c r="W30" s="53"/>
      <c r="X30" s="53"/>
    </row>
    <row r="31" ht="18.0" customHeight="1">
      <c r="A31" s="53"/>
      <c r="B31" s="53" t="s">
        <v>464</v>
      </c>
      <c r="C31" s="53"/>
      <c r="D31" s="53" t="s">
        <v>465</v>
      </c>
      <c r="E31" s="53"/>
      <c r="F31" s="53"/>
      <c r="G31" s="53"/>
      <c r="H31" s="53" t="s">
        <v>466</v>
      </c>
      <c r="I31" s="53" t="s">
        <v>467</v>
      </c>
      <c r="J31" s="53"/>
      <c r="K31" s="53" t="s">
        <v>468</v>
      </c>
      <c r="L31" s="53" t="s">
        <v>469</v>
      </c>
      <c r="M31" s="53" t="s">
        <v>470</v>
      </c>
      <c r="N31" s="53" t="s">
        <v>471</v>
      </c>
      <c r="O31" s="53"/>
      <c r="P31" s="53" t="s">
        <v>472</v>
      </c>
      <c r="Q31" s="53"/>
      <c r="R31" s="53" t="s">
        <v>473</v>
      </c>
      <c r="S31" s="53" t="s">
        <v>474</v>
      </c>
      <c r="T31" s="53" t="s">
        <v>475</v>
      </c>
      <c r="U31" s="53" t="s">
        <v>476</v>
      </c>
      <c r="V31" s="53"/>
      <c r="W31" s="53"/>
      <c r="X31" s="53"/>
    </row>
    <row r="32" ht="18.0" customHeight="1">
      <c r="A32" s="53"/>
      <c r="B32" s="53" t="s">
        <v>478</v>
      </c>
      <c r="C32" s="53"/>
      <c r="D32" s="53" t="s">
        <v>479</v>
      </c>
      <c r="E32" s="53"/>
      <c r="F32" s="53"/>
      <c r="G32" s="53"/>
      <c r="H32" s="53" t="s">
        <v>480</v>
      </c>
      <c r="I32" s="53" t="s">
        <v>481</v>
      </c>
      <c r="J32" s="53"/>
      <c r="K32" s="53" t="s">
        <v>482</v>
      </c>
      <c r="L32" s="53" t="s">
        <v>483</v>
      </c>
      <c r="M32" s="53" t="s">
        <v>484</v>
      </c>
      <c r="N32" s="53" t="s">
        <v>485</v>
      </c>
      <c r="O32" s="53"/>
      <c r="P32" s="53" t="s">
        <v>486</v>
      </c>
      <c r="Q32" s="53"/>
      <c r="R32" s="53" t="s">
        <v>487</v>
      </c>
      <c r="S32" s="53" t="s">
        <v>488</v>
      </c>
      <c r="T32" s="53" t="s">
        <v>489</v>
      </c>
      <c r="U32" s="53" t="s">
        <v>490</v>
      </c>
      <c r="V32" s="53"/>
      <c r="W32" s="53"/>
      <c r="X32" s="53"/>
    </row>
    <row r="33" ht="18.0" customHeight="1">
      <c r="A33" s="53"/>
      <c r="B33" s="53" t="s">
        <v>491</v>
      </c>
      <c r="C33" s="53"/>
      <c r="D33" s="53" t="s">
        <v>492</v>
      </c>
      <c r="E33" s="53"/>
      <c r="F33" s="53"/>
      <c r="G33" s="53"/>
      <c r="H33" s="53" t="s">
        <v>493</v>
      </c>
      <c r="I33" s="53" t="s">
        <v>494</v>
      </c>
      <c r="J33" s="53"/>
      <c r="K33" s="53" t="s">
        <v>495</v>
      </c>
      <c r="L33" s="53" t="s">
        <v>496</v>
      </c>
      <c r="M33" s="53" t="s">
        <v>497</v>
      </c>
      <c r="N33" s="53" t="s">
        <v>498</v>
      </c>
      <c r="O33" s="53"/>
      <c r="P33" s="53" t="s">
        <v>499</v>
      </c>
      <c r="Q33" s="53"/>
      <c r="R33" s="53" t="s">
        <v>500</v>
      </c>
      <c r="S33" s="53"/>
      <c r="T33" s="53" t="s">
        <v>501</v>
      </c>
      <c r="U33" s="53" t="s">
        <v>502</v>
      </c>
      <c r="V33" s="53"/>
      <c r="W33" s="53"/>
      <c r="X33" s="53"/>
    </row>
    <row r="34" ht="18.0" customHeight="1">
      <c r="A34" s="53"/>
      <c r="B34" s="53" t="s">
        <v>503</v>
      </c>
      <c r="C34" s="53"/>
      <c r="D34" s="53" t="s">
        <v>504</v>
      </c>
      <c r="E34" s="53"/>
      <c r="F34" s="53"/>
      <c r="G34" s="53"/>
      <c r="H34" s="53" t="s">
        <v>505</v>
      </c>
      <c r="I34" s="53" t="s">
        <v>506</v>
      </c>
      <c r="J34" s="53"/>
      <c r="K34" s="53" t="s">
        <v>507</v>
      </c>
      <c r="L34" s="53" t="s">
        <v>508</v>
      </c>
      <c r="M34" s="53" t="s">
        <v>509</v>
      </c>
      <c r="N34" s="53" t="s">
        <v>510</v>
      </c>
      <c r="O34" s="53"/>
      <c r="P34" s="53" t="s">
        <v>511</v>
      </c>
      <c r="Q34" s="53"/>
      <c r="R34" s="53" t="s">
        <v>512</v>
      </c>
      <c r="S34" s="53"/>
      <c r="T34" s="53" t="s">
        <v>513</v>
      </c>
      <c r="U34" s="53" t="s">
        <v>514</v>
      </c>
      <c r="V34" s="53"/>
      <c r="W34" s="53"/>
      <c r="X34" s="53"/>
    </row>
    <row r="35" ht="18.0" customHeight="1">
      <c r="A35" s="53"/>
      <c r="B35" s="53" t="s">
        <v>515</v>
      </c>
      <c r="C35" s="53"/>
      <c r="D35" s="53" t="s">
        <v>516</v>
      </c>
      <c r="E35" s="53"/>
      <c r="F35" s="53"/>
      <c r="G35" s="53"/>
      <c r="H35" s="53" t="s">
        <v>517</v>
      </c>
      <c r="I35" s="53" t="s">
        <v>518</v>
      </c>
      <c r="J35" s="53"/>
      <c r="K35" s="53" t="s">
        <v>519</v>
      </c>
      <c r="L35" s="53" t="s">
        <v>520</v>
      </c>
      <c r="M35" s="53" t="s">
        <v>521</v>
      </c>
      <c r="N35" s="53" t="s">
        <v>522</v>
      </c>
      <c r="O35" s="53"/>
      <c r="P35" s="53" t="s">
        <v>523</v>
      </c>
      <c r="Q35" s="53"/>
      <c r="R35" s="53" t="s">
        <v>524</v>
      </c>
      <c r="S35" s="53"/>
      <c r="T35" s="53" t="s">
        <v>525</v>
      </c>
      <c r="U35" s="53" t="s">
        <v>526</v>
      </c>
      <c r="V35" s="53"/>
      <c r="W35" s="53"/>
      <c r="X35" s="53"/>
    </row>
    <row r="36" ht="18.0" customHeight="1">
      <c r="A36" s="53"/>
      <c r="B36" s="53" t="s">
        <v>527</v>
      </c>
      <c r="C36" s="53"/>
      <c r="D36" s="53" t="s">
        <v>528</v>
      </c>
      <c r="E36" s="53"/>
      <c r="F36" s="53"/>
      <c r="G36" s="53"/>
      <c r="H36" s="53" t="s">
        <v>529</v>
      </c>
      <c r="I36" s="53" t="s">
        <v>530</v>
      </c>
      <c r="J36" s="53"/>
      <c r="K36" s="53" t="s">
        <v>531</v>
      </c>
      <c r="L36" s="53" t="s">
        <v>532</v>
      </c>
      <c r="M36" s="53" t="s">
        <v>533</v>
      </c>
      <c r="N36" s="53" t="s">
        <v>534</v>
      </c>
      <c r="O36" s="53"/>
      <c r="P36" s="53" t="s">
        <v>535</v>
      </c>
      <c r="Q36" s="53"/>
      <c r="R36" s="53" t="s">
        <v>536</v>
      </c>
      <c r="S36" s="53"/>
      <c r="T36" s="53" t="s">
        <v>537</v>
      </c>
      <c r="U36" s="53" t="s">
        <v>538</v>
      </c>
      <c r="V36" s="53"/>
      <c r="W36" s="53"/>
      <c r="X36" s="53"/>
    </row>
    <row r="37" ht="18.0" customHeight="1">
      <c r="A37" s="53"/>
      <c r="B37" s="53"/>
      <c r="C37" s="53"/>
      <c r="D37" s="53" t="s">
        <v>539</v>
      </c>
      <c r="E37" s="53"/>
      <c r="F37" s="53"/>
      <c r="G37" s="53"/>
      <c r="H37" s="53" t="s">
        <v>540</v>
      </c>
      <c r="I37" s="53" t="s">
        <v>541</v>
      </c>
      <c r="J37" s="53"/>
      <c r="K37" s="53" t="s">
        <v>542</v>
      </c>
      <c r="L37" s="53" t="s">
        <v>543</v>
      </c>
      <c r="M37" s="53" t="s">
        <v>544</v>
      </c>
      <c r="N37" s="53" t="s">
        <v>545</v>
      </c>
      <c r="O37" s="53"/>
      <c r="P37" s="53" t="s">
        <v>546</v>
      </c>
      <c r="Q37" s="53"/>
      <c r="R37" s="53" t="s">
        <v>547</v>
      </c>
      <c r="S37" s="53"/>
      <c r="T37" s="53" t="s">
        <v>549</v>
      </c>
      <c r="U37" s="53" t="s">
        <v>550</v>
      </c>
      <c r="V37" s="53"/>
      <c r="W37" s="53"/>
      <c r="X37" s="53"/>
    </row>
    <row r="38" ht="18.0" customHeight="1">
      <c r="A38" s="76"/>
      <c r="B38" s="76"/>
      <c r="C38" s="76"/>
      <c r="D38" s="76" t="s">
        <v>551</v>
      </c>
      <c r="E38" s="76"/>
      <c r="F38" s="76"/>
      <c r="G38" s="76"/>
      <c r="H38" s="76" t="s">
        <v>552</v>
      </c>
      <c r="I38" s="76" t="s">
        <v>553</v>
      </c>
      <c r="J38" s="76"/>
      <c r="K38" s="76" t="s">
        <v>554</v>
      </c>
      <c r="L38" s="76" t="s">
        <v>555</v>
      </c>
      <c r="M38" s="76" t="s">
        <v>556</v>
      </c>
      <c r="N38" s="76" t="s">
        <v>557</v>
      </c>
      <c r="O38" s="76"/>
      <c r="P38" s="77" t="s">
        <v>558</v>
      </c>
      <c r="Q38" s="76"/>
      <c r="R38" s="76" t="s">
        <v>559</v>
      </c>
      <c r="S38" s="76"/>
      <c r="T38" s="76" t="s">
        <v>560</v>
      </c>
      <c r="U38" s="76" t="s">
        <v>561</v>
      </c>
      <c r="V38" s="76"/>
      <c r="W38" s="76"/>
      <c r="X38" s="76"/>
    </row>
    <row r="39" ht="18.0" customHeight="1">
      <c r="A39" s="76"/>
      <c r="B39" s="76"/>
      <c r="C39" s="76"/>
      <c r="D39" s="76" t="s">
        <v>562</v>
      </c>
      <c r="E39" s="76"/>
      <c r="F39" s="76"/>
      <c r="G39" s="76"/>
      <c r="H39" s="76" t="s">
        <v>563</v>
      </c>
      <c r="I39" s="76" t="s">
        <v>564</v>
      </c>
      <c r="J39" s="76"/>
      <c r="K39" s="76" t="s">
        <v>565</v>
      </c>
      <c r="L39" s="76" t="s">
        <v>566</v>
      </c>
      <c r="M39" s="76" t="s">
        <v>556</v>
      </c>
      <c r="N39" s="76" t="s">
        <v>567</v>
      </c>
      <c r="O39" s="76"/>
      <c r="P39" s="77" t="s">
        <v>568</v>
      </c>
      <c r="Q39" s="76"/>
      <c r="R39" s="76" t="s">
        <v>569</v>
      </c>
      <c r="S39" s="76"/>
      <c r="T39" s="76" t="s">
        <v>570</v>
      </c>
      <c r="U39" s="76" t="s">
        <v>571</v>
      </c>
      <c r="V39" s="76"/>
      <c r="W39" s="76"/>
      <c r="X39" s="76"/>
    </row>
    <row r="40" ht="18.0" customHeight="1">
      <c r="A40" s="76"/>
      <c r="B40" s="76"/>
      <c r="C40" s="76"/>
      <c r="D40" s="76" t="s">
        <v>572</v>
      </c>
      <c r="E40" s="76"/>
      <c r="F40" s="76"/>
      <c r="G40" s="76"/>
      <c r="H40" s="76" t="s">
        <v>573</v>
      </c>
      <c r="I40" s="76" t="s">
        <v>574</v>
      </c>
      <c r="J40" s="76"/>
      <c r="K40" s="76" t="s">
        <v>575</v>
      </c>
      <c r="L40" s="76" t="s">
        <v>576</v>
      </c>
      <c r="M40" s="76" t="s">
        <v>577</v>
      </c>
      <c r="N40" s="76" t="s">
        <v>578</v>
      </c>
      <c r="O40" s="76"/>
      <c r="P40" s="77" t="s">
        <v>579</v>
      </c>
      <c r="Q40" s="76"/>
      <c r="R40" s="76" t="s">
        <v>580</v>
      </c>
      <c r="S40" s="76"/>
      <c r="T40" s="76" t="s">
        <v>582</v>
      </c>
      <c r="U40" s="76" t="s">
        <v>583</v>
      </c>
      <c r="V40" s="76"/>
      <c r="W40" s="76"/>
      <c r="X40" s="76"/>
    </row>
    <row r="41" ht="18.0" customHeight="1">
      <c r="A41" s="76"/>
      <c r="B41" s="76"/>
      <c r="C41" s="76"/>
      <c r="D41" s="76" t="s">
        <v>584</v>
      </c>
      <c r="E41" s="76"/>
      <c r="F41" s="76"/>
      <c r="G41" s="76"/>
      <c r="H41" s="76" t="s">
        <v>585</v>
      </c>
      <c r="I41" s="76" t="s">
        <v>586</v>
      </c>
      <c r="J41" s="76"/>
      <c r="K41" s="76" t="s">
        <v>587</v>
      </c>
      <c r="L41" s="76" t="s">
        <v>588</v>
      </c>
      <c r="M41" s="76" t="s">
        <v>589</v>
      </c>
      <c r="N41" s="76" t="s">
        <v>590</v>
      </c>
      <c r="O41" s="76"/>
      <c r="P41" s="77" t="s">
        <v>591</v>
      </c>
      <c r="Q41" s="76"/>
      <c r="R41" s="76" t="s">
        <v>592</v>
      </c>
      <c r="S41" s="76"/>
      <c r="T41" s="76" t="s">
        <v>501</v>
      </c>
      <c r="U41" s="76" t="s">
        <v>593</v>
      </c>
      <c r="V41" s="76"/>
      <c r="W41" s="76"/>
      <c r="X41" s="76"/>
    </row>
    <row r="42" ht="18.0" customHeight="1">
      <c r="A42" s="76"/>
      <c r="B42" s="76"/>
      <c r="C42" s="76"/>
      <c r="D42" s="76" t="s">
        <v>594</v>
      </c>
      <c r="E42" s="76"/>
      <c r="F42" s="76"/>
      <c r="G42" s="76"/>
      <c r="H42" s="76" t="s">
        <v>595</v>
      </c>
      <c r="I42" s="76" t="s">
        <v>596</v>
      </c>
      <c r="J42" s="76"/>
      <c r="K42" s="76" t="s">
        <v>597</v>
      </c>
      <c r="L42" s="76" t="s">
        <v>598</v>
      </c>
      <c r="M42" s="76" t="s">
        <v>599</v>
      </c>
      <c r="N42" s="76" t="s">
        <v>600</v>
      </c>
      <c r="O42" s="76"/>
      <c r="P42" s="77" t="s">
        <v>601</v>
      </c>
      <c r="Q42" s="76"/>
      <c r="R42" s="76" t="s">
        <v>602</v>
      </c>
      <c r="S42" s="76"/>
      <c r="T42" s="76" t="s">
        <v>317</v>
      </c>
      <c r="U42" s="76" t="s">
        <v>603</v>
      </c>
      <c r="V42" s="76"/>
      <c r="W42" s="76"/>
      <c r="X42" s="76"/>
    </row>
    <row r="43" ht="18.0" customHeight="1">
      <c r="A43" s="76"/>
      <c r="B43" s="76"/>
      <c r="C43" s="76"/>
      <c r="D43" s="76" t="s">
        <v>604</v>
      </c>
      <c r="E43" s="76"/>
      <c r="F43" s="76"/>
      <c r="G43" s="76"/>
      <c r="H43" s="76" t="s">
        <v>605</v>
      </c>
      <c r="I43" s="76" t="s">
        <v>606</v>
      </c>
      <c r="J43" s="76"/>
      <c r="K43" s="76" t="s">
        <v>607</v>
      </c>
      <c r="L43" s="76" t="s">
        <v>608</v>
      </c>
      <c r="M43" s="76" t="s">
        <v>609</v>
      </c>
      <c r="N43" s="76" t="s">
        <v>610</v>
      </c>
      <c r="O43" s="76"/>
      <c r="P43" s="77" t="s">
        <v>611</v>
      </c>
      <c r="Q43" s="76"/>
      <c r="R43" s="76" t="s">
        <v>612</v>
      </c>
      <c r="S43" s="76"/>
      <c r="T43" s="76" t="s">
        <v>613</v>
      </c>
      <c r="U43" s="76" t="s">
        <v>614</v>
      </c>
      <c r="V43" s="76"/>
      <c r="W43" s="76"/>
      <c r="X43" s="76"/>
    </row>
    <row r="44" ht="18.0" customHeight="1">
      <c r="A44" s="76"/>
      <c r="B44" s="76"/>
      <c r="C44" s="76"/>
      <c r="D44" s="76" t="s">
        <v>615</v>
      </c>
      <c r="E44" s="76"/>
      <c r="F44" s="76"/>
      <c r="G44" s="76"/>
      <c r="H44" s="76" t="s">
        <v>616</v>
      </c>
      <c r="I44" s="76" t="s">
        <v>617</v>
      </c>
      <c r="J44" s="76"/>
      <c r="K44" s="76" t="s">
        <v>618</v>
      </c>
      <c r="L44" s="76" t="s">
        <v>619</v>
      </c>
      <c r="M44" s="76" t="s">
        <v>620</v>
      </c>
      <c r="N44" s="76" t="s">
        <v>621</v>
      </c>
      <c r="O44" s="76"/>
      <c r="P44" s="77" t="s">
        <v>622</v>
      </c>
      <c r="Q44" s="76"/>
      <c r="R44" s="76" t="s">
        <v>623</v>
      </c>
      <c r="S44" s="76"/>
      <c r="T44" s="76" t="s">
        <v>624</v>
      </c>
      <c r="U44" s="76" t="s">
        <v>625</v>
      </c>
      <c r="V44" s="76"/>
      <c r="W44" s="76"/>
      <c r="X44" s="76"/>
    </row>
    <row r="45" ht="18.0" customHeight="1">
      <c r="A45" s="76"/>
      <c r="B45" s="76"/>
      <c r="C45" s="76"/>
      <c r="D45" s="76" t="s">
        <v>626</v>
      </c>
      <c r="E45" s="76"/>
      <c r="F45" s="76"/>
      <c r="G45" s="76"/>
      <c r="H45" s="76" t="s">
        <v>627</v>
      </c>
      <c r="I45" s="76" t="s">
        <v>628</v>
      </c>
      <c r="J45" s="76"/>
      <c r="K45" s="76" t="s">
        <v>629</v>
      </c>
      <c r="L45" s="76" t="s">
        <v>630</v>
      </c>
      <c r="M45" s="76" t="s">
        <v>509</v>
      </c>
      <c r="N45" s="76" t="s">
        <v>631</v>
      </c>
      <c r="O45" s="76"/>
      <c r="P45" s="77" t="s">
        <v>632</v>
      </c>
      <c r="Q45" s="76"/>
      <c r="R45" s="76" t="s">
        <v>633</v>
      </c>
      <c r="S45" s="76"/>
      <c r="T45" s="76" t="s">
        <v>634</v>
      </c>
      <c r="U45" s="76" t="s">
        <v>635</v>
      </c>
      <c r="V45" s="76"/>
      <c r="W45" s="76"/>
      <c r="X45" s="76"/>
    </row>
    <row r="46" ht="18.0" customHeight="1">
      <c r="A46" s="76"/>
      <c r="B46" s="76"/>
      <c r="C46" s="76"/>
      <c r="D46" s="76" t="s">
        <v>636</v>
      </c>
      <c r="E46" s="76"/>
      <c r="F46" s="76"/>
      <c r="G46" s="76"/>
      <c r="H46" s="76" t="s">
        <v>637</v>
      </c>
      <c r="I46" s="76" t="s">
        <v>638</v>
      </c>
      <c r="J46" s="76"/>
      <c r="K46" s="76" t="s">
        <v>639</v>
      </c>
      <c r="L46" s="76" t="s">
        <v>640</v>
      </c>
      <c r="M46" s="76" t="s">
        <v>641</v>
      </c>
      <c r="N46" s="76" t="s">
        <v>642</v>
      </c>
      <c r="O46" s="76"/>
      <c r="P46" s="77" t="s">
        <v>643</v>
      </c>
      <c r="Q46" s="76"/>
      <c r="R46" s="76" t="s">
        <v>644</v>
      </c>
      <c r="S46" s="76"/>
      <c r="T46" s="76" t="s">
        <v>645</v>
      </c>
      <c r="U46" s="76" t="s">
        <v>646</v>
      </c>
      <c r="V46" s="76"/>
      <c r="W46" s="76"/>
      <c r="X46" s="76"/>
    </row>
    <row r="47" ht="18.0" customHeight="1">
      <c r="A47" s="76"/>
      <c r="B47" s="76"/>
      <c r="C47" s="76"/>
      <c r="D47" s="76" t="s">
        <v>647</v>
      </c>
      <c r="E47" s="76"/>
      <c r="F47" s="76"/>
      <c r="G47" s="76"/>
      <c r="H47" s="76" t="s">
        <v>649</v>
      </c>
      <c r="I47" s="76" t="s">
        <v>650</v>
      </c>
      <c r="J47" s="76"/>
      <c r="K47" s="76" t="s">
        <v>651</v>
      </c>
      <c r="L47" s="76" t="s">
        <v>652</v>
      </c>
      <c r="M47" s="76" t="s">
        <v>653</v>
      </c>
      <c r="N47" s="76" t="s">
        <v>654</v>
      </c>
      <c r="O47" s="76"/>
      <c r="P47" s="77" t="s">
        <v>655</v>
      </c>
      <c r="Q47" s="76"/>
      <c r="R47" s="76" t="s">
        <v>656</v>
      </c>
      <c r="S47" s="76"/>
      <c r="T47" s="76" t="s">
        <v>657</v>
      </c>
      <c r="U47" s="76" t="s">
        <v>658</v>
      </c>
      <c r="V47" s="76"/>
      <c r="W47" s="76"/>
      <c r="X47" s="76"/>
    </row>
    <row r="48" ht="18.0" customHeight="1">
      <c r="A48" s="76"/>
      <c r="B48" s="76"/>
      <c r="C48" s="76"/>
      <c r="D48" s="76" t="s">
        <v>660</v>
      </c>
      <c r="E48" s="76"/>
      <c r="F48" s="76"/>
      <c r="G48" s="76"/>
      <c r="H48" s="76" t="s">
        <v>661</v>
      </c>
      <c r="I48" s="76" t="s">
        <v>662</v>
      </c>
      <c r="J48" s="76"/>
      <c r="K48" s="76" t="s">
        <v>663</v>
      </c>
      <c r="L48" s="76" t="s">
        <v>664</v>
      </c>
      <c r="M48" s="76" t="s">
        <v>665</v>
      </c>
      <c r="N48" s="76" t="s">
        <v>666</v>
      </c>
      <c r="O48" s="76"/>
      <c r="P48" s="77" t="s">
        <v>667</v>
      </c>
      <c r="Q48" s="76"/>
      <c r="R48" s="76" t="s">
        <v>668</v>
      </c>
      <c r="S48" s="76"/>
      <c r="T48" s="76" t="s">
        <v>448</v>
      </c>
      <c r="U48" s="76" t="s">
        <v>669</v>
      </c>
      <c r="V48" s="76"/>
      <c r="W48" s="76"/>
      <c r="X48" s="76"/>
    </row>
    <row r="49" ht="18.0" customHeight="1">
      <c r="A49" s="76"/>
      <c r="B49" s="76"/>
      <c r="C49" s="76"/>
      <c r="D49" s="76" t="s">
        <v>671</v>
      </c>
      <c r="E49" s="76"/>
      <c r="F49" s="76"/>
      <c r="G49" s="76"/>
      <c r="H49" s="76" t="s">
        <v>672</v>
      </c>
      <c r="I49" s="76" t="s">
        <v>673</v>
      </c>
      <c r="J49" s="76"/>
      <c r="K49" s="76" t="s">
        <v>674</v>
      </c>
      <c r="L49" s="76" t="s">
        <v>675</v>
      </c>
      <c r="M49" s="76" t="s">
        <v>676</v>
      </c>
      <c r="N49" s="76" t="s">
        <v>677</v>
      </c>
      <c r="O49" s="76"/>
      <c r="P49" s="77" t="s">
        <v>678</v>
      </c>
      <c r="Q49" s="76"/>
      <c r="R49" s="76" t="s">
        <v>679</v>
      </c>
      <c r="S49" s="76"/>
      <c r="T49" s="76" t="s">
        <v>680</v>
      </c>
      <c r="U49" s="76" t="s">
        <v>681</v>
      </c>
      <c r="V49" s="76"/>
      <c r="W49" s="76"/>
      <c r="X49" s="76"/>
    </row>
    <row r="50" ht="18.0" customHeight="1">
      <c r="A50" s="76"/>
      <c r="B50" s="76"/>
      <c r="C50" s="76"/>
      <c r="D50" s="76" t="s">
        <v>682</v>
      </c>
      <c r="E50" s="76"/>
      <c r="F50" s="76"/>
      <c r="G50" s="76"/>
      <c r="H50" s="76" t="s">
        <v>683</v>
      </c>
      <c r="I50" s="76" t="s">
        <v>684</v>
      </c>
      <c r="J50" s="76"/>
      <c r="K50" s="76" t="s">
        <v>685</v>
      </c>
      <c r="L50" s="76" t="s">
        <v>686</v>
      </c>
      <c r="M50" s="76" t="s">
        <v>687</v>
      </c>
      <c r="N50" s="76" t="s">
        <v>688</v>
      </c>
      <c r="O50" s="76"/>
      <c r="P50" s="77" t="s">
        <v>689</v>
      </c>
      <c r="Q50" s="76"/>
      <c r="R50" s="76" t="s">
        <v>690</v>
      </c>
      <c r="S50" s="76"/>
      <c r="T50" s="76" t="s">
        <v>691</v>
      </c>
      <c r="U50" s="76" t="s">
        <v>692</v>
      </c>
      <c r="V50" s="76"/>
      <c r="W50" s="76"/>
      <c r="X50" s="76"/>
    </row>
    <row r="51" ht="18.0" customHeight="1">
      <c r="A51" s="76"/>
      <c r="B51" s="76"/>
      <c r="C51" s="76"/>
      <c r="D51" s="76" t="s">
        <v>693</v>
      </c>
      <c r="E51" s="76"/>
      <c r="F51" s="76"/>
      <c r="G51" s="76"/>
      <c r="H51" s="76" t="s">
        <v>694</v>
      </c>
      <c r="I51" s="76" t="s">
        <v>695</v>
      </c>
      <c r="J51" s="76"/>
      <c r="K51" s="76" t="s">
        <v>696</v>
      </c>
      <c r="L51" s="76" t="s">
        <v>697</v>
      </c>
      <c r="M51" s="76" t="s">
        <v>698</v>
      </c>
      <c r="N51" s="76" t="s">
        <v>700</v>
      </c>
      <c r="O51" s="76"/>
      <c r="P51" s="77" t="s">
        <v>701</v>
      </c>
      <c r="Q51" s="76"/>
      <c r="R51" s="76" t="s">
        <v>702</v>
      </c>
      <c r="S51" s="76"/>
      <c r="T51" s="76" t="s">
        <v>703</v>
      </c>
      <c r="U51" s="76" t="s">
        <v>704</v>
      </c>
      <c r="V51" s="76"/>
      <c r="W51" s="76"/>
      <c r="X51" s="76"/>
    </row>
    <row r="52" ht="18.0" customHeight="1">
      <c r="A52" s="76"/>
      <c r="B52" s="76"/>
      <c r="C52" s="76"/>
      <c r="D52" s="76" t="s">
        <v>705</v>
      </c>
      <c r="E52" s="76"/>
      <c r="F52" s="76"/>
      <c r="G52" s="76"/>
      <c r="H52" s="76" t="s">
        <v>706</v>
      </c>
      <c r="I52" s="76" t="s">
        <v>707</v>
      </c>
      <c r="J52" s="76"/>
      <c r="K52" s="76" t="s">
        <v>708</v>
      </c>
      <c r="L52" s="76" t="s">
        <v>709</v>
      </c>
      <c r="M52" s="76" t="s">
        <v>544</v>
      </c>
      <c r="N52" s="76" t="s">
        <v>710</v>
      </c>
      <c r="O52" s="76"/>
      <c r="P52" s="77" t="s">
        <v>711</v>
      </c>
      <c r="Q52" s="76"/>
      <c r="R52" s="76" t="s">
        <v>712</v>
      </c>
      <c r="S52" s="76"/>
      <c r="T52" s="76" t="s">
        <v>501</v>
      </c>
      <c r="U52" s="76" t="s">
        <v>713</v>
      </c>
      <c r="V52" s="76"/>
      <c r="W52" s="76"/>
      <c r="X52" s="76"/>
    </row>
    <row r="53" ht="18.0" customHeight="1">
      <c r="A53" s="76"/>
      <c r="B53" s="76"/>
      <c r="C53" s="76"/>
      <c r="D53" s="76" t="s">
        <v>714</v>
      </c>
      <c r="E53" s="76"/>
      <c r="F53" s="76"/>
      <c r="G53" s="76"/>
      <c r="H53" s="76" t="s">
        <v>716</v>
      </c>
      <c r="I53" s="76" t="s">
        <v>717</v>
      </c>
      <c r="J53" s="76"/>
      <c r="K53" s="76" t="s">
        <v>718</v>
      </c>
      <c r="L53" s="76" t="s">
        <v>719</v>
      </c>
      <c r="M53" s="76" t="s">
        <v>358</v>
      </c>
      <c r="N53" s="76" t="s">
        <v>720</v>
      </c>
      <c r="O53" s="76"/>
      <c r="P53" s="77" t="s">
        <v>721</v>
      </c>
      <c r="Q53" s="76"/>
      <c r="R53" s="76" t="s">
        <v>722</v>
      </c>
      <c r="S53" s="76"/>
      <c r="T53" s="76" t="s">
        <v>723</v>
      </c>
      <c r="U53" s="76" t="s">
        <v>724</v>
      </c>
      <c r="V53" s="76"/>
      <c r="W53" s="76"/>
      <c r="X53" s="76"/>
    </row>
    <row r="54" ht="18.0" customHeight="1">
      <c r="A54" s="76"/>
      <c r="B54" s="76"/>
      <c r="C54" s="76"/>
      <c r="D54" s="76" t="s">
        <v>725</v>
      </c>
      <c r="E54" s="76"/>
      <c r="F54" s="76"/>
      <c r="G54" s="76"/>
      <c r="H54" s="76" t="s">
        <v>726</v>
      </c>
      <c r="I54" s="76" t="s">
        <v>727</v>
      </c>
      <c r="J54" s="76"/>
      <c r="K54" s="76" t="s">
        <v>728</v>
      </c>
      <c r="L54" s="76" t="s">
        <v>729</v>
      </c>
      <c r="M54" s="76" t="s">
        <v>730</v>
      </c>
      <c r="N54" s="76" t="s">
        <v>731</v>
      </c>
      <c r="O54" s="76"/>
      <c r="P54" s="77" t="s">
        <v>732</v>
      </c>
      <c r="Q54" s="76"/>
      <c r="R54" s="76" t="s">
        <v>733</v>
      </c>
      <c r="S54" s="76"/>
      <c r="T54" s="76" t="s">
        <v>501</v>
      </c>
      <c r="U54" s="76" t="s">
        <v>735</v>
      </c>
      <c r="V54" s="76"/>
      <c r="W54" s="76"/>
      <c r="X54" s="76"/>
    </row>
    <row r="55" ht="18.0" customHeight="1">
      <c r="A55" s="76"/>
      <c r="B55" s="76"/>
      <c r="C55" s="76"/>
      <c r="D55" s="76" t="s">
        <v>736</v>
      </c>
      <c r="E55" s="76"/>
      <c r="F55" s="76"/>
      <c r="G55" s="76"/>
      <c r="H55" s="76" t="s">
        <v>737</v>
      </c>
      <c r="I55" s="76" t="s">
        <v>650</v>
      </c>
      <c r="J55" s="76"/>
      <c r="K55" s="76" t="s">
        <v>738</v>
      </c>
      <c r="L55" s="76" t="s">
        <v>739</v>
      </c>
      <c r="M55" s="76" t="s">
        <v>740</v>
      </c>
      <c r="N55" s="76" t="s">
        <v>741</v>
      </c>
      <c r="O55" s="76"/>
      <c r="P55" s="77" t="s">
        <v>742</v>
      </c>
      <c r="Q55" s="76"/>
      <c r="R55" s="76" t="s">
        <v>743</v>
      </c>
      <c r="S55" s="76"/>
      <c r="T55" s="76" t="s">
        <v>744</v>
      </c>
      <c r="U55" s="76" t="s">
        <v>745</v>
      </c>
      <c r="V55" s="76"/>
      <c r="W55" s="76"/>
      <c r="X55" s="76"/>
    </row>
    <row r="56" ht="18.0" customHeight="1">
      <c r="A56" s="76"/>
      <c r="B56" s="76"/>
      <c r="C56" s="76"/>
      <c r="D56" s="76" t="s">
        <v>746</v>
      </c>
      <c r="E56" s="76"/>
      <c r="F56" s="76"/>
      <c r="G56" s="76"/>
      <c r="H56" s="76" t="s">
        <v>747</v>
      </c>
      <c r="I56" s="76" t="s">
        <v>748</v>
      </c>
      <c r="J56" s="76"/>
      <c r="K56" s="76" t="s">
        <v>750</v>
      </c>
      <c r="L56" s="76" t="s">
        <v>751</v>
      </c>
      <c r="M56" s="76" t="s">
        <v>752</v>
      </c>
      <c r="N56" s="76" t="s">
        <v>753</v>
      </c>
      <c r="O56" s="76"/>
      <c r="P56" s="77" t="s">
        <v>754</v>
      </c>
      <c r="Q56" s="76"/>
      <c r="R56" s="76" t="s">
        <v>755</v>
      </c>
      <c r="S56" s="76"/>
      <c r="T56" s="76" t="s">
        <v>756</v>
      </c>
      <c r="U56" s="76" t="s">
        <v>757</v>
      </c>
      <c r="V56" s="76"/>
      <c r="W56" s="76"/>
      <c r="X56" s="76"/>
    </row>
    <row r="57" ht="18.0" customHeight="1">
      <c r="A57" s="76"/>
      <c r="B57" s="76"/>
      <c r="C57" s="76"/>
      <c r="D57" s="76" t="s">
        <v>758</v>
      </c>
      <c r="E57" s="76"/>
      <c r="F57" s="76"/>
      <c r="G57" s="76"/>
      <c r="H57" s="76" t="s">
        <v>759</v>
      </c>
      <c r="I57" s="76" t="s">
        <v>760</v>
      </c>
      <c r="J57" s="76"/>
      <c r="K57" s="76" t="s">
        <v>761</v>
      </c>
      <c r="L57" s="76" t="s">
        <v>762</v>
      </c>
      <c r="M57" s="76" t="s">
        <v>665</v>
      </c>
      <c r="N57" s="76" t="s">
        <v>763</v>
      </c>
      <c r="O57" s="76"/>
      <c r="P57" s="77" t="s">
        <v>765</v>
      </c>
      <c r="Q57" s="76"/>
      <c r="R57" s="76" t="s">
        <v>766</v>
      </c>
      <c r="S57" s="76"/>
      <c r="T57" s="76" t="s">
        <v>767</v>
      </c>
      <c r="U57" s="76" t="s">
        <v>768</v>
      </c>
      <c r="V57" s="76"/>
      <c r="W57" s="76"/>
      <c r="X57" s="76"/>
    </row>
    <row r="58" ht="18.0" customHeight="1">
      <c r="A58" s="76"/>
      <c r="B58" s="76"/>
      <c r="C58" s="76"/>
      <c r="D58" s="76" t="s">
        <v>769</v>
      </c>
      <c r="E58" s="76"/>
      <c r="F58" s="76"/>
      <c r="G58" s="76"/>
      <c r="H58" s="76" t="s">
        <v>770</v>
      </c>
      <c r="I58" s="76" t="s">
        <v>771</v>
      </c>
      <c r="J58" s="76"/>
      <c r="K58" s="76" t="s">
        <v>772</v>
      </c>
      <c r="L58" s="76" t="s">
        <v>773</v>
      </c>
      <c r="M58" s="76" t="s">
        <v>774</v>
      </c>
      <c r="N58" s="76" t="s">
        <v>775</v>
      </c>
      <c r="O58" s="76"/>
      <c r="P58" s="77" t="s">
        <v>776</v>
      </c>
      <c r="Q58" s="76"/>
      <c r="R58" s="76" t="s">
        <v>777</v>
      </c>
      <c r="S58" s="76"/>
      <c r="T58" s="76" t="s">
        <v>778</v>
      </c>
      <c r="U58" s="76" t="s">
        <v>779</v>
      </c>
      <c r="V58" s="76"/>
      <c r="W58" s="76"/>
      <c r="X58" s="76"/>
    </row>
    <row r="59" ht="18.0" customHeight="1">
      <c r="A59" s="76"/>
      <c r="B59" s="76"/>
      <c r="C59" s="76"/>
      <c r="D59" s="76" t="s">
        <v>780</v>
      </c>
      <c r="E59" s="76"/>
      <c r="F59" s="76"/>
      <c r="G59" s="76"/>
      <c r="H59" s="76" t="s">
        <v>781</v>
      </c>
      <c r="I59" s="76" t="s">
        <v>782</v>
      </c>
      <c r="J59" s="76"/>
      <c r="K59" s="76" t="s">
        <v>783</v>
      </c>
      <c r="L59" s="76" t="s">
        <v>784</v>
      </c>
      <c r="M59" s="76" t="s">
        <v>785</v>
      </c>
      <c r="N59" s="76" t="s">
        <v>786</v>
      </c>
      <c r="O59" s="76"/>
      <c r="P59" s="77" t="s">
        <v>787</v>
      </c>
      <c r="Q59" s="76"/>
      <c r="R59" s="76" t="s">
        <v>788</v>
      </c>
      <c r="S59" s="76"/>
      <c r="T59" s="76" t="s">
        <v>364</v>
      </c>
      <c r="U59" s="76" t="s">
        <v>789</v>
      </c>
      <c r="V59" s="76"/>
      <c r="W59" s="76"/>
      <c r="X59" s="76"/>
    </row>
    <row r="60" ht="18.0" customHeight="1">
      <c r="A60" s="76"/>
      <c r="B60" s="76"/>
      <c r="C60" s="76"/>
      <c r="D60" s="76" t="s">
        <v>790</v>
      </c>
      <c r="E60" s="76"/>
      <c r="F60" s="76"/>
      <c r="G60" s="76"/>
      <c r="H60" s="76" t="s">
        <v>791</v>
      </c>
      <c r="I60" s="76" t="s">
        <v>792</v>
      </c>
      <c r="J60" s="76"/>
      <c r="K60" s="76" t="s">
        <v>793</v>
      </c>
      <c r="L60" s="76" t="s">
        <v>794</v>
      </c>
      <c r="M60" s="76" t="s">
        <v>795</v>
      </c>
      <c r="N60" s="76" t="s">
        <v>796</v>
      </c>
      <c r="O60" s="76"/>
      <c r="P60" s="77" t="s">
        <v>797</v>
      </c>
      <c r="Q60" s="76"/>
      <c r="R60" s="76" t="s">
        <v>798</v>
      </c>
      <c r="S60" s="76"/>
      <c r="T60" s="76" t="s">
        <v>799</v>
      </c>
      <c r="U60" s="76" t="s">
        <v>800</v>
      </c>
      <c r="V60" s="76"/>
      <c r="W60" s="76"/>
      <c r="X60" s="76"/>
    </row>
    <row r="61" ht="18.0" customHeight="1">
      <c r="A61" s="76"/>
      <c r="B61" s="76"/>
      <c r="C61" s="76"/>
      <c r="D61" s="76" t="s">
        <v>801</v>
      </c>
      <c r="E61" s="76"/>
      <c r="F61" s="76"/>
      <c r="G61" s="76"/>
      <c r="H61" s="76" t="s">
        <v>802</v>
      </c>
      <c r="I61" s="76" t="s">
        <v>803</v>
      </c>
      <c r="J61" s="76"/>
      <c r="K61" s="76" t="s">
        <v>804</v>
      </c>
      <c r="L61" s="76" t="s">
        <v>805</v>
      </c>
      <c r="M61" s="76" t="s">
        <v>806</v>
      </c>
      <c r="N61" s="76" t="s">
        <v>807</v>
      </c>
      <c r="O61" s="76"/>
      <c r="P61" s="77" t="s">
        <v>808</v>
      </c>
      <c r="Q61" s="76"/>
      <c r="R61" s="76" t="s">
        <v>809</v>
      </c>
      <c r="S61" s="76"/>
      <c r="T61" s="76" t="s">
        <v>810</v>
      </c>
      <c r="U61" s="76" t="s">
        <v>811</v>
      </c>
      <c r="V61" s="76"/>
      <c r="W61" s="76"/>
      <c r="X61" s="76"/>
    </row>
    <row r="62" ht="18.0" customHeight="1">
      <c r="A62" s="76"/>
      <c r="B62" s="76"/>
      <c r="C62" s="76"/>
      <c r="D62" s="76"/>
      <c r="E62" s="76"/>
      <c r="F62" s="76"/>
      <c r="G62" s="76"/>
      <c r="H62" s="76" t="s">
        <v>812</v>
      </c>
      <c r="I62" s="76" t="s">
        <v>355</v>
      </c>
      <c r="J62" s="76"/>
      <c r="K62" s="76" t="s">
        <v>813</v>
      </c>
      <c r="L62" s="76" t="s">
        <v>814</v>
      </c>
      <c r="M62" s="76" t="s">
        <v>815</v>
      </c>
      <c r="N62" s="76" t="s">
        <v>816</v>
      </c>
      <c r="O62" s="76"/>
      <c r="P62" s="77" t="s">
        <v>817</v>
      </c>
      <c r="Q62" s="76"/>
      <c r="R62" s="76" t="s">
        <v>818</v>
      </c>
      <c r="S62" s="76"/>
      <c r="T62" s="76" t="s">
        <v>819</v>
      </c>
      <c r="U62" s="76" t="s">
        <v>820</v>
      </c>
      <c r="V62" s="76"/>
      <c r="W62" s="76"/>
      <c r="X62" s="76"/>
    </row>
    <row r="63" ht="18.0" customHeight="1">
      <c r="A63" s="76"/>
      <c r="B63" s="76"/>
      <c r="C63" s="76"/>
      <c r="D63" s="76"/>
      <c r="E63" s="76"/>
      <c r="F63" s="76"/>
      <c r="G63" s="76"/>
      <c r="H63" s="76" t="s">
        <v>821</v>
      </c>
      <c r="I63" s="76" t="s">
        <v>822</v>
      </c>
      <c r="J63" s="76"/>
      <c r="K63" s="76" t="s">
        <v>823</v>
      </c>
      <c r="L63" s="76" t="s">
        <v>824</v>
      </c>
      <c r="M63" s="76" t="s">
        <v>825</v>
      </c>
      <c r="N63" s="76" t="s">
        <v>826</v>
      </c>
      <c r="O63" s="76"/>
      <c r="P63" s="77" t="s">
        <v>827</v>
      </c>
      <c r="Q63" s="76"/>
      <c r="R63" s="76" t="s">
        <v>828</v>
      </c>
      <c r="S63" s="76"/>
      <c r="T63" s="76" t="s">
        <v>829</v>
      </c>
      <c r="U63" s="76" t="s">
        <v>830</v>
      </c>
      <c r="V63" s="76"/>
      <c r="W63" s="76"/>
      <c r="X63" s="76"/>
    </row>
    <row r="64" ht="18.0" customHeight="1">
      <c r="A64" s="76"/>
      <c r="B64" s="76"/>
      <c r="C64" s="76"/>
      <c r="D64" s="76"/>
      <c r="E64" s="76"/>
      <c r="F64" s="76"/>
      <c r="G64" s="76"/>
      <c r="H64" s="76" t="s">
        <v>831</v>
      </c>
      <c r="I64" s="76" t="s">
        <v>832</v>
      </c>
      <c r="J64" s="76"/>
      <c r="K64" s="76" t="s">
        <v>833</v>
      </c>
      <c r="L64" s="76" t="s">
        <v>834</v>
      </c>
      <c r="M64" s="76" t="s">
        <v>835</v>
      </c>
      <c r="N64" s="76" t="s">
        <v>836</v>
      </c>
      <c r="O64" s="76"/>
      <c r="P64" s="77" t="s">
        <v>837</v>
      </c>
      <c r="Q64" s="76"/>
      <c r="R64" s="76" t="s">
        <v>838</v>
      </c>
      <c r="S64" s="76"/>
      <c r="T64" s="76" t="s">
        <v>839</v>
      </c>
      <c r="U64" s="76" t="s">
        <v>840</v>
      </c>
      <c r="V64" s="76"/>
      <c r="W64" s="76"/>
      <c r="X64" s="76"/>
    </row>
    <row r="65" ht="18.0" customHeight="1">
      <c r="A65" s="76"/>
      <c r="B65" s="76"/>
      <c r="C65" s="76"/>
      <c r="D65" s="76"/>
      <c r="E65" s="76"/>
      <c r="F65" s="76"/>
      <c r="G65" s="76"/>
      <c r="H65" s="76" t="s">
        <v>841</v>
      </c>
      <c r="I65" s="76" t="s">
        <v>553</v>
      </c>
      <c r="J65" s="76"/>
      <c r="K65" s="76" t="s">
        <v>842</v>
      </c>
      <c r="L65" s="76" t="s">
        <v>843</v>
      </c>
      <c r="M65" s="76" t="s">
        <v>844</v>
      </c>
      <c r="N65" s="76" t="s">
        <v>845</v>
      </c>
      <c r="O65" s="76"/>
      <c r="P65" s="77" t="s">
        <v>846</v>
      </c>
      <c r="Q65" s="76"/>
      <c r="R65" s="76" t="s">
        <v>847</v>
      </c>
      <c r="S65" s="76"/>
      <c r="T65" s="76" t="s">
        <v>848</v>
      </c>
      <c r="U65" s="76" t="s">
        <v>849</v>
      </c>
      <c r="V65" s="76"/>
      <c r="W65" s="76"/>
      <c r="X65" s="76"/>
    </row>
    <row r="66" ht="18.0" customHeight="1">
      <c r="A66" s="76"/>
      <c r="B66" s="76"/>
      <c r="C66" s="76"/>
      <c r="D66" s="76"/>
      <c r="E66" s="76"/>
      <c r="F66" s="76"/>
      <c r="G66" s="76"/>
      <c r="H66" s="76" t="s">
        <v>850</v>
      </c>
      <c r="I66" s="76" t="s">
        <v>851</v>
      </c>
      <c r="J66" s="76"/>
      <c r="K66" s="76" t="s">
        <v>852</v>
      </c>
      <c r="L66" s="76" t="s">
        <v>853</v>
      </c>
      <c r="M66" s="76" t="s">
        <v>854</v>
      </c>
      <c r="N66" s="76" t="s">
        <v>855</v>
      </c>
      <c r="O66" s="76"/>
      <c r="P66" s="77" t="s">
        <v>856</v>
      </c>
      <c r="Q66" s="76"/>
      <c r="R66" s="76" t="s">
        <v>857</v>
      </c>
      <c r="S66" s="76"/>
      <c r="T66" s="76" t="s">
        <v>858</v>
      </c>
      <c r="U66" s="76" t="s">
        <v>859</v>
      </c>
      <c r="V66" s="76"/>
      <c r="W66" s="76"/>
      <c r="X66" s="76"/>
    </row>
    <row r="67" ht="18.0" customHeight="1">
      <c r="A67" s="76"/>
      <c r="B67" s="76"/>
      <c r="C67" s="76"/>
      <c r="D67" s="76"/>
      <c r="E67" s="76"/>
      <c r="F67" s="76"/>
      <c r="G67" s="76"/>
      <c r="H67" s="76" t="s">
        <v>860</v>
      </c>
      <c r="I67" s="76" t="s">
        <v>861</v>
      </c>
      <c r="J67" s="76"/>
      <c r="K67" s="76" t="s">
        <v>862</v>
      </c>
      <c r="L67" s="76" t="s">
        <v>863</v>
      </c>
      <c r="M67" s="76" t="s">
        <v>864</v>
      </c>
      <c r="N67" s="76" t="s">
        <v>865</v>
      </c>
      <c r="O67" s="76"/>
      <c r="P67" s="77" t="s">
        <v>866</v>
      </c>
      <c r="Q67" s="76"/>
      <c r="R67" s="76" t="s">
        <v>867</v>
      </c>
      <c r="S67" s="76"/>
      <c r="T67" s="76" t="s">
        <v>868</v>
      </c>
      <c r="U67" s="76" t="s">
        <v>869</v>
      </c>
      <c r="V67" s="76"/>
      <c r="W67" s="76"/>
      <c r="X67" s="76"/>
    </row>
    <row r="68" ht="18.0" customHeight="1">
      <c r="A68" s="76"/>
      <c r="B68" s="76"/>
      <c r="C68" s="76"/>
      <c r="D68" s="76"/>
      <c r="E68" s="76"/>
      <c r="F68" s="76"/>
      <c r="G68" s="76"/>
      <c r="H68" s="76" t="s">
        <v>870</v>
      </c>
      <c r="I68" s="76" t="s">
        <v>467</v>
      </c>
      <c r="J68" s="76"/>
      <c r="K68" s="76" t="s">
        <v>871</v>
      </c>
      <c r="L68" s="76" t="s">
        <v>872</v>
      </c>
      <c r="M68" s="76" t="s">
        <v>873</v>
      </c>
      <c r="N68" s="76" t="s">
        <v>874</v>
      </c>
      <c r="O68" s="76"/>
      <c r="P68" s="77"/>
      <c r="Q68" s="76"/>
      <c r="R68" s="76" t="s">
        <v>875</v>
      </c>
      <c r="S68" s="76"/>
      <c r="T68" s="76" t="s">
        <v>876</v>
      </c>
      <c r="U68" s="76" t="s">
        <v>877</v>
      </c>
      <c r="V68" s="76"/>
      <c r="W68" s="76"/>
      <c r="X68" s="76"/>
    </row>
    <row r="69" ht="18.0" customHeight="1">
      <c r="A69" s="76"/>
      <c r="B69" s="76"/>
      <c r="C69" s="76"/>
      <c r="D69" s="76"/>
      <c r="E69" s="76"/>
      <c r="F69" s="76"/>
      <c r="G69" s="76"/>
      <c r="H69" s="76" t="s">
        <v>878</v>
      </c>
      <c r="I69" s="76" t="s">
        <v>717</v>
      </c>
      <c r="J69" s="76"/>
      <c r="K69" s="76" t="s">
        <v>879</v>
      </c>
      <c r="L69" s="76" t="s">
        <v>880</v>
      </c>
      <c r="M69" s="76" t="s">
        <v>881</v>
      </c>
      <c r="N69" s="76" t="s">
        <v>882</v>
      </c>
      <c r="O69" s="76"/>
      <c r="P69" s="76"/>
      <c r="Q69" s="76"/>
      <c r="R69" s="76" t="s">
        <v>883</v>
      </c>
      <c r="S69" s="76"/>
      <c r="T69" s="76" t="s">
        <v>475</v>
      </c>
      <c r="U69" s="76" t="s">
        <v>884</v>
      </c>
      <c r="V69" s="76"/>
      <c r="W69" s="76"/>
      <c r="X69" s="76"/>
    </row>
    <row r="70" ht="18.0" customHeight="1">
      <c r="A70" s="76"/>
      <c r="B70" s="76"/>
      <c r="C70" s="76"/>
      <c r="D70" s="76"/>
      <c r="E70" s="76"/>
      <c r="F70" s="76"/>
      <c r="G70" s="76"/>
      <c r="H70" s="76" t="s">
        <v>885</v>
      </c>
      <c r="I70" s="76" t="s">
        <v>695</v>
      </c>
      <c r="J70" s="76"/>
      <c r="K70" s="76" t="s">
        <v>886</v>
      </c>
      <c r="L70" s="76" t="s">
        <v>887</v>
      </c>
      <c r="M70" s="76" t="s">
        <v>888</v>
      </c>
      <c r="N70" s="76" t="s">
        <v>889</v>
      </c>
      <c r="O70" s="76"/>
      <c r="P70" s="76"/>
      <c r="Q70" s="76"/>
      <c r="R70" s="76" t="s">
        <v>890</v>
      </c>
      <c r="S70" s="76"/>
      <c r="T70" s="76" t="s">
        <v>891</v>
      </c>
      <c r="U70" s="76" t="s">
        <v>892</v>
      </c>
      <c r="V70" s="76"/>
      <c r="W70" s="76"/>
      <c r="X70" s="76"/>
    </row>
    <row r="71" ht="18.0" customHeight="1">
      <c r="A71" s="76"/>
      <c r="B71" s="76"/>
      <c r="C71" s="76"/>
      <c r="D71" s="76"/>
      <c r="E71" s="76"/>
      <c r="F71" s="76"/>
      <c r="G71" s="76"/>
      <c r="H71" s="76" t="s">
        <v>893</v>
      </c>
      <c r="I71" s="76" t="s">
        <v>894</v>
      </c>
      <c r="J71" s="76"/>
      <c r="K71" s="76" t="s">
        <v>895</v>
      </c>
      <c r="L71" s="76" t="s">
        <v>896</v>
      </c>
      <c r="M71" s="76" t="s">
        <v>897</v>
      </c>
      <c r="N71" s="76" t="s">
        <v>898</v>
      </c>
      <c r="O71" s="76"/>
      <c r="P71" s="76"/>
      <c r="Q71" s="76"/>
      <c r="R71" s="76" t="s">
        <v>899</v>
      </c>
      <c r="S71" s="76"/>
      <c r="T71" s="76" t="s">
        <v>900</v>
      </c>
      <c r="U71" s="76" t="s">
        <v>901</v>
      </c>
      <c r="V71" s="76"/>
      <c r="W71" s="76"/>
      <c r="X71" s="76"/>
    </row>
    <row r="72" ht="18.0" customHeight="1">
      <c r="A72" s="76"/>
      <c r="B72" s="76"/>
      <c r="C72" s="76"/>
      <c r="D72" s="76"/>
      <c r="E72" s="76"/>
      <c r="F72" s="76"/>
      <c r="G72" s="76"/>
      <c r="H72" s="76" t="s">
        <v>902</v>
      </c>
      <c r="I72" s="76" t="s">
        <v>114</v>
      </c>
      <c r="J72" s="76"/>
      <c r="K72" s="76" t="s">
        <v>903</v>
      </c>
      <c r="L72" s="76" t="s">
        <v>904</v>
      </c>
      <c r="M72" s="76" t="s">
        <v>905</v>
      </c>
      <c r="N72" s="76" t="s">
        <v>906</v>
      </c>
      <c r="O72" s="76"/>
      <c r="P72" s="76"/>
      <c r="Q72" s="76"/>
      <c r="R72" s="76" t="s">
        <v>907</v>
      </c>
      <c r="S72" s="76"/>
      <c r="T72" s="76" t="s">
        <v>908</v>
      </c>
      <c r="U72" s="76" t="s">
        <v>909</v>
      </c>
      <c r="V72" s="76"/>
      <c r="W72" s="76"/>
      <c r="X72" s="76"/>
    </row>
    <row r="73" ht="18.0" customHeight="1">
      <c r="A73" s="76"/>
      <c r="B73" s="76"/>
      <c r="C73" s="76"/>
      <c r="D73" s="76"/>
      <c r="E73" s="76"/>
      <c r="F73" s="76"/>
      <c r="G73" s="76"/>
      <c r="H73" s="76" t="s">
        <v>910</v>
      </c>
      <c r="I73" s="76" t="s">
        <v>911</v>
      </c>
      <c r="J73" s="76"/>
      <c r="K73" s="76" t="s">
        <v>912</v>
      </c>
      <c r="L73" s="76" t="s">
        <v>913</v>
      </c>
      <c r="M73" s="76" t="s">
        <v>914</v>
      </c>
      <c r="N73" s="76" t="s">
        <v>915</v>
      </c>
      <c r="O73" s="76"/>
      <c r="P73" s="76"/>
      <c r="Q73" s="76"/>
      <c r="R73" s="76" t="s">
        <v>916</v>
      </c>
      <c r="S73" s="76"/>
      <c r="T73" s="76" t="s">
        <v>917</v>
      </c>
      <c r="U73" s="76" t="s">
        <v>918</v>
      </c>
      <c r="V73" s="76"/>
      <c r="W73" s="76"/>
      <c r="X73" s="76"/>
    </row>
    <row r="74" ht="18.0" customHeight="1">
      <c r="A74" s="76"/>
      <c r="B74" s="76"/>
      <c r="C74" s="76"/>
      <c r="D74" s="76"/>
      <c r="E74" s="76"/>
      <c r="F74" s="76"/>
      <c r="G74" s="76"/>
      <c r="H74" s="76" t="s">
        <v>919</v>
      </c>
      <c r="I74" s="76" t="s">
        <v>586</v>
      </c>
      <c r="J74" s="76"/>
      <c r="K74" s="76" t="s">
        <v>920</v>
      </c>
      <c r="L74" s="76" t="s">
        <v>921</v>
      </c>
      <c r="M74" s="76" t="s">
        <v>922</v>
      </c>
      <c r="N74" s="76" t="s">
        <v>923</v>
      </c>
      <c r="O74" s="76"/>
      <c r="P74" s="76"/>
      <c r="Q74" s="76"/>
      <c r="R74" s="76" t="s">
        <v>924</v>
      </c>
      <c r="S74" s="76"/>
      <c r="T74" s="76" t="s">
        <v>448</v>
      </c>
      <c r="U74" s="76" t="s">
        <v>925</v>
      </c>
      <c r="V74" s="76"/>
      <c r="W74" s="76"/>
      <c r="X74" s="76"/>
    </row>
    <row r="75" ht="18.0" customHeight="1">
      <c r="A75" s="76"/>
      <c r="B75" s="76"/>
      <c r="C75" s="76"/>
      <c r="D75" s="76"/>
      <c r="E75" s="76"/>
      <c r="F75" s="76"/>
      <c r="G75" s="76"/>
      <c r="H75" s="76" t="s">
        <v>926</v>
      </c>
      <c r="I75" s="76" t="s">
        <v>399</v>
      </c>
      <c r="J75" s="76"/>
      <c r="K75" s="76" t="s">
        <v>927</v>
      </c>
      <c r="L75" s="76" t="s">
        <v>928</v>
      </c>
      <c r="M75" s="76" t="s">
        <v>929</v>
      </c>
      <c r="N75" s="76" t="s">
        <v>930</v>
      </c>
      <c r="O75" s="76"/>
      <c r="P75" s="76"/>
      <c r="Q75" s="76"/>
      <c r="R75" s="76" t="s">
        <v>931</v>
      </c>
      <c r="S75" s="76"/>
      <c r="T75" s="76" t="s">
        <v>932</v>
      </c>
      <c r="U75" s="76" t="s">
        <v>933</v>
      </c>
      <c r="V75" s="76"/>
      <c r="W75" s="76"/>
      <c r="X75" s="76"/>
    </row>
    <row r="76" ht="18.0" customHeight="1">
      <c r="A76" s="76"/>
      <c r="B76" s="76"/>
      <c r="C76" s="76"/>
      <c r="D76" s="76"/>
      <c r="E76" s="76"/>
      <c r="F76" s="76"/>
      <c r="G76" s="76"/>
      <c r="H76" s="76" t="s">
        <v>934</v>
      </c>
      <c r="I76" s="76" t="s">
        <v>650</v>
      </c>
      <c r="J76" s="76"/>
      <c r="K76" s="76" t="s">
        <v>935</v>
      </c>
      <c r="L76" s="76" t="s">
        <v>936</v>
      </c>
      <c r="M76" s="76" t="s">
        <v>937</v>
      </c>
      <c r="N76" s="76" t="s">
        <v>938</v>
      </c>
      <c r="O76" s="76"/>
      <c r="P76" s="76"/>
      <c r="Q76" s="76"/>
      <c r="R76" s="76" t="s">
        <v>939</v>
      </c>
      <c r="S76" s="76"/>
      <c r="T76" s="76" t="s">
        <v>940</v>
      </c>
      <c r="U76" s="76" t="s">
        <v>941</v>
      </c>
      <c r="V76" s="76"/>
      <c r="W76" s="76"/>
      <c r="X76" s="76"/>
    </row>
    <row r="77" ht="18.0" customHeight="1">
      <c r="A77" s="76"/>
      <c r="B77" s="76"/>
      <c r="C77" s="76"/>
      <c r="D77" s="76"/>
      <c r="E77" s="76"/>
      <c r="F77" s="76"/>
      <c r="G77" s="76"/>
      <c r="H77" s="76" t="s">
        <v>942</v>
      </c>
      <c r="I77" s="76" t="s">
        <v>943</v>
      </c>
      <c r="J77" s="76"/>
      <c r="K77" s="76" t="s">
        <v>944</v>
      </c>
      <c r="L77" s="76" t="s">
        <v>945</v>
      </c>
      <c r="M77" s="76" t="s">
        <v>946</v>
      </c>
      <c r="N77" s="76" t="s">
        <v>947</v>
      </c>
      <c r="O77" s="76"/>
      <c r="P77" s="76"/>
      <c r="Q77" s="76"/>
      <c r="R77" s="76" t="s">
        <v>948</v>
      </c>
      <c r="S77" s="76"/>
      <c r="T77" s="76" t="s">
        <v>949</v>
      </c>
      <c r="U77" s="76" t="s">
        <v>950</v>
      </c>
      <c r="V77" s="76"/>
      <c r="W77" s="76"/>
      <c r="X77" s="76"/>
    </row>
    <row r="78" ht="18.0" customHeight="1">
      <c r="A78" s="76"/>
      <c r="B78" s="76"/>
      <c r="C78" s="76"/>
      <c r="D78" s="76"/>
      <c r="E78" s="76"/>
      <c r="F78" s="76"/>
      <c r="G78" s="76"/>
      <c r="H78" s="76" t="s">
        <v>951</v>
      </c>
      <c r="I78" s="76" t="s">
        <v>952</v>
      </c>
      <c r="J78" s="76"/>
      <c r="K78" s="76" t="s">
        <v>953</v>
      </c>
      <c r="L78" s="76" t="s">
        <v>954</v>
      </c>
      <c r="M78" s="76" t="s">
        <v>955</v>
      </c>
      <c r="N78" s="76" t="s">
        <v>956</v>
      </c>
      <c r="O78" s="76"/>
      <c r="P78" s="76"/>
      <c r="Q78" s="76"/>
      <c r="R78" s="76"/>
      <c r="S78" s="76"/>
      <c r="T78" s="76" t="s">
        <v>957</v>
      </c>
      <c r="U78" s="76" t="s">
        <v>958</v>
      </c>
      <c r="V78" s="76"/>
      <c r="W78" s="76"/>
      <c r="X78" s="76"/>
    </row>
    <row r="79" ht="18.0" customHeight="1">
      <c r="A79" s="76"/>
      <c r="B79" s="76"/>
      <c r="C79" s="76"/>
      <c r="D79" s="76"/>
      <c r="E79" s="76"/>
      <c r="F79" s="76"/>
      <c r="G79" s="76"/>
      <c r="H79" s="76" t="s">
        <v>959</v>
      </c>
      <c r="I79" s="76" t="s">
        <v>960</v>
      </c>
      <c r="J79" s="76"/>
      <c r="K79" s="76" t="s">
        <v>961</v>
      </c>
      <c r="L79" s="76" t="s">
        <v>962</v>
      </c>
      <c r="M79" s="76" t="s">
        <v>963</v>
      </c>
      <c r="N79" s="76" t="s">
        <v>964</v>
      </c>
      <c r="O79" s="76"/>
      <c r="P79" s="76"/>
      <c r="Q79" s="76"/>
      <c r="R79" s="76"/>
      <c r="S79" s="76"/>
      <c r="T79" s="76" t="s">
        <v>965</v>
      </c>
      <c r="U79" s="76" t="s">
        <v>966</v>
      </c>
      <c r="V79" s="76"/>
      <c r="W79" s="76"/>
      <c r="X79" s="76"/>
    </row>
    <row r="80" ht="18.0" customHeight="1">
      <c r="A80" s="76"/>
      <c r="B80" s="76"/>
      <c r="C80" s="76"/>
      <c r="D80" s="76"/>
      <c r="E80" s="76"/>
      <c r="F80" s="76"/>
      <c r="G80" s="76"/>
      <c r="H80" s="76" t="s">
        <v>967</v>
      </c>
      <c r="I80" s="76" t="s">
        <v>638</v>
      </c>
      <c r="J80" s="76"/>
      <c r="K80" s="76" t="s">
        <v>968</v>
      </c>
      <c r="L80" s="76" t="s">
        <v>969</v>
      </c>
      <c r="M80" s="76" t="s">
        <v>970</v>
      </c>
      <c r="N80" s="76"/>
      <c r="O80" s="76"/>
      <c r="P80" s="76"/>
      <c r="Q80" s="76"/>
      <c r="R80" s="76"/>
      <c r="S80" s="76"/>
      <c r="T80" s="76" t="s">
        <v>971</v>
      </c>
      <c r="U80" s="76" t="s">
        <v>972</v>
      </c>
      <c r="V80" s="76"/>
      <c r="W80" s="76"/>
      <c r="X80" s="76"/>
    </row>
    <row r="81" ht="18.0" customHeight="1">
      <c r="A81" s="76"/>
      <c r="B81" s="76"/>
      <c r="C81" s="76"/>
      <c r="D81" s="76"/>
      <c r="E81" s="76"/>
      <c r="F81" s="76"/>
      <c r="G81" s="76"/>
      <c r="H81" s="76" t="s">
        <v>831</v>
      </c>
      <c r="I81" s="76" t="s">
        <v>973</v>
      </c>
      <c r="J81" s="76"/>
      <c r="K81" s="76" t="s">
        <v>974</v>
      </c>
      <c r="L81" s="76" t="s">
        <v>975</v>
      </c>
      <c r="M81" s="76" t="s">
        <v>976</v>
      </c>
      <c r="N81" s="76"/>
      <c r="O81" s="76"/>
      <c r="P81" s="76"/>
      <c r="Q81" s="76"/>
      <c r="R81" s="76"/>
      <c r="S81" s="76"/>
      <c r="T81" s="76" t="s">
        <v>977</v>
      </c>
      <c r="U81" s="76" t="s">
        <v>978</v>
      </c>
      <c r="V81" s="76"/>
      <c r="W81" s="76"/>
      <c r="X81" s="76"/>
    </row>
    <row r="82" ht="18.0" customHeight="1">
      <c r="A82" s="76"/>
      <c r="B82" s="76"/>
      <c r="C82" s="76"/>
      <c r="D82" s="76"/>
      <c r="E82" s="76"/>
      <c r="F82" s="76"/>
      <c r="G82" s="76"/>
      <c r="H82" s="76" t="s">
        <v>563</v>
      </c>
      <c r="I82" s="76" t="s">
        <v>979</v>
      </c>
      <c r="J82" s="76"/>
      <c r="K82" s="76" t="s">
        <v>980</v>
      </c>
      <c r="L82" s="76" t="s">
        <v>981</v>
      </c>
      <c r="M82" s="76" t="s">
        <v>982</v>
      </c>
      <c r="N82" s="76"/>
      <c r="O82" s="76"/>
      <c r="P82" s="76"/>
      <c r="Q82" s="76"/>
      <c r="R82" s="76"/>
      <c r="S82" s="76"/>
      <c r="T82" s="76" t="s">
        <v>983</v>
      </c>
      <c r="U82" s="76" t="s">
        <v>984</v>
      </c>
      <c r="V82" s="76"/>
      <c r="W82" s="76"/>
      <c r="X82" s="76"/>
    </row>
    <row r="83" ht="18.0" customHeight="1">
      <c r="A83" s="76"/>
      <c r="B83" s="76"/>
      <c r="C83" s="76"/>
      <c r="D83" s="76"/>
      <c r="E83" s="76"/>
      <c r="F83" s="76"/>
      <c r="G83" s="76"/>
      <c r="H83" s="76" t="s">
        <v>985</v>
      </c>
      <c r="I83" s="76" t="s">
        <v>986</v>
      </c>
      <c r="J83" s="76"/>
      <c r="K83" s="76" t="s">
        <v>987</v>
      </c>
      <c r="L83" s="76" t="s">
        <v>988</v>
      </c>
      <c r="M83" s="76" t="s">
        <v>989</v>
      </c>
      <c r="N83" s="76"/>
      <c r="O83" s="76"/>
      <c r="P83" s="76"/>
      <c r="Q83" s="76"/>
      <c r="R83" s="76"/>
      <c r="S83" s="76"/>
      <c r="T83" s="76" t="s">
        <v>990</v>
      </c>
      <c r="U83" s="76" t="s">
        <v>991</v>
      </c>
      <c r="V83" s="76"/>
      <c r="W83" s="76"/>
      <c r="X83" s="76"/>
    </row>
    <row r="84" ht="18.0" customHeight="1">
      <c r="A84" s="76"/>
      <c r="B84" s="76"/>
      <c r="C84" s="76"/>
      <c r="D84" s="76"/>
      <c r="E84" s="76"/>
      <c r="F84" s="76"/>
      <c r="G84" s="76"/>
      <c r="H84" s="76" t="s">
        <v>992</v>
      </c>
      <c r="I84" s="76" t="s">
        <v>993</v>
      </c>
      <c r="J84" s="76"/>
      <c r="K84" s="76" t="s">
        <v>994</v>
      </c>
      <c r="L84" s="76" t="s">
        <v>995</v>
      </c>
      <c r="M84" s="76" t="s">
        <v>996</v>
      </c>
      <c r="N84" s="76"/>
      <c r="O84" s="76"/>
      <c r="P84" s="76"/>
      <c r="Q84" s="76"/>
      <c r="R84" s="76"/>
      <c r="S84" s="76"/>
      <c r="T84" s="76"/>
      <c r="U84" s="76" t="s">
        <v>997</v>
      </c>
      <c r="V84" s="76"/>
      <c r="W84" s="76"/>
      <c r="X84" s="76"/>
    </row>
    <row r="85" ht="18.0" customHeight="1">
      <c r="A85" s="76"/>
      <c r="B85" s="76"/>
      <c r="C85" s="76"/>
      <c r="D85" s="76"/>
      <c r="E85" s="76"/>
      <c r="F85" s="76"/>
      <c r="G85" s="76"/>
      <c r="H85" s="76" t="s">
        <v>831</v>
      </c>
      <c r="I85" s="76" t="s">
        <v>998</v>
      </c>
      <c r="J85" s="76"/>
      <c r="K85" s="76" t="s">
        <v>999</v>
      </c>
      <c r="L85" s="76" t="s">
        <v>1000</v>
      </c>
      <c r="M85" s="76" t="s">
        <v>1001</v>
      </c>
      <c r="N85" s="76"/>
      <c r="O85" s="76"/>
      <c r="P85" s="76"/>
      <c r="Q85" s="76"/>
      <c r="R85" s="76"/>
      <c r="S85" s="76"/>
      <c r="T85" s="76"/>
      <c r="U85" s="76" t="s">
        <v>1002</v>
      </c>
      <c r="V85" s="76"/>
      <c r="W85" s="76"/>
      <c r="X85" s="76"/>
    </row>
    <row r="86" ht="18.0" customHeight="1">
      <c r="A86" s="76"/>
      <c r="B86" s="76"/>
      <c r="C86" s="76"/>
      <c r="D86" s="76"/>
      <c r="E86" s="76"/>
      <c r="F86" s="76"/>
      <c r="G86" s="76"/>
      <c r="H86" s="76"/>
      <c r="I86" s="76" t="s">
        <v>1003</v>
      </c>
      <c r="J86" s="76"/>
      <c r="K86" s="76" t="s">
        <v>1004</v>
      </c>
      <c r="L86" s="76" t="s">
        <v>1005</v>
      </c>
      <c r="M86" s="76" t="s">
        <v>1006</v>
      </c>
      <c r="N86" s="76"/>
      <c r="O86" s="76"/>
      <c r="P86" s="76"/>
      <c r="Q86" s="76"/>
      <c r="R86" s="76"/>
      <c r="S86" s="76"/>
      <c r="T86" s="76"/>
      <c r="U86" s="76" t="s">
        <v>1007</v>
      </c>
      <c r="V86" s="76"/>
      <c r="W86" s="76"/>
      <c r="X86" s="76"/>
    </row>
    <row r="87" ht="18.0" customHeight="1">
      <c r="A87" s="76"/>
      <c r="B87" s="76"/>
      <c r="C87" s="76"/>
      <c r="D87" s="76"/>
      <c r="E87" s="76"/>
      <c r="F87" s="76"/>
      <c r="G87" s="76"/>
      <c r="H87" s="76"/>
      <c r="I87" s="76" t="s">
        <v>990</v>
      </c>
      <c r="J87" s="76"/>
      <c r="K87" s="76" t="s">
        <v>1008</v>
      </c>
      <c r="L87" s="76" t="s">
        <v>1009</v>
      </c>
      <c r="M87" s="76" t="s">
        <v>1010</v>
      </c>
      <c r="N87" s="76"/>
      <c r="O87" s="76"/>
      <c r="P87" s="76"/>
      <c r="Q87" s="76"/>
      <c r="R87" s="76"/>
      <c r="S87" s="76"/>
      <c r="T87" s="76"/>
      <c r="U87" s="76" t="s">
        <v>1011</v>
      </c>
      <c r="V87" s="76"/>
      <c r="W87" s="76"/>
      <c r="X87" s="76"/>
    </row>
    <row r="88" ht="18.0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 t="s">
        <v>1012</v>
      </c>
      <c r="L88" s="76" t="s">
        <v>1013</v>
      </c>
      <c r="M88" s="76" t="s">
        <v>1014</v>
      </c>
      <c r="N88" s="76"/>
      <c r="O88" s="76"/>
      <c r="P88" s="76"/>
      <c r="Q88" s="76"/>
      <c r="R88" s="76"/>
      <c r="S88" s="76"/>
      <c r="T88" s="76"/>
      <c r="U88" s="76" t="s">
        <v>1015</v>
      </c>
      <c r="V88" s="76"/>
      <c r="W88" s="76"/>
      <c r="X88" s="76"/>
    </row>
    <row r="89" ht="18.0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 t="s">
        <v>1016</v>
      </c>
      <c r="L89" s="76" t="s">
        <v>1017</v>
      </c>
      <c r="M89" s="76" t="s">
        <v>1018</v>
      </c>
      <c r="N89" s="76"/>
      <c r="O89" s="76"/>
      <c r="P89" s="76"/>
      <c r="Q89" s="76"/>
      <c r="R89" s="76"/>
      <c r="S89" s="76"/>
      <c r="T89" s="76"/>
      <c r="U89" s="76" t="s">
        <v>1019</v>
      </c>
      <c r="V89" s="76"/>
      <c r="W89" s="76"/>
      <c r="X89" s="76"/>
    </row>
    <row r="90" ht="18.0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 t="s">
        <v>1020</v>
      </c>
      <c r="L90" s="76" t="s">
        <v>1021</v>
      </c>
      <c r="M90" s="76" t="s">
        <v>1022</v>
      </c>
      <c r="N90" s="76"/>
      <c r="O90" s="76"/>
      <c r="P90" s="76"/>
      <c r="Q90" s="76"/>
      <c r="R90" s="76"/>
      <c r="S90" s="76"/>
      <c r="T90" s="76"/>
      <c r="U90" s="76" t="s">
        <v>1023</v>
      </c>
      <c r="V90" s="76"/>
      <c r="W90" s="76"/>
      <c r="X90" s="76"/>
    </row>
    <row r="91" ht="18.0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 t="s">
        <v>1024</v>
      </c>
      <c r="L91" s="76" t="s">
        <v>1025</v>
      </c>
      <c r="M91" s="76" t="s">
        <v>1026</v>
      </c>
      <c r="N91" s="76"/>
      <c r="O91" s="76"/>
      <c r="P91" s="76"/>
      <c r="Q91" s="76"/>
      <c r="R91" s="76"/>
      <c r="S91" s="76"/>
      <c r="T91" s="76"/>
      <c r="U91" s="76" t="s">
        <v>1027</v>
      </c>
      <c r="V91" s="76"/>
      <c r="W91" s="76"/>
      <c r="X91" s="76"/>
    </row>
    <row r="92" ht="18.0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 t="s">
        <v>1028</v>
      </c>
      <c r="L92" s="76" t="s">
        <v>1029</v>
      </c>
      <c r="M92" s="76" t="s">
        <v>1030</v>
      </c>
      <c r="N92" s="76"/>
      <c r="O92" s="76"/>
      <c r="P92" s="76"/>
      <c r="Q92" s="76"/>
      <c r="R92" s="76"/>
      <c r="S92" s="76"/>
      <c r="T92" s="76"/>
      <c r="U92" s="76" t="s">
        <v>1031</v>
      </c>
      <c r="V92" s="76"/>
      <c r="W92" s="76"/>
      <c r="X92" s="76"/>
    </row>
    <row r="93" ht="18.0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 t="s">
        <v>1032</v>
      </c>
      <c r="L93" s="76" t="s">
        <v>1033</v>
      </c>
      <c r="M93" s="76" t="s">
        <v>1034</v>
      </c>
      <c r="N93" s="76"/>
      <c r="O93" s="76"/>
      <c r="P93" s="76"/>
      <c r="Q93" s="76"/>
      <c r="R93" s="76"/>
      <c r="S93" s="76"/>
      <c r="T93" s="76"/>
      <c r="U93" s="76" t="s">
        <v>1035</v>
      </c>
      <c r="V93" s="76"/>
      <c r="W93" s="76"/>
      <c r="X93" s="76"/>
    </row>
    <row r="94" ht="18.0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 t="s">
        <v>1036</v>
      </c>
      <c r="L94" s="76" t="s">
        <v>1037</v>
      </c>
      <c r="M94" s="76" t="s">
        <v>1038</v>
      </c>
      <c r="N94" s="76"/>
      <c r="O94" s="76"/>
      <c r="P94" s="76"/>
      <c r="Q94" s="76"/>
      <c r="R94" s="76"/>
      <c r="S94" s="76"/>
      <c r="T94" s="76"/>
      <c r="U94" s="76" t="s">
        <v>1039</v>
      </c>
      <c r="V94" s="76"/>
      <c r="W94" s="76"/>
      <c r="X94" s="76"/>
    </row>
    <row r="95" ht="18.0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 t="s">
        <v>1040</v>
      </c>
      <c r="L95" s="76" t="s">
        <v>1041</v>
      </c>
      <c r="M95" s="76" t="s">
        <v>1042</v>
      </c>
      <c r="N95" s="76"/>
      <c r="O95" s="76"/>
      <c r="P95" s="76"/>
      <c r="Q95" s="76"/>
      <c r="R95" s="76"/>
      <c r="S95" s="76"/>
      <c r="T95" s="76"/>
      <c r="U95" s="76" t="s">
        <v>1043</v>
      </c>
      <c r="V95" s="76"/>
      <c r="W95" s="76"/>
      <c r="X95" s="76"/>
    </row>
    <row r="96" ht="18.0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 t="s">
        <v>1044</v>
      </c>
      <c r="L96" s="76" t="s">
        <v>1045</v>
      </c>
      <c r="M96" s="76" t="s">
        <v>1046</v>
      </c>
      <c r="N96" s="76"/>
      <c r="O96" s="76"/>
      <c r="P96" s="76"/>
      <c r="Q96" s="76"/>
      <c r="R96" s="76"/>
      <c r="S96" s="76"/>
      <c r="T96" s="76"/>
      <c r="U96" s="76" t="s">
        <v>1047</v>
      </c>
      <c r="V96" s="76"/>
      <c r="W96" s="76"/>
      <c r="X96" s="76"/>
    </row>
    <row r="97" ht="18.0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 t="s">
        <v>1048</v>
      </c>
      <c r="L97" s="76" t="s">
        <v>1049</v>
      </c>
      <c r="M97" s="76" t="s">
        <v>1050</v>
      </c>
      <c r="N97" s="76"/>
      <c r="O97" s="76"/>
      <c r="P97" s="76"/>
      <c r="Q97" s="76"/>
      <c r="R97" s="76"/>
      <c r="S97" s="76"/>
      <c r="T97" s="76"/>
      <c r="U97" s="76" t="s">
        <v>1051</v>
      </c>
      <c r="V97" s="76"/>
      <c r="W97" s="76"/>
      <c r="X97" s="76"/>
    </row>
    <row r="98" ht="18.0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 t="s">
        <v>1052</v>
      </c>
      <c r="L98" s="76" t="s">
        <v>1053</v>
      </c>
      <c r="M98" s="76" t="s">
        <v>1054</v>
      </c>
      <c r="N98" s="76"/>
      <c r="O98" s="76"/>
      <c r="P98" s="76"/>
      <c r="Q98" s="76"/>
      <c r="R98" s="76"/>
      <c r="S98" s="76"/>
      <c r="T98" s="76"/>
      <c r="U98" s="76" t="s">
        <v>1055</v>
      </c>
      <c r="V98" s="76"/>
      <c r="W98" s="76"/>
      <c r="X98" s="76"/>
    </row>
    <row r="99" ht="18.0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 t="s">
        <v>1056</v>
      </c>
      <c r="L99" s="76" t="s">
        <v>1057</v>
      </c>
      <c r="M99" s="76" t="s">
        <v>1058</v>
      </c>
      <c r="N99" s="76"/>
      <c r="O99" s="76"/>
      <c r="P99" s="76"/>
      <c r="Q99" s="76"/>
      <c r="R99" s="76"/>
      <c r="S99" s="76"/>
      <c r="T99" s="76"/>
      <c r="U99" s="76" t="s">
        <v>1059</v>
      </c>
      <c r="V99" s="76"/>
      <c r="W99" s="76"/>
      <c r="X99" s="76"/>
    </row>
    <row r="100" ht="18.0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 t="s">
        <v>1060</v>
      </c>
      <c r="L100" s="76" t="s">
        <v>1061</v>
      </c>
      <c r="M100" s="76" t="s">
        <v>1062</v>
      </c>
      <c r="N100" s="76"/>
      <c r="O100" s="76"/>
      <c r="P100" s="76"/>
      <c r="Q100" s="76"/>
      <c r="R100" s="76"/>
      <c r="S100" s="76"/>
      <c r="T100" s="76"/>
      <c r="U100" s="76" t="s">
        <v>1063</v>
      </c>
      <c r="V100" s="76"/>
      <c r="W100" s="76"/>
      <c r="X100" s="76"/>
    </row>
    <row r="101" ht="18.0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 t="s">
        <v>1064</v>
      </c>
      <c r="L101" s="76" t="s">
        <v>1065</v>
      </c>
      <c r="M101" s="76" t="s">
        <v>1066</v>
      </c>
      <c r="N101" s="76"/>
      <c r="O101" s="76"/>
      <c r="P101" s="76"/>
      <c r="Q101" s="76"/>
      <c r="R101" s="76"/>
      <c r="S101" s="76"/>
      <c r="T101" s="76"/>
      <c r="U101" s="76" t="s">
        <v>1067</v>
      </c>
      <c r="V101" s="76"/>
      <c r="W101" s="76"/>
      <c r="X101" s="76"/>
    </row>
    <row r="102" ht="18.0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 t="s">
        <v>1068</v>
      </c>
      <c r="L102" s="76" t="s">
        <v>1069</v>
      </c>
      <c r="M102" s="76" t="s">
        <v>1070</v>
      </c>
      <c r="N102" s="76"/>
      <c r="O102" s="76"/>
      <c r="P102" s="76"/>
      <c r="Q102" s="76"/>
      <c r="R102" s="76"/>
      <c r="S102" s="76"/>
      <c r="T102" s="76"/>
      <c r="U102" s="76" t="s">
        <v>1071</v>
      </c>
      <c r="V102" s="76"/>
      <c r="W102" s="76"/>
      <c r="X102" s="76"/>
    </row>
    <row r="103" ht="18.0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 t="s">
        <v>1072</v>
      </c>
      <c r="L103" s="76" t="s">
        <v>1073</v>
      </c>
      <c r="M103" s="76" t="s">
        <v>1074</v>
      </c>
      <c r="N103" s="76"/>
      <c r="O103" s="76"/>
      <c r="P103" s="76"/>
      <c r="Q103" s="76"/>
      <c r="R103" s="76"/>
      <c r="S103" s="76"/>
      <c r="T103" s="76"/>
      <c r="U103" s="76" t="s">
        <v>1075</v>
      </c>
      <c r="V103" s="76"/>
      <c r="W103" s="76"/>
      <c r="X103" s="76"/>
    </row>
    <row r="104" ht="18.0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 t="s">
        <v>1076</v>
      </c>
      <c r="L104" s="76" t="s">
        <v>1077</v>
      </c>
      <c r="M104" s="76" t="s">
        <v>1078</v>
      </c>
      <c r="N104" s="76"/>
      <c r="O104" s="76"/>
      <c r="P104" s="76"/>
      <c r="Q104" s="76"/>
      <c r="R104" s="76"/>
      <c r="S104" s="76"/>
      <c r="T104" s="76"/>
      <c r="U104" s="76" t="s">
        <v>1079</v>
      </c>
      <c r="V104" s="76"/>
      <c r="W104" s="76"/>
      <c r="X104" s="76"/>
    </row>
    <row r="105" ht="18.0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 t="s">
        <v>1080</v>
      </c>
      <c r="L105" s="76" t="s">
        <v>1081</v>
      </c>
      <c r="M105" s="76" t="s">
        <v>1082</v>
      </c>
      <c r="N105" s="76"/>
      <c r="O105" s="76"/>
      <c r="P105" s="76"/>
      <c r="Q105" s="76"/>
      <c r="R105" s="76"/>
      <c r="S105" s="76"/>
      <c r="T105" s="76"/>
      <c r="U105" s="76" t="s">
        <v>1083</v>
      </c>
      <c r="V105" s="76"/>
      <c r="W105" s="76"/>
      <c r="X105" s="76"/>
    </row>
    <row r="106" ht="18.0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 t="s">
        <v>1084</v>
      </c>
      <c r="L106" s="76" t="s">
        <v>1085</v>
      </c>
      <c r="M106" s="76" t="s">
        <v>1086</v>
      </c>
      <c r="N106" s="76"/>
      <c r="O106" s="76"/>
      <c r="P106" s="76"/>
      <c r="Q106" s="76"/>
      <c r="R106" s="76"/>
      <c r="S106" s="76"/>
      <c r="T106" s="76"/>
      <c r="U106" s="76" t="s">
        <v>1087</v>
      </c>
      <c r="V106" s="76"/>
      <c r="W106" s="76"/>
      <c r="X106" s="76"/>
    </row>
    <row r="107" ht="18.0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 t="s">
        <v>1088</v>
      </c>
      <c r="L107" s="76" t="s">
        <v>1089</v>
      </c>
      <c r="M107" s="76" t="s">
        <v>1090</v>
      </c>
      <c r="N107" s="76"/>
      <c r="O107" s="76"/>
      <c r="P107" s="76"/>
      <c r="Q107" s="76"/>
      <c r="R107" s="76"/>
      <c r="S107" s="76"/>
      <c r="T107" s="76"/>
      <c r="U107" s="76" t="s">
        <v>1091</v>
      </c>
      <c r="V107" s="76"/>
      <c r="W107" s="76"/>
      <c r="X107" s="76"/>
    </row>
    <row r="108" ht="18.0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 t="s">
        <v>1092</v>
      </c>
      <c r="L108" s="76" t="s">
        <v>1093</v>
      </c>
      <c r="M108" s="76" t="s">
        <v>1094</v>
      </c>
      <c r="N108" s="76"/>
      <c r="O108" s="76"/>
      <c r="P108" s="76"/>
      <c r="Q108" s="76"/>
      <c r="R108" s="76"/>
      <c r="S108" s="76"/>
      <c r="T108" s="76"/>
      <c r="U108" s="76" t="s">
        <v>1095</v>
      </c>
      <c r="V108" s="76"/>
      <c r="W108" s="76"/>
      <c r="X108" s="76"/>
    </row>
    <row r="109" ht="18.0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 t="s">
        <v>1096</v>
      </c>
      <c r="L109" s="76" t="s">
        <v>1097</v>
      </c>
      <c r="M109" s="76" t="s">
        <v>1098</v>
      </c>
      <c r="N109" s="76"/>
      <c r="O109" s="76"/>
      <c r="P109" s="76"/>
      <c r="Q109" s="76"/>
      <c r="R109" s="76"/>
      <c r="S109" s="76"/>
      <c r="T109" s="76"/>
      <c r="U109" s="76" t="s">
        <v>1099</v>
      </c>
      <c r="V109" s="76"/>
      <c r="W109" s="76"/>
      <c r="X109" s="76"/>
    </row>
    <row r="110" ht="18.0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 t="s">
        <v>1100</v>
      </c>
      <c r="L110" s="76" t="s">
        <v>1101</v>
      </c>
      <c r="M110" s="76" t="s">
        <v>1102</v>
      </c>
      <c r="N110" s="76"/>
      <c r="O110" s="76"/>
      <c r="P110" s="76"/>
      <c r="Q110" s="76"/>
      <c r="R110" s="76"/>
      <c r="S110" s="76"/>
      <c r="T110" s="76"/>
      <c r="U110" s="76" t="s">
        <v>1103</v>
      </c>
      <c r="V110" s="76"/>
      <c r="W110" s="76"/>
      <c r="X110" s="76"/>
    </row>
    <row r="111" ht="18.0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 t="s">
        <v>1104</v>
      </c>
      <c r="L111" s="76" t="s">
        <v>1105</v>
      </c>
      <c r="M111" s="76" t="s">
        <v>1106</v>
      </c>
      <c r="N111" s="76"/>
      <c r="O111" s="76"/>
      <c r="P111" s="76"/>
      <c r="Q111" s="76"/>
      <c r="R111" s="76"/>
      <c r="S111" s="76"/>
      <c r="T111" s="76"/>
      <c r="U111" s="76" t="s">
        <v>1107</v>
      </c>
      <c r="V111" s="76"/>
      <c r="W111" s="76"/>
      <c r="X111" s="76"/>
    </row>
    <row r="112" ht="18.0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 t="s">
        <v>1108</v>
      </c>
      <c r="L112" s="76" t="s">
        <v>1109</v>
      </c>
      <c r="M112" s="76" t="s">
        <v>1110</v>
      </c>
      <c r="N112" s="76"/>
      <c r="O112" s="76"/>
      <c r="P112" s="76"/>
      <c r="Q112" s="76"/>
      <c r="R112" s="76"/>
      <c r="S112" s="76"/>
      <c r="T112" s="76"/>
      <c r="U112" s="76" t="s">
        <v>1111</v>
      </c>
      <c r="V112" s="76"/>
      <c r="W112" s="76"/>
      <c r="X112" s="76"/>
    </row>
    <row r="113" ht="18.0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 t="s">
        <v>1112</v>
      </c>
      <c r="L113" s="76" t="s">
        <v>1113</v>
      </c>
      <c r="M113" s="76" t="s">
        <v>1114</v>
      </c>
      <c r="N113" s="76"/>
      <c r="O113" s="76"/>
      <c r="P113" s="76"/>
      <c r="Q113" s="76"/>
      <c r="R113" s="76"/>
      <c r="S113" s="76"/>
      <c r="T113" s="76"/>
      <c r="U113" s="76" t="s">
        <v>1115</v>
      </c>
      <c r="V113" s="76"/>
      <c r="W113" s="76"/>
      <c r="X113" s="76"/>
    </row>
    <row r="114" ht="18.0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 t="s">
        <v>1116</v>
      </c>
      <c r="L114" s="76" t="s">
        <v>1117</v>
      </c>
      <c r="M114" s="76" t="s">
        <v>1118</v>
      </c>
      <c r="N114" s="76"/>
      <c r="O114" s="76"/>
      <c r="P114" s="76"/>
      <c r="Q114" s="76"/>
      <c r="R114" s="76"/>
      <c r="S114" s="76"/>
      <c r="T114" s="76"/>
      <c r="U114" s="76" t="s">
        <v>1119</v>
      </c>
      <c r="V114" s="76"/>
      <c r="W114" s="76"/>
      <c r="X114" s="76"/>
    </row>
    <row r="115" ht="18.0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 t="s">
        <v>1120</v>
      </c>
      <c r="L115" s="76" t="s">
        <v>1121</v>
      </c>
      <c r="M115" s="76" t="s">
        <v>1122</v>
      </c>
      <c r="N115" s="76"/>
      <c r="O115" s="76"/>
      <c r="P115" s="76"/>
      <c r="Q115" s="76"/>
      <c r="R115" s="76"/>
      <c r="S115" s="76"/>
      <c r="T115" s="76"/>
      <c r="U115" s="76" t="s">
        <v>1123</v>
      </c>
      <c r="V115" s="76"/>
      <c r="W115" s="76"/>
      <c r="X115" s="76"/>
    </row>
    <row r="116" ht="18.0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 t="s">
        <v>1124</v>
      </c>
      <c r="L116" s="76" t="s">
        <v>1125</v>
      </c>
      <c r="M116" s="76" t="s">
        <v>1126</v>
      </c>
      <c r="N116" s="76"/>
      <c r="O116" s="76"/>
      <c r="P116" s="76"/>
      <c r="Q116" s="76"/>
      <c r="R116" s="76"/>
      <c r="S116" s="76"/>
      <c r="T116" s="76"/>
      <c r="U116" s="76" t="s">
        <v>1127</v>
      </c>
      <c r="V116" s="76"/>
      <c r="W116" s="76"/>
      <c r="X116" s="76"/>
    </row>
    <row r="117" ht="18.0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 t="s">
        <v>1128</v>
      </c>
      <c r="L117" s="76" t="s">
        <v>1129</v>
      </c>
      <c r="M117" s="76" t="s">
        <v>1130</v>
      </c>
      <c r="N117" s="76"/>
      <c r="O117" s="76"/>
      <c r="P117" s="76"/>
      <c r="Q117" s="76"/>
      <c r="R117" s="76"/>
      <c r="S117" s="76"/>
      <c r="T117" s="76"/>
      <c r="U117" s="76" t="s">
        <v>1131</v>
      </c>
      <c r="V117" s="76"/>
      <c r="W117" s="76"/>
      <c r="X117" s="76"/>
    </row>
    <row r="118" ht="18.0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 t="s">
        <v>1132</v>
      </c>
      <c r="L118" s="76" t="s">
        <v>1133</v>
      </c>
      <c r="M118" s="76" t="s">
        <v>1134</v>
      </c>
      <c r="N118" s="76"/>
      <c r="O118" s="76"/>
      <c r="P118" s="76"/>
      <c r="Q118" s="76"/>
      <c r="R118" s="76"/>
      <c r="S118" s="76"/>
      <c r="T118" s="76"/>
      <c r="U118" s="76" t="s">
        <v>1135</v>
      </c>
      <c r="V118" s="76"/>
      <c r="W118" s="76"/>
      <c r="X118" s="76"/>
    </row>
    <row r="119" ht="18.0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 t="s">
        <v>1136</v>
      </c>
      <c r="L119" s="76" t="s">
        <v>1137</v>
      </c>
      <c r="M119" s="76" t="s">
        <v>1138</v>
      </c>
      <c r="N119" s="76"/>
      <c r="O119" s="76"/>
      <c r="P119" s="76"/>
      <c r="Q119" s="76"/>
      <c r="R119" s="76"/>
      <c r="S119" s="76"/>
      <c r="T119" s="76"/>
      <c r="U119" s="76" t="s">
        <v>1139</v>
      </c>
      <c r="V119" s="76"/>
      <c r="W119" s="76"/>
      <c r="X119" s="76"/>
    </row>
    <row r="120" ht="18.0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 t="s">
        <v>1140</v>
      </c>
      <c r="L120" s="76" t="s">
        <v>1141</v>
      </c>
      <c r="M120" s="76" t="s">
        <v>1142</v>
      </c>
      <c r="N120" s="76"/>
      <c r="O120" s="76"/>
      <c r="P120" s="76"/>
      <c r="Q120" s="76"/>
      <c r="R120" s="76"/>
      <c r="S120" s="76"/>
      <c r="T120" s="76"/>
      <c r="U120" s="76" t="s">
        <v>1143</v>
      </c>
      <c r="V120" s="76"/>
      <c r="W120" s="76"/>
      <c r="X120" s="76"/>
    </row>
    <row r="121" ht="18.0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 t="s">
        <v>1144</v>
      </c>
      <c r="L121" s="76" t="s">
        <v>1145</v>
      </c>
      <c r="M121" s="76" t="s">
        <v>1146</v>
      </c>
      <c r="N121" s="76"/>
      <c r="O121" s="76"/>
      <c r="P121" s="76"/>
      <c r="Q121" s="76"/>
      <c r="R121" s="76"/>
      <c r="S121" s="76"/>
      <c r="T121" s="76"/>
      <c r="U121" s="76" t="s">
        <v>1147</v>
      </c>
      <c r="V121" s="76"/>
      <c r="W121" s="76"/>
      <c r="X121" s="76"/>
    </row>
    <row r="122" ht="18.0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 t="s">
        <v>1148</v>
      </c>
      <c r="L122" s="76" t="s">
        <v>1149</v>
      </c>
      <c r="M122" s="76" t="s">
        <v>1150</v>
      </c>
      <c r="N122" s="76"/>
      <c r="O122" s="76"/>
      <c r="P122" s="76"/>
      <c r="Q122" s="76"/>
      <c r="R122" s="76"/>
      <c r="S122" s="76"/>
      <c r="T122" s="76"/>
      <c r="U122" s="76" t="s">
        <v>1151</v>
      </c>
      <c r="V122" s="76"/>
      <c r="W122" s="76"/>
      <c r="X122" s="76"/>
    </row>
    <row r="123" ht="18.0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 t="s">
        <v>1152</v>
      </c>
      <c r="L123" s="76" t="s">
        <v>1153</v>
      </c>
      <c r="M123" s="76" t="s">
        <v>1154</v>
      </c>
      <c r="N123" s="76"/>
      <c r="O123" s="76"/>
      <c r="P123" s="76"/>
      <c r="Q123" s="76"/>
      <c r="R123" s="76"/>
      <c r="S123" s="76"/>
      <c r="T123" s="76"/>
      <c r="U123" s="76" t="s">
        <v>1155</v>
      </c>
      <c r="V123" s="76"/>
      <c r="W123" s="76"/>
      <c r="X123" s="76"/>
    </row>
    <row r="124" ht="18.0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 t="s">
        <v>1156</v>
      </c>
      <c r="L124" s="76" t="s">
        <v>1157</v>
      </c>
      <c r="M124" s="76" t="s">
        <v>1158</v>
      </c>
      <c r="N124" s="76"/>
      <c r="O124" s="76"/>
      <c r="P124" s="76"/>
      <c r="Q124" s="76"/>
      <c r="R124" s="76"/>
      <c r="S124" s="76"/>
      <c r="T124" s="76"/>
      <c r="U124" s="76" t="s">
        <v>1159</v>
      </c>
      <c r="V124" s="76"/>
      <c r="W124" s="76"/>
      <c r="X124" s="76"/>
    </row>
    <row r="125" ht="18.0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 t="s">
        <v>1160</v>
      </c>
      <c r="L125" s="76" t="s">
        <v>1162</v>
      </c>
      <c r="M125" s="76" t="s">
        <v>1163</v>
      </c>
      <c r="N125" s="76"/>
      <c r="O125" s="76"/>
      <c r="P125" s="76"/>
      <c r="Q125" s="76"/>
      <c r="R125" s="76"/>
      <c r="S125" s="76"/>
      <c r="T125" s="76"/>
      <c r="U125" s="76" t="s">
        <v>1164</v>
      </c>
      <c r="V125" s="76"/>
      <c r="W125" s="76"/>
      <c r="X125" s="76"/>
    </row>
    <row r="126" ht="18.0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 t="s">
        <v>1165</v>
      </c>
      <c r="L126" s="76" t="s">
        <v>1166</v>
      </c>
      <c r="M126" s="76" t="s">
        <v>1167</v>
      </c>
      <c r="N126" s="76"/>
      <c r="O126" s="76"/>
      <c r="P126" s="76"/>
      <c r="Q126" s="76"/>
      <c r="R126" s="76"/>
      <c r="S126" s="76"/>
      <c r="T126" s="76"/>
      <c r="U126" s="76" t="s">
        <v>1168</v>
      </c>
      <c r="V126" s="76"/>
      <c r="W126" s="76"/>
      <c r="X126" s="76"/>
    </row>
    <row r="127" ht="18.0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 t="s">
        <v>1170</v>
      </c>
      <c r="L127" s="76" t="s">
        <v>1171</v>
      </c>
      <c r="M127" s="76" t="s">
        <v>1173</v>
      </c>
      <c r="N127" s="76"/>
      <c r="O127" s="76"/>
      <c r="P127" s="76"/>
      <c r="Q127" s="76"/>
      <c r="R127" s="76"/>
      <c r="S127" s="76"/>
      <c r="T127" s="76"/>
      <c r="U127" s="76" t="s">
        <v>1174</v>
      </c>
      <c r="V127" s="76"/>
      <c r="W127" s="76"/>
      <c r="X127" s="76"/>
    </row>
    <row r="128" ht="18.0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 t="s">
        <v>1175</v>
      </c>
      <c r="L128" s="76" t="s">
        <v>1177</v>
      </c>
      <c r="M128" s="76" t="s">
        <v>1178</v>
      </c>
      <c r="N128" s="76"/>
      <c r="O128" s="76"/>
      <c r="P128" s="76"/>
      <c r="Q128" s="76"/>
      <c r="R128" s="76"/>
      <c r="S128" s="76"/>
      <c r="T128" s="76"/>
      <c r="U128" s="76" t="s">
        <v>1179</v>
      </c>
      <c r="V128" s="76"/>
      <c r="W128" s="76"/>
      <c r="X128" s="76"/>
    </row>
    <row r="129" ht="18.0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 t="s">
        <v>1180</v>
      </c>
      <c r="L129" s="76" t="s">
        <v>1181</v>
      </c>
      <c r="M129" s="76" t="s">
        <v>1182</v>
      </c>
      <c r="N129" s="76"/>
      <c r="O129" s="76"/>
      <c r="P129" s="76"/>
      <c r="Q129" s="76"/>
      <c r="R129" s="76"/>
      <c r="S129" s="76"/>
      <c r="T129" s="76"/>
      <c r="U129" s="76" t="s">
        <v>1183</v>
      </c>
      <c r="V129" s="76"/>
      <c r="W129" s="76"/>
      <c r="X129" s="76"/>
    </row>
    <row r="130" ht="18.0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 t="s">
        <v>1184</v>
      </c>
      <c r="L130" s="76" t="s">
        <v>1185</v>
      </c>
      <c r="M130" s="76" t="s">
        <v>1186</v>
      </c>
      <c r="N130" s="76"/>
      <c r="O130" s="76"/>
      <c r="P130" s="76"/>
      <c r="Q130" s="76"/>
      <c r="R130" s="76"/>
      <c r="S130" s="76"/>
      <c r="T130" s="76"/>
      <c r="U130" s="76" t="s">
        <v>1187</v>
      </c>
      <c r="V130" s="76"/>
      <c r="W130" s="76"/>
      <c r="X130" s="76"/>
    </row>
    <row r="131" ht="18.0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 t="s">
        <v>1188</v>
      </c>
      <c r="L131" s="76" t="s">
        <v>1189</v>
      </c>
      <c r="M131" s="76" t="s">
        <v>1190</v>
      </c>
      <c r="N131" s="76"/>
      <c r="O131" s="76"/>
      <c r="P131" s="76"/>
      <c r="Q131" s="76"/>
      <c r="R131" s="76"/>
      <c r="S131" s="76"/>
      <c r="T131" s="76"/>
      <c r="U131" s="76" t="s">
        <v>1191</v>
      </c>
      <c r="V131" s="76"/>
      <c r="W131" s="76"/>
      <c r="X131" s="76"/>
    </row>
    <row r="132" ht="18.0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 t="s">
        <v>1192</v>
      </c>
      <c r="L132" s="76" t="s">
        <v>1193</v>
      </c>
      <c r="M132" s="76" t="s">
        <v>1194</v>
      </c>
      <c r="N132" s="76"/>
      <c r="O132" s="76"/>
      <c r="P132" s="76"/>
      <c r="Q132" s="76"/>
      <c r="R132" s="76"/>
      <c r="S132" s="76"/>
      <c r="T132" s="76"/>
      <c r="U132" s="76" t="s">
        <v>1195</v>
      </c>
      <c r="V132" s="76"/>
      <c r="W132" s="76"/>
      <c r="X132" s="76"/>
    </row>
    <row r="133" ht="18.0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 t="s">
        <v>1196</v>
      </c>
      <c r="L133" s="76" t="s">
        <v>1197</v>
      </c>
      <c r="M133" s="76" t="s">
        <v>1198</v>
      </c>
      <c r="N133" s="76"/>
      <c r="O133" s="76"/>
      <c r="P133" s="76"/>
      <c r="Q133" s="76"/>
      <c r="R133" s="76"/>
      <c r="S133" s="76"/>
      <c r="T133" s="76"/>
      <c r="U133" s="76" t="s">
        <v>1199</v>
      </c>
      <c r="V133" s="76"/>
      <c r="W133" s="76"/>
      <c r="X133" s="76"/>
    </row>
    <row r="134" ht="18.0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 t="s">
        <v>1201</v>
      </c>
      <c r="L134" s="76" t="s">
        <v>1202</v>
      </c>
      <c r="M134" s="76" t="s">
        <v>1203</v>
      </c>
      <c r="N134" s="76"/>
      <c r="O134" s="76"/>
      <c r="P134" s="76"/>
      <c r="Q134" s="76"/>
      <c r="R134" s="76"/>
      <c r="S134" s="76"/>
      <c r="T134" s="76"/>
      <c r="U134" s="76" t="s">
        <v>1205</v>
      </c>
      <c r="V134" s="76"/>
      <c r="W134" s="76"/>
      <c r="X134" s="76"/>
    </row>
    <row r="135" ht="18.0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 t="s">
        <v>1209</v>
      </c>
      <c r="L135" s="76" t="s">
        <v>1210</v>
      </c>
      <c r="M135" s="76" t="s">
        <v>1212</v>
      </c>
      <c r="N135" s="76"/>
      <c r="O135" s="76"/>
      <c r="P135" s="76"/>
      <c r="Q135" s="76"/>
      <c r="R135" s="76"/>
      <c r="S135" s="76"/>
      <c r="T135" s="76"/>
      <c r="U135" s="76" t="s">
        <v>1216</v>
      </c>
      <c r="V135" s="76"/>
      <c r="W135" s="76"/>
      <c r="X135" s="76"/>
    </row>
    <row r="136" ht="18.0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 t="s">
        <v>1218</v>
      </c>
      <c r="L136" s="76" t="s">
        <v>1219</v>
      </c>
      <c r="M136" s="76" t="s">
        <v>1220</v>
      </c>
      <c r="N136" s="76"/>
      <c r="O136" s="76"/>
      <c r="P136" s="76"/>
      <c r="Q136" s="76"/>
      <c r="R136" s="76"/>
      <c r="S136" s="76"/>
      <c r="T136" s="76"/>
      <c r="U136" s="76" t="s">
        <v>1221</v>
      </c>
      <c r="V136" s="76"/>
      <c r="W136" s="76"/>
      <c r="X136" s="76"/>
    </row>
    <row r="137" ht="18.0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 t="s">
        <v>1222</v>
      </c>
      <c r="L137" s="76" t="s">
        <v>1223</v>
      </c>
      <c r="M137" s="76" t="s">
        <v>1224</v>
      </c>
      <c r="N137" s="76"/>
      <c r="O137" s="76"/>
      <c r="P137" s="76"/>
      <c r="Q137" s="76"/>
      <c r="R137" s="76"/>
      <c r="S137" s="76"/>
      <c r="T137" s="76"/>
      <c r="U137" s="76" t="s">
        <v>1225</v>
      </c>
      <c r="V137" s="76"/>
      <c r="W137" s="76"/>
      <c r="X137" s="76"/>
    </row>
    <row r="138" ht="18.0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 t="s">
        <v>1226</v>
      </c>
      <c r="L138" s="76" t="s">
        <v>1227</v>
      </c>
      <c r="M138" s="76" t="s">
        <v>1228</v>
      </c>
      <c r="N138" s="76"/>
      <c r="O138" s="76"/>
      <c r="P138" s="76"/>
      <c r="Q138" s="76"/>
      <c r="R138" s="76"/>
      <c r="S138" s="76"/>
      <c r="T138" s="76"/>
      <c r="U138" s="76" t="s">
        <v>1229</v>
      </c>
      <c r="V138" s="76"/>
      <c r="W138" s="76"/>
      <c r="X138" s="76"/>
    </row>
    <row r="139" ht="18.0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 t="s">
        <v>1230</v>
      </c>
      <c r="L139" s="76" t="s">
        <v>1231</v>
      </c>
      <c r="M139" s="76" t="s">
        <v>1232</v>
      </c>
      <c r="N139" s="76"/>
      <c r="O139" s="76"/>
      <c r="P139" s="76"/>
      <c r="Q139" s="76"/>
      <c r="R139" s="76"/>
      <c r="S139" s="76"/>
      <c r="T139" s="76"/>
      <c r="U139" s="76" t="s">
        <v>1233</v>
      </c>
      <c r="V139" s="76"/>
      <c r="W139" s="76"/>
      <c r="X139" s="76"/>
    </row>
    <row r="140" ht="18.0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 t="s">
        <v>1234</v>
      </c>
      <c r="L140" s="76" t="s">
        <v>1235</v>
      </c>
      <c r="M140" s="76" t="s">
        <v>1236</v>
      </c>
      <c r="N140" s="76"/>
      <c r="O140" s="76"/>
      <c r="P140" s="76"/>
      <c r="Q140" s="76"/>
      <c r="R140" s="76"/>
      <c r="S140" s="76"/>
      <c r="T140" s="76"/>
      <c r="U140" s="76" t="s">
        <v>1237</v>
      </c>
      <c r="V140" s="76"/>
      <c r="W140" s="76"/>
      <c r="X140" s="76"/>
    </row>
    <row r="141" ht="18.0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 t="s">
        <v>1238</v>
      </c>
      <c r="L141" s="76" t="s">
        <v>1239</v>
      </c>
      <c r="M141" s="76" t="s">
        <v>1240</v>
      </c>
      <c r="N141" s="76"/>
      <c r="O141" s="76"/>
      <c r="P141" s="76"/>
      <c r="Q141" s="76"/>
      <c r="R141" s="76"/>
      <c r="S141" s="76"/>
      <c r="T141" s="76"/>
      <c r="U141" s="76" t="s">
        <v>1241</v>
      </c>
      <c r="V141" s="76"/>
      <c r="W141" s="76"/>
      <c r="X141" s="76"/>
    </row>
    <row r="142" ht="18.0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 t="s">
        <v>1242</v>
      </c>
      <c r="L142" s="76" t="s">
        <v>1243</v>
      </c>
      <c r="M142" s="76" t="s">
        <v>1244</v>
      </c>
      <c r="N142" s="76"/>
      <c r="O142" s="76"/>
      <c r="P142" s="76"/>
      <c r="Q142" s="76"/>
      <c r="R142" s="76"/>
      <c r="S142" s="76"/>
      <c r="T142" s="76"/>
      <c r="U142" s="76" t="s">
        <v>1245</v>
      </c>
      <c r="V142" s="76"/>
      <c r="W142" s="76"/>
      <c r="X142" s="76"/>
    </row>
    <row r="143" ht="18.0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 t="s">
        <v>1246</v>
      </c>
      <c r="L143" s="76" t="s">
        <v>1247</v>
      </c>
      <c r="M143" s="76" t="s">
        <v>1248</v>
      </c>
      <c r="N143" s="76"/>
      <c r="O143" s="76"/>
      <c r="P143" s="76"/>
      <c r="Q143" s="76"/>
      <c r="R143" s="76"/>
      <c r="S143" s="76"/>
      <c r="T143" s="76"/>
      <c r="U143" s="76" t="s">
        <v>1249</v>
      </c>
      <c r="V143" s="76"/>
      <c r="W143" s="76"/>
      <c r="X143" s="76"/>
    </row>
    <row r="144" ht="18.0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 t="s">
        <v>1250</v>
      </c>
      <c r="L144" s="76" t="s">
        <v>1251</v>
      </c>
      <c r="M144" s="76" t="s">
        <v>1252</v>
      </c>
      <c r="N144" s="76"/>
      <c r="O144" s="76"/>
      <c r="P144" s="76"/>
      <c r="Q144" s="76"/>
      <c r="R144" s="76"/>
      <c r="S144" s="76"/>
      <c r="T144" s="76"/>
      <c r="U144" s="76" t="s">
        <v>1253</v>
      </c>
      <c r="V144" s="76"/>
      <c r="W144" s="76"/>
      <c r="X144" s="76"/>
    </row>
    <row r="145" ht="18.0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 t="s">
        <v>1254</v>
      </c>
      <c r="L145" s="76" t="s">
        <v>1255</v>
      </c>
      <c r="M145" s="76" t="s">
        <v>1256</v>
      </c>
      <c r="N145" s="76"/>
      <c r="O145" s="76"/>
      <c r="P145" s="76"/>
      <c r="Q145" s="76"/>
      <c r="R145" s="76"/>
      <c r="S145" s="76"/>
      <c r="T145" s="76"/>
      <c r="U145" s="76" t="s">
        <v>1257</v>
      </c>
      <c r="V145" s="76"/>
      <c r="W145" s="76"/>
      <c r="X145" s="76"/>
    </row>
    <row r="146" ht="18.0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 t="s">
        <v>1258</v>
      </c>
      <c r="L146" s="76" t="s">
        <v>1259</v>
      </c>
      <c r="M146" s="76" t="s">
        <v>1260</v>
      </c>
      <c r="N146" s="76"/>
      <c r="O146" s="76"/>
      <c r="P146" s="76"/>
      <c r="Q146" s="76"/>
      <c r="R146" s="76"/>
      <c r="S146" s="76"/>
      <c r="T146" s="76"/>
      <c r="U146" s="76" t="s">
        <v>1261</v>
      </c>
      <c r="V146" s="76"/>
      <c r="W146" s="76"/>
      <c r="X146" s="76"/>
    </row>
    <row r="147" ht="18.0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 t="s">
        <v>1262</v>
      </c>
      <c r="L147" s="76" t="s">
        <v>1263</v>
      </c>
      <c r="M147" s="76" t="s">
        <v>1264</v>
      </c>
      <c r="N147" s="76"/>
      <c r="O147" s="76"/>
      <c r="P147" s="76"/>
      <c r="Q147" s="76"/>
      <c r="R147" s="76"/>
      <c r="S147" s="76"/>
      <c r="T147" s="76"/>
      <c r="U147" s="76" t="s">
        <v>1265</v>
      </c>
      <c r="V147" s="76"/>
      <c r="W147" s="76"/>
      <c r="X147" s="76"/>
    </row>
    <row r="148" ht="18.0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 t="s">
        <v>1266</v>
      </c>
      <c r="L148" s="76" t="s">
        <v>1267</v>
      </c>
      <c r="M148" s="76" t="s">
        <v>1268</v>
      </c>
      <c r="N148" s="76"/>
      <c r="O148" s="76"/>
      <c r="P148" s="76"/>
      <c r="Q148" s="76"/>
      <c r="R148" s="76"/>
      <c r="S148" s="76"/>
      <c r="T148" s="76"/>
      <c r="U148" s="76" t="s">
        <v>1269</v>
      </c>
      <c r="V148" s="76"/>
      <c r="W148" s="76"/>
      <c r="X148" s="76"/>
    </row>
    <row r="149" ht="18.0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 t="s">
        <v>1270</v>
      </c>
      <c r="L149" s="76" t="s">
        <v>1271</v>
      </c>
      <c r="M149" s="76" t="s">
        <v>1272</v>
      </c>
      <c r="N149" s="76"/>
      <c r="O149" s="76"/>
      <c r="P149" s="76"/>
      <c r="Q149" s="76"/>
      <c r="R149" s="76"/>
      <c r="S149" s="76"/>
      <c r="T149" s="76"/>
      <c r="U149" s="76" t="s">
        <v>1273</v>
      </c>
      <c r="V149" s="76"/>
      <c r="W149" s="76"/>
      <c r="X149" s="76"/>
    </row>
    <row r="150" ht="18.0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 t="s">
        <v>1274</v>
      </c>
      <c r="L150" s="76" t="s">
        <v>1275</v>
      </c>
      <c r="M150" s="76" t="s">
        <v>1276</v>
      </c>
      <c r="N150" s="76"/>
      <c r="O150" s="76"/>
      <c r="P150" s="76"/>
      <c r="Q150" s="76"/>
      <c r="R150" s="76"/>
      <c r="S150" s="76"/>
      <c r="T150" s="76"/>
      <c r="U150" s="76" t="s">
        <v>1277</v>
      </c>
      <c r="V150" s="76"/>
      <c r="W150" s="76"/>
      <c r="X150" s="76"/>
    </row>
    <row r="151" ht="18.0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 t="s">
        <v>1278</v>
      </c>
      <c r="L151" s="76" t="s">
        <v>1279</v>
      </c>
      <c r="M151" s="76" t="s">
        <v>1280</v>
      </c>
      <c r="N151" s="76"/>
      <c r="O151" s="76"/>
      <c r="P151" s="76"/>
      <c r="Q151" s="76"/>
      <c r="R151" s="76"/>
      <c r="S151" s="76"/>
      <c r="T151" s="76"/>
      <c r="U151" s="76" t="s">
        <v>1281</v>
      </c>
      <c r="V151" s="76"/>
      <c r="W151" s="76"/>
      <c r="X151" s="76"/>
    </row>
    <row r="152" ht="18.0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 t="s">
        <v>1282</v>
      </c>
      <c r="L152" s="76" t="s">
        <v>1283</v>
      </c>
      <c r="M152" s="76" t="s">
        <v>1284</v>
      </c>
      <c r="N152" s="76"/>
      <c r="O152" s="76"/>
      <c r="P152" s="76"/>
      <c r="Q152" s="76"/>
      <c r="R152" s="76"/>
      <c r="S152" s="76"/>
      <c r="T152" s="76"/>
      <c r="U152" s="76" t="s">
        <v>1285</v>
      </c>
      <c r="V152" s="76"/>
      <c r="W152" s="76"/>
      <c r="X152" s="76"/>
    </row>
    <row r="153" ht="18.0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 t="s">
        <v>1286</v>
      </c>
      <c r="L153" s="76" t="s">
        <v>1287</v>
      </c>
      <c r="M153" s="76" t="s">
        <v>1288</v>
      </c>
      <c r="N153" s="76"/>
      <c r="O153" s="76"/>
      <c r="P153" s="76"/>
      <c r="Q153" s="76"/>
      <c r="R153" s="76"/>
      <c r="S153" s="76"/>
      <c r="T153" s="76"/>
      <c r="U153" s="76" t="s">
        <v>1289</v>
      </c>
      <c r="V153" s="76"/>
      <c r="W153" s="76"/>
      <c r="X153" s="76"/>
    </row>
    <row r="154" ht="18.0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 t="s">
        <v>1290</v>
      </c>
      <c r="L154" s="76" t="s">
        <v>1291</v>
      </c>
      <c r="M154" s="76" t="s">
        <v>1292</v>
      </c>
      <c r="N154" s="76"/>
      <c r="O154" s="76"/>
      <c r="P154" s="76"/>
      <c r="Q154" s="76"/>
      <c r="R154" s="76"/>
      <c r="S154" s="76"/>
      <c r="T154" s="76"/>
      <c r="U154" s="76" t="s">
        <v>1293</v>
      </c>
      <c r="V154" s="76"/>
      <c r="W154" s="76"/>
      <c r="X154" s="76"/>
    </row>
    <row r="155" ht="18.0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 t="s">
        <v>1294</v>
      </c>
      <c r="L155" s="76" t="s">
        <v>1295</v>
      </c>
      <c r="M155" s="76" t="s">
        <v>1296</v>
      </c>
      <c r="N155" s="76"/>
      <c r="O155" s="76"/>
      <c r="P155" s="76"/>
      <c r="Q155" s="76"/>
      <c r="R155" s="76"/>
      <c r="S155" s="76"/>
      <c r="T155" s="76"/>
      <c r="U155" s="76" t="s">
        <v>1297</v>
      </c>
      <c r="V155" s="76"/>
      <c r="W155" s="76"/>
      <c r="X155" s="76"/>
    </row>
    <row r="156" ht="18.0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 t="s">
        <v>1298</v>
      </c>
      <c r="L156" s="76" t="s">
        <v>1299</v>
      </c>
      <c r="M156" s="76" t="s">
        <v>1300</v>
      </c>
      <c r="N156" s="76"/>
      <c r="O156" s="76"/>
      <c r="P156" s="76"/>
      <c r="Q156" s="76"/>
      <c r="R156" s="76"/>
      <c r="S156" s="76"/>
      <c r="T156" s="76"/>
      <c r="U156" s="76" t="s">
        <v>1301</v>
      </c>
      <c r="V156" s="76"/>
      <c r="W156" s="76"/>
      <c r="X156" s="76"/>
    </row>
    <row r="157" ht="18.0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 t="s">
        <v>1302</v>
      </c>
      <c r="L157" s="76" t="s">
        <v>1303</v>
      </c>
      <c r="M157" s="76" t="s">
        <v>1304</v>
      </c>
      <c r="N157" s="76"/>
      <c r="O157" s="76"/>
      <c r="P157" s="76"/>
      <c r="Q157" s="76"/>
      <c r="R157" s="76"/>
      <c r="S157" s="76"/>
      <c r="T157" s="76"/>
      <c r="U157" s="76" t="s">
        <v>1305</v>
      </c>
      <c r="V157" s="76"/>
      <c r="W157" s="76"/>
      <c r="X157" s="76"/>
    </row>
    <row r="158" ht="18.0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 t="s">
        <v>1306</v>
      </c>
      <c r="L158" s="76" t="s">
        <v>1307</v>
      </c>
      <c r="M158" s="76" t="s">
        <v>1308</v>
      </c>
      <c r="N158" s="76"/>
      <c r="O158" s="76"/>
      <c r="P158" s="76"/>
      <c r="Q158" s="76"/>
      <c r="R158" s="76"/>
      <c r="S158" s="76"/>
      <c r="T158" s="76"/>
      <c r="U158" s="76" t="s">
        <v>1309</v>
      </c>
      <c r="V158" s="76"/>
      <c r="W158" s="76"/>
      <c r="X158" s="76"/>
    </row>
    <row r="159" ht="18.0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 t="s">
        <v>1310</v>
      </c>
      <c r="L159" s="76" t="s">
        <v>1311</v>
      </c>
      <c r="M159" s="76" t="s">
        <v>1312</v>
      </c>
      <c r="N159" s="76"/>
      <c r="O159" s="76"/>
      <c r="P159" s="76"/>
      <c r="Q159" s="76"/>
      <c r="R159" s="76"/>
      <c r="S159" s="76"/>
      <c r="T159" s="76"/>
      <c r="U159" s="76" t="s">
        <v>1313</v>
      </c>
      <c r="V159" s="76"/>
      <c r="W159" s="76"/>
      <c r="X159" s="76"/>
    </row>
    <row r="160" ht="18.0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 t="s">
        <v>1314</v>
      </c>
      <c r="L160" s="76" t="s">
        <v>1315</v>
      </c>
      <c r="M160" s="76" t="s">
        <v>1316</v>
      </c>
      <c r="N160" s="76"/>
      <c r="O160" s="76"/>
      <c r="P160" s="76"/>
      <c r="Q160" s="76"/>
      <c r="R160" s="76"/>
      <c r="S160" s="76"/>
      <c r="T160" s="76"/>
      <c r="U160" s="76" t="s">
        <v>1317</v>
      </c>
      <c r="V160" s="76"/>
      <c r="W160" s="76"/>
      <c r="X160" s="76"/>
    </row>
    <row r="161" ht="18.0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 t="s">
        <v>1318</v>
      </c>
      <c r="L161" s="76" t="s">
        <v>1319</v>
      </c>
      <c r="M161" s="76" t="s">
        <v>1320</v>
      </c>
      <c r="N161" s="76"/>
      <c r="O161" s="76"/>
      <c r="P161" s="76"/>
      <c r="Q161" s="76"/>
      <c r="R161" s="76"/>
      <c r="S161" s="76"/>
      <c r="T161" s="76"/>
      <c r="U161" s="76" t="s">
        <v>1321</v>
      </c>
      <c r="V161" s="76"/>
      <c r="W161" s="76"/>
      <c r="X161" s="76"/>
    </row>
    <row r="162" ht="18.0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 t="s">
        <v>1322</v>
      </c>
      <c r="L162" s="76" t="s">
        <v>1323</v>
      </c>
      <c r="M162" s="76" t="s">
        <v>1324</v>
      </c>
      <c r="N162" s="76"/>
      <c r="O162" s="76"/>
      <c r="P162" s="76"/>
      <c r="Q162" s="76"/>
      <c r="R162" s="76"/>
      <c r="S162" s="76"/>
      <c r="T162" s="76"/>
      <c r="U162" s="76" t="s">
        <v>1325</v>
      </c>
      <c r="V162" s="76"/>
      <c r="W162" s="76"/>
      <c r="X162" s="76"/>
    </row>
    <row r="163" ht="18.0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 t="s">
        <v>1326</v>
      </c>
      <c r="L163" s="76" t="s">
        <v>1327</v>
      </c>
      <c r="M163" s="76" t="s">
        <v>1328</v>
      </c>
      <c r="N163" s="76"/>
      <c r="O163" s="76"/>
      <c r="P163" s="76"/>
      <c r="Q163" s="76"/>
      <c r="R163" s="76"/>
      <c r="S163" s="76"/>
      <c r="T163" s="76"/>
      <c r="U163" s="76" t="s">
        <v>1329</v>
      </c>
      <c r="V163" s="76"/>
      <c r="W163" s="76"/>
      <c r="X163" s="76"/>
    </row>
    <row r="164" ht="18.0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 t="s">
        <v>1330</v>
      </c>
      <c r="L164" s="76" t="s">
        <v>1331</v>
      </c>
      <c r="M164" s="76" t="s">
        <v>1332</v>
      </c>
      <c r="N164" s="76"/>
      <c r="O164" s="76"/>
      <c r="P164" s="76"/>
      <c r="Q164" s="76"/>
      <c r="R164" s="76"/>
      <c r="S164" s="76"/>
      <c r="T164" s="76"/>
      <c r="U164" s="76" t="s">
        <v>1333</v>
      </c>
      <c r="V164" s="76"/>
      <c r="W164" s="76"/>
      <c r="X164" s="76"/>
    </row>
    <row r="165" ht="18.0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 t="s">
        <v>1334</v>
      </c>
      <c r="L165" s="76" t="s">
        <v>1335</v>
      </c>
      <c r="M165" s="76" t="s">
        <v>1336</v>
      </c>
      <c r="N165" s="76"/>
      <c r="O165" s="76"/>
      <c r="P165" s="76"/>
      <c r="Q165" s="76"/>
      <c r="R165" s="76"/>
      <c r="S165" s="76"/>
      <c r="T165" s="76"/>
      <c r="U165" s="76" t="s">
        <v>1337</v>
      </c>
      <c r="V165" s="76"/>
      <c r="W165" s="76"/>
      <c r="X165" s="76"/>
    </row>
    <row r="166" ht="18.0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 t="s">
        <v>1338</v>
      </c>
      <c r="L166" s="76" t="s">
        <v>1339</v>
      </c>
      <c r="M166" s="76" t="s">
        <v>1340</v>
      </c>
      <c r="N166" s="76"/>
      <c r="O166" s="76"/>
      <c r="P166" s="76"/>
      <c r="Q166" s="76"/>
      <c r="R166" s="76"/>
      <c r="S166" s="76"/>
      <c r="T166" s="76"/>
      <c r="U166" s="76" t="s">
        <v>1341</v>
      </c>
      <c r="V166" s="76"/>
      <c r="W166" s="76"/>
      <c r="X166" s="76"/>
    </row>
    <row r="167" ht="18.0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 t="s">
        <v>1342</v>
      </c>
      <c r="L167" s="76" t="s">
        <v>1343</v>
      </c>
      <c r="M167" s="76" t="s">
        <v>1344</v>
      </c>
      <c r="N167" s="76"/>
      <c r="O167" s="76"/>
      <c r="P167" s="76"/>
      <c r="Q167" s="76"/>
      <c r="R167" s="76"/>
      <c r="S167" s="76"/>
      <c r="T167" s="76"/>
      <c r="U167" s="76" t="s">
        <v>1345</v>
      </c>
      <c r="V167" s="76"/>
      <c r="W167" s="76"/>
      <c r="X167" s="76"/>
    </row>
    <row r="168" ht="18.0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 t="s">
        <v>1346</v>
      </c>
      <c r="L168" s="76" t="s">
        <v>1347</v>
      </c>
      <c r="M168" s="76" t="s">
        <v>1348</v>
      </c>
      <c r="N168" s="76"/>
      <c r="O168" s="76"/>
      <c r="P168" s="76"/>
      <c r="Q168" s="76"/>
      <c r="R168" s="76"/>
      <c r="S168" s="76"/>
      <c r="T168" s="76"/>
      <c r="U168" s="76" t="s">
        <v>1349</v>
      </c>
      <c r="V168" s="76"/>
      <c r="W168" s="76"/>
      <c r="X168" s="76"/>
    </row>
    <row r="169" ht="18.0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 t="s">
        <v>1350</v>
      </c>
      <c r="L169" s="76" t="s">
        <v>1351</v>
      </c>
      <c r="M169" s="76" t="s">
        <v>1352</v>
      </c>
      <c r="N169" s="76"/>
      <c r="O169" s="76"/>
      <c r="P169" s="76"/>
      <c r="Q169" s="76"/>
      <c r="R169" s="76"/>
      <c r="S169" s="76"/>
      <c r="T169" s="76"/>
      <c r="U169" s="76" t="s">
        <v>1353</v>
      </c>
      <c r="V169" s="76"/>
      <c r="W169" s="76"/>
      <c r="X169" s="76"/>
    </row>
    <row r="170" ht="18.0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 t="s">
        <v>1354</v>
      </c>
      <c r="L170" s="76" t="s">
        <v>1355</v>
      </c>
      <c r="M170" s="76" t="s">
        <v>1356</v>
      </c>
      <c r="N170" s="76"/>
      <c r="O170" s="76"/>
      <c r="P170" s="76"/>
      <c r="Q170" s="76"/>
      <c r="R170" s="76"/>
      <c r="S170" s="76"/>
      <c r="T170" s="76"/>
      <c r="U170" s="76" t="s">
        <v>1357</v>
      </c>
      <c r="V170" s="76"/>
      <c r="W170" s="76"/>
      <c r="X170" s="76"/>
    </row>
    <row r="171" ht="18.0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 t="s">
        <v>1358</v>
      </c>
      <c r="L171" s="76" t="s">
        <v>1359</v>
      </c>
      <c r="M171" s="76" t="s">
        <v>1360</v>
      </c>
      <c r="N171" s="76"/>
      <c r="O171" s="76"/>
      <c r="P171" s="76"/>
      <c r="Q171" s="76"/>
      <c r="R171" s="76"/>
      <c r="S171" s="76"/>
      <c r="T171" s="76"/>
      <c r="U171" s="76" t="s">
        <v>1361</v>
      </c>
      <c r="V171" s="76"/>
      <c r="W171" s="76"/>
      <c r="X171" s="76"/>
    </row>
    <row r="172" ht="18.0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 t="s">
        <v>1362</v>
      </c>
      <c r="L172" s="76" t="s">
        <v>1363</v>
      </c>
      <c r="M172" s="76" t="s">
        <v>1364</v>
      </c>
      <c r="N172" s="76"/>
      <c r="O172" s="76"/>
      <c r="P172" s="76"/>
      <c r="Q172" s="76"/>
      <c r="R172" s="76"/>
      <c r="S172" s="76"/>
      <c r="T172" s="76"/>
      <c r="U172" s="76" t="s">
        <v>1365</v>
      </c>
      <c r="V172" s="76"/>
      <c r="W172" s="76"/>
      <c r="X172" s="76"/>
    </row>
    <row r="173" ht="18.0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 t="s">
        <v>1366</v>
      </c>
      <c r="L173" s="76" t="s">
        <v>1367</v>
      </c>
      <c r="M173" s="76" t="s">
        <v>1368</v>
      </c>
      <c r="N173" s="76"/>
      <c r="O173" s="76"/>
      <c r="P173" s="76"/>
      <c r="Q173" s="76"/>
      <c r="R173" s="76"/>
      <c r="S173" s="76"/>
      <c r="T173" s="76"/>
      <c r="U173" s="76" t="s">
        <v>1369</v>
      </c>
      <c r="V173" s="76"/>
      <c r="W173" s="76"/>
      <c r="X173" s="76"/>
    </row>
    <row r="174" ht="18.0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 t="s">
        <v>1370</v>
      </c>
      <c r="L174" s="76" t="s">
        <v>1371</v>
      </c>
      <c r="M174" s="76" t="s">
        <v>1372</v>
      </c>
      <c r="N174" s="76"/>
      <c r="O174" s="76"/>
      <c r="P174" s="76"/>
      <c r="Q174" s="76"/>
      <c r="R174" s="76"/>
      <c r="S174" s="76"/>
      <c r="T174" s="76"/>
      <c r="U174" s="76" t="s">
        <v>1373</v>
      </c>
      <c r="V174" s="76"/>
      <c r="W174" s="76"/>
      <c r="X174" s="76"/>
    </row>
    <row r="175" ht="18.0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 t="s">
        <v>1374</v>
      </c>
      <c r="L175" s="76" t="s">
        <v>1375</v>
      </c>
      <c r="M175" s="76" t="s">
        <v>1376</v>
      </c>
      <c r="N175" s="76"/>
      <c r="O175" s="76"/>
      <c r="P175" s="76"/>
      <c r="Q175" s="76"/>
      <c r="R175" s="76"/>
      <c r="S175" s="76"/>
      <c r="T175" s="76"/>
      <c r="U175" s="76" t="s">
        <v>1377</v>
      </c>
      <c r="V175" s="76"/>
      <c r="W175" s="76"/>
      <c r="X175" s="76"/>
    </row>
    <row r="176" ht="18.0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 t="s">
        <v>1378</v>
      </c>
      <c r="L176" s="76" t="s">
        <v>1379</v>
      </c>
      <c r="M176" s="76" t="s">
        <v>1380</v>
      </c>
      <c r="N176" s="76"/>
      <c r="O176" s="76"/>
      <c r="P176" s="76"/>
      <c r="Q176" s="76"/>
      <c r="R176" s="76"/>
      <c r="S176" s="76"/>
      <c r="T176" s="76"/>
      <c r="U176" s="76" t="s">
        <v>1381</v>
      </c>
      <c r="V176" s="76"/>
      <c r="W176" s="76"/>
      <c r="X176" s="76"/>
    </row>
    <row r="177" ht="18.0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 t="s">
        <v>1382</v>
      </c>
      <c r="L177" s="76" t="s">
        <v>1383</v>
      </c>
      <c r="M177" s="76" t="s">
        <v>1384</v>
      </c>
      <c r="N177" s="76"/>
      <c r="O177" s="76"/>
      <c r="P177" s="76"/>
      <c r="Q177" s="76"/>
      <c r="R177" s="76"/>
      <c r="S177" s="76"/>
      <c r="T177" s="76"/>
      <c r="U177" s="76" t="s">
        <v>1385</v>
      </c>
      <c r="V177" s="76"/>
      <c r="W177" s="76"/>
      <c r="X177" s="76"/>
    </row>
    <row r="178" ht="18.0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 t="s">
        <v>1386</v>
      </c>
      <c r="L178" s="76" t="s">
        <v>1387</v>
      </c>
      <c r="M178" s="76" t="s">
        <v>1388</v>
      </c>
      <c r="N178" s="76"/>
      <c r="O178" s="76"/>
      <c r="P178" s="76"/>
      <c r="Q178" s="76"/>
      <c r="R178" s="76"/>
      <c r="S178" s="76"/>
      <c r="T178" s="76"/>
      <c r="U178" s="76" t="s">
        <v>1389</v>
      </c>
      <c r="V178" s="76"/>
      <c r="W178" s="76"/>
      <c r="X178" s="76"/>
    </row>
    <row r="179" ht="18.0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 t="s">
        <v>1390</v>
      </c>
      <c r="L179" s="76" t="s">
        <v>1391</v>
      </c>
      <c r="M179" s="76" t="s">
        <v>1392</v>
      </c>
      <c r="N179" s="76"/>
      <c r="O179" s="76"/>
      <c r="P179" s="76"/>
      <c r="Q179" s="76"/>
      <c r="R179" s="76"/>
      <c r="S179" s="76"/>
      <c r="T179" s="76"/>
      <c r="U179" s="76" t="s">
        <v>1393</v>
      </c>
      <c r="V179" s="76"/>
      <c r="W179" s="76"/>
      <c r="X179" s="76"/>
    </row>
    <row r="180" ht="18.0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 t="s">
        <v>1394</v>
      </c>
      <c r="L180" s="76" t="s">
        <v>1395</v>
      </c>
      <c r="M180" s="76" t="s">
        <v>1396</v>
      </c>
      <c r="N180" s="76"/>
      <c r="O180" s="76"/>
      <c r="P180" s="76"/>
      <c r="Q180" s="76"/>
      <c r="R180" s="76"/>
      <c r="S180" s="76"/>
      <c r="T180" s="76"/>
      <c r="U180" s="76" t="s">
        <v>1397</v>
      </c>
      <c r="V180" s="76"/>
      <c r="W180" s="76"/>
      <c r="X180" s="76"/>
    </row>
    <row r="181" ht="18.0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 t="s">
        <v>1398</v>
      </c>
      <c r="L181" s="76" t="s">
        <v>1399</v>
      </c>
      <c r="M181" s="76" t="s">
        <v>1400</v>
      </c>
      <c r="N181" s="76"/>
      <c r="O181" s="76"/>
      <c r="P181" s="76"/>
      <c r="Q181" s="76"/>
      <c r="R181" s="76"/>
      <c r="S181" s="76"/>
      <c r="T181" s="76"/>
      <c r="U181" s="76" t="s">
        <v>1401</v>
      </c>
      <c r="V181" s="76"/>
      <c r="W181" s="76"/>
      <c r="X181" s="76"/>
    </row>
    <row r="182" ht="18.0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 t="s">
        <v>1402</v>
      </c>
      <c r="L182" s="76" t="s">
        <v>1403</v>
      </c>
      <c r="M182" s="76" t="s">
        <v>1404</v>
      </c>
      <c r="N182" s="76"/>
      <c r="O182" s="76"/>
      <c r="P182" s="76"/>
      <c r="Q182" s="76"/>
      <c r="R182" s="76"/>
      <c r="S182" s="76"/>
      <c r="T182" s="76"/>
      <c r="U182" s="76" t="s">
        <v>1405</v>
      </c>
      <c r="V182" s="76"/>
      <c r="W182" s="76"/>
      <c r="X182" s="76"/>
    </row>
    <row r="183" ht="18.0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 t="s">
        <v>1406</v>
      </c>
      <c r="L183" s="76" t="s">
        <v>1407</v>
      </c>
      <c r="M183" s="76" t="s">
        <v>1408</v>
      </c>
      <c r="N183" s="76"/>
      <c r="O183" s="76"/>
      <c r="P183" s="76"/>
      <c r="Q183" s="76"/>
      <c r="R183" s="76"/>
      <c r="S183" s="76"/>
      <c r="T183" s="76"/>
      <c r="U183" s="76" t="s">
        <v>1409</v>
      </c>
      <c r="V183" s="76"/>
      <c r="W183" s="76"/>
      <c r="X183" s="76"/>
    </row>
    <row r="184" ht="18.0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 t="s">
        <v>1410</v>
      </c>
      <c r="L184" s="76" t="s">
        <v>1411</v>
      </c>
      <c r="M184" s="76" t="s">
        <v>1412</v>
      </c>
      <c r="N184" s="76"/>
      <c r="O184" s="76"/>
      <c r="P184" s="76"/>
      <c r="Q184" s="76"/>
      <c r="R184" s="76"/>
      <c r="S184" s="76"/>
      <c r="T184" s="76"/>
      <c r="U184" s="76" t="s">
        <v>1413</v>
      </c>
      <c r="V184" s="76"/>
      <c r="W184" s="76"/>
      <c r="X184" s="76"/>
    </row>
    <row r="185" ht="18.0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 t="s">
        <v>1414</v>
      </c>
      <c r="L185" s="76" t="s">
        <v>1415</v>
      </c>
      <c r="M185" s="76" t="s">
        <v>1416</v>
      </c>
      <c r="N185" s="76"/>
      <c r="O185" s="76"/>
      <c r="P185" s="76"/>
      <c r="Q185" s="76"/>
      <c r="R185" s="76"/>
      <c r="S185" s="76"/>
      <c r="T185" s="76"/>
      <c r="U185" s="76" t="s">
        <v>1417</v>
      </c>
      <c r="V185" s="76"/>
      <c r="W185" s="76"/>
      <c r="X185" s="76"/>
    </row>
    <row r="186" ht="18.0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 t="s">
        <v>1418</v>
      </c>
      <c r="L186" s="76" t="s">
        <v>1419</v>
      </c>
      <c r="M186" s="76" t="s">
        <v>1420</v>
      </c>
      <c r="N186" s="76"/>
      <c r="O186" s="76"/>
      <c r="P186" s="76"/>
      <c r="Q186" s="76"/>
      <c r="R186" s="76"/>
      <c r="S186" s="76"/>
      <c r="T186" s="76"/>
      <c r="U186" s="76" t="s">
        <v>1421</v>
      </c>
      <c r="V186" s="76"/>
      <c r="W186" s="76"/>
      <c r="X186" s="76"/>
    </row>
    <row r="187" ht="18.0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 t="s">
        <v>1422</v>
      </c>
      <c r="L187" s="76" t="s">
        <v>1423</v>
      </c>
      <c r="M187" s="76" t="s">
        <v>1424</v>
      </c>
      <c r="N187" s="76"/>
      <c r="O187" s="76"/>
      <c r="P187" s="76"/>
      <c r="Q187" s="76"/>
      <c r="R187" s="76"/>
      <c r="S187" s="76"/>
      <c r="T187" s="76"/>
      <c r="U187" s="76" t="s">
        <v>1425</v>
      </c>
      <c r="V187" s="76"/>
      <c r="W187" s="76"/>
      <c r="X187" s="76"/>
    </row>
    <row r="188" ht="18.0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 t="s">
        <v>1426</v>
      </c>
      <c r="L188" s="76" t="s">
        <v>1427</v>
      </c>
      <c r="M188" s="76" t="s">
        <v>1428</v>
      </c>
      <c r="N188" s="76"/>
      <c r="O188" s="76"/>
      <c r="P188" s="76"/>
      <c r="Q188" s="76"/>
      <c r="R188" s="76"/>
      <c r="S188" s="76"/>
      <c r="T188" s="76"/>
      <c r="U188" s="76" t="s">
        <v>1429</v>
      </c>
      <c r="V188" s="76"/>
      <c r="W188" s="76"/>
      <c r="X188" s="76"/>
    </row>
    <row r="189" ht="18.0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 t="s">
        <v>1430</v>
      </c>
      <c r="L189" s="76" t="s">
        <v>1431</v>
      </c>
      <c r="M189" s="76" t="s">
        <v>1432</v>
      </c>
      <c r="N189" s="76"/>
      <c r="O189" s="76"/>
      <c r="P189" s="76"/>
      <c r="Q189" s="76"/>
      <c r="R189" s="76"/>
      <c r="S189" s="76"/>
      <c r="T189" s="76"/>
      <c r="U189" s="76" t="s">
        <v>1433</v>
      </c>
      <c r="V189" s="76"/>
      <c r="W189" s="76"/>
      <c r="X189" s="76"/>
    </row>
    <row r="190" ht="18.0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 t="s">
        <v>1434</v>
      </c>
      <c r="L190" s="76" t="s">
        <v>1435</v>
      </c>
      <c r="M190" s="76" t="s">
        <v>1436</v>
      </c>
      <c r="N190" s="76"/>
      <c r="O190" s="76"/>
      <c r="P190" s="76"/>
      <c r="Q190" s="76"/>
      <c r="R190" s="76"/>
      <c r="S190" s="76"/>
      <c r="T190" s="76"/>
      <c r="U190" s="76" t="s">
        <v>1437</v>
      </c>
      <c r="V190" s="76"/>
      <c r="W190" s="76"/>
      <c r="X190" s="76"/>
    </row>
    <row r="191" ht="18.0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 t="s">
        <v>1438</v>
      </c>
      <c r="L191" s="76" t="s">
        <v>1439</v>
      </c>
      <c r="M191" s="76" t="s">
        <v>1440</v>
      </c>
      <c r="N191" s="76"/>
      <c r="O191" s="76"/>
      <c r="P191" s="76"/>
      <c r="Q191" s="76"/>
      <c r="R191" s="76"/>
      <c r="S191" s="76"/>
      <c r="T191" s="76"/>
      <c r="U191" s="76" t="s">
        <v>1441</v>
      </c>
      <c r="V191" s="76"/>
      <c r="W191" s="76"/>
      <c r="X191" s="76"/>
    </row>
    <row r="192" ht="18.0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 t="s">
        <v>1442</v>
      </c>
      <c r="L192" s="76" t="s">
        <v>1443</v>
      </c>
      <c r="M192" s="76" t="s">
        <v>1444</v>
      </c>
      <c r="N192" s="76"/>
      <c r="O192" s="76"/>
      <c r="P192" s="76"/>
      <c r="Q192" s="76"/>
      <c r="R192" s="76"/>
      <c r="S192" s="76"/>
      <c r="T192" s="76"/>
      <c r="U192" s="76" t="s">
        <v>1445</v>
      </c>
      <c r="V192" s="76"/>
      <c r="W192" s="76"/>
      <c r="X192" s="76"/>
    </row>
    <row r="193" ht="18.0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 t="s">
        <v>1446</v>
      </c>
      <c r="L193" s="76" t="s">
        <v>1447</v>
      </c>
      <c r="M193" s="76" t="s">
        <v>1448</v>
      </c>
      <c r="N193" s="76"/>
      <c r="O193" s="76"/>
      <c r="P193" s="76"/>
      <c r="Q193" s="76"/>
      <c r="R193" s="76"/>
      <c r="S193" s="76"/>
      <c r="T193" s="76"/>
      <c r="U193" s="76" t="s">
        <v>1449</v>
      </c>
      <c r="V193" s="76"/>
      <c r="W193" s="76"/>
      <c r="X193" s="76"/>
    </row>
    <row r="194" ht="18.0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 t="s">
        <v>1450</v>
      </c>
      <c r="L194" s="76" t="s">
        <v>1451</v>
      </c>
      <c r="M194" s="76" t="s">
        <v>1452</v>
      </c>
      <c r="N194" s="76"/>
      <c r="O194" s="76"/>
      <c r="P194" s="76"/>
      <c r="Q194" s="76"/>
      <c r="R194" s="76"/>
      <c r="S194" s="76"/>
      <c r="T194" s="76"/>
      <c r="U194" s="76" t="s">
        <v>1453</v>
      </c>
      <c r="V194" s="76"/>
      <c r="W194" s="76"/>
      <c r="X194" s="76"/>
    </row>
    <row r="195" ht="18.0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 t="s">
        <v>1454</v>
      </c>
      <c r="L195" s="76" t="s">
        <v>1455</v>
      </c>
      <c r="M195" s="76" t="s">
        <v>1456</v>
      </c>
      <c r="N195" s="76"/>
      <c r="O195" s="76"/>
      <c r="P195" s="76"/>
      <c r="Q195" s="76"/>
      <c r="R195" s="76"/>
      <c r="S195" s="76"/>
      <c r="T195" s="76"/>
      <c r="U195" s="76" t="s">
        <v>1457</v>
      </c>
      <c r="V195" s="76"/>
      <c r="W195" s="76"/>
      <c r="X195" s="76"/>
    </row>
    <row r="196" ht="18.0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 t="s">
        <v>1458</v>
      </c>
      <c r="L196" s="76" t="s">
        <v>1459</v>
      </c>
      <c r="M196" s="76" t="s">
        <v>1460</v>
      </c>
      <c r="N196" s="76"/>
      <c r="O196" s="76"/>
      <c r="P196" s="76"/>
      <c r="Q196" s="76"/>
      <c r="R196" s="76"/>
      <c r="S196" s="76"/>
      <c r="T196" s="76"/>
      <c r="U196" s="76" t="s">
        <v>1461</v>
      </c>
      <c r="V196" s="76"/>
      <c r="W196" s="76"/>
      <c r="X196" s="76"/>
    </row>
    <row r="197" ht="18.0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 t="s">
        <v>1462</v>
      </c>
      <c r="L197" s="76" t="s">
        <v>1463</v>
      </c>
      <c r="M197" s="76" t="s">
        <v>1464</v>
      </c>
      <c r="N197" s="76"/>
      <c r="O197" s="76"/>
      <c r="P197" s="76"/>
      <c r="Q197" s="76"/>
      <c r="R197" s="76"/>
      <c r="S197" s="76"/>
      <c r="T197" s="76"/>
      <c r="U197" s="76" t="s">
        <v>1465</v>
      </c>
      <c r="V197" s="76"/>
      <c r="W197" s="76"/>
      <c r="X197" s="76"/>
    </row>
    <row r="198" ht="18.0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 t="s">
        <v>1466</v>
      </c>
      <c r="L198" s="76" t="s">
        <v>1467</v>
      </c>
      <c r="M198" s="76" t="s">
        <v>1468</v>
      </c>
      <c r="N198" s="76"/>
      <c r="O198" s="76"/>
      <c r="P198" s="76"/>
      <c r="Q198" s="76"/>
      <c r="R198" s="76"/>
      <c r="S198" s="76"/>
      <c r="T198" s="76"/>
      <c r="U198" s="76" t="s">
        <v>1469</v>
      </c>
      <c r="V198" s="76"/>
      <c r="W198" s="76"/>
      <c r="X198" s="76"/>
    </row>
    <row r="199" ht="18.0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 t="s">
        <v>1470</v>
      </c>
      <c r="L199" s="76" t="s">
        <v>1471</v>
      </c>
      <c r="M199" s="76" t="s">
        <v>1472</v>
      </c>
      <c r="N199" s="76"/>
      <c r="O199" s="76"/>
      <c r="P199" s="76"/>
      <c r="Q199" s="76"/>
      <c r="R199" s="76"/>
      <c r="S199" s="76"/>
      <c r="T199" s="76"/>
      <c r="U199" s="76" t="s">
        <v>1473</v>
      </c>
      <c r="V199" s="76"/>
      <c r="W199" s="76"/>
      <c r="X199" s="76"/>
    </row>
    <row r="200" ht="18.0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 t="s">
        <v>1474</v>
      </c>
      <c r="L200" s="76" t="s">
        <v>1475</v>
      </c>
      <c r="M200" s="76" t="s">
        <v>1476</v>
      </c>
      <c r="N200" s="76"/>
      <c r="O200" s="76"/>
      <c r="P200" s="76"/>
      <c r="Q200" s="76"/>
      <c r="R200" s="76"/>
      <c r="S200" s="76"/>
      <c r="T200" s="76"/>
      <c r="U200" s="76" t="s">
        <v>1477</v>
      </c>
      <c r="V200" s="76"/>
      <c r="W200" s="76"/>
      <c r="X200" s="76"/>
    </row>
    <row r="201" ht="18.0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 t="s">
        <v>1478</v>
      </c>
      <c r="L201" s="76" t="s">
        <v>1479</v>
      </c>
      <c r="M201" s="76" t="s">
        <v>1480</v>
      </c>
      <c r="N201" s="76"/>
      <c r="O201" s="76"/>
      <c r="P201" s="76"/>
      <c r="Q201" s="76"/>
      <c r="R201" s="76"/>
      <c r="S201" s="76"/>
      <c r="T201" s="76"/>
      <c r="U201" s="76" t="s">
        <v>1481</v>
      </c>
      <c r="V201" s="76"/>
      <c r="W201" s="76"/>
      <c r="X201" s="76"/>
    </row>
    <row r="202" ht="18.0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 t="s">
        <v>1482</v>
      </c>
      <c r="L202" s="76" t="s">
        <v>1483</v>
      </c>
      <c r="M202" s="76" t="s">
        <v>1484</v>
      </c>
      <c r="N202" s="76"/>
      <c r="O202" s="76"/>
      <c r="P202" s="76"/>
      <c r="Q202" s="76"/>
      <c r="R202" s="76"/>
      <c r="S202" s="76"/>
      <c r="T202" s="76"/>
      <c r="U202" s="76" t="s">
        <v>1485</v>
      </c>
      <c r="V202" s="76"/>
      <c r="W202" s="76"/>
      <c r="X202" s="76"/>
    </row>
    <row r="203" ht="18.0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 t="s">
        <v>1486</v>
      </c>
      <c r="L203" s="76" t="s">
        <v>1487</v>
      </c>
      <c r="M203" s="76" t="s">
        <v>1488</v>
      </c>
      <c r="N203" s="76"/>
      <c r="O203" s="76"/>
      <c r="P203" s="76"/>
      <c r="Q203" s="76"/>
      <c r="R203" s="76"/>
      <c r="S203" s="76"/>
      <c r="T203" s="76"/>
      <c r="U203" s="76" t="s">
        <v>1489</v>
      </c>
      <c r="V203" s="76"/>
      <c r="W203" s="76"/>
      <c r="X203" s="76"/>
    </row>
    <row r="204" ht="18.0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 t="s">
        <v>1490</v>
      </c>
      <c r="L204" s="76" t="s">
        <v>1491</v>
      </c>
      <c r="M204" s="76" t="s">
        <v>1492</v>
      </c>
      <c r="N204" s="76"/>
      <c r="O204" s="76"/>
      <c r="P204" s="76"/>
      <c r="Q204" s="76"/>
      <c r="R204" s="76"/>
      <c r="S204" s="76"/>
      <c r="T204" s="76"/>
      <c r="U204" s="76" t="s">
        <v>1493</v>
      </c>
      <c r="V204" s="76"/>
      <c r="W204" s="76"/>
      <c r="X204" s="76"/>
    </row>
    <row r="205" ht="18.0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 t="s">
        <v>1494</v>
      </c>
      <c r="L205" s="76" t="s">
        <v>1495</v>
      </c>
      <c r="M205" s="76" t="s">
        <v>1496</v>
      </c>
      <c r="N205" s="76"/>
      <c r="O205" s="76"/>
      <c r="P205" s="76"/>
      <c r="Q205" s="76"/>
      <c r="R205" s="76"/>
      <c r="S205" s="76"/>
      <c r="T205" s="76"/>
      <c r="U205" s="76" t="s">
        <v>1497</v>
      </c>
      <c r="V205" s="76"/>
      <c r="W205" s="76"/>
      <c r="X205" s="76"/>
    </row>
    <row r="206" ht="18.0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 t="s">
        <v>1498</v>
      </c>
      <c r="L206" s="76" t="s">
        <v>1499</v>
      </c>
      <c r="M206" s="76" t="s">
        <v>1500</v>
      </c>
      <c r="N206" s="76"/>
      <c r="O206" s="76"/>
      <c r="P206" s="76"/>
      <c r="Q206" s="76"/>
      <c r="R206" s="76"/>
      <c r="S206" s="76"/>
      <c r="T206" s="76"/>
      <c r="U206" s="76" t="s">
        <v>1501</v>
      </c>
      <c r="V206" s="76"/>
      <c r="W206" s="76"/>
      <c r="X206" s="76"/>
    </row>
    <row r="207" ht="18.0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 t="s">
        <v>1502</v>
      </c>
      <c r="L207" s="76" t="s">
        <v>1503</v>
      </c>
      <c r="M207" s="76" t="s">
        <v>1504</v>
      </c>
      <c r="N207" s="76"/>
      <c r="O207" s="76"/>
      <c r="P207" s="76"/>
      <c r="Q207" s="76"/>
      <c r="R207" s="76"/>
      <c r="S207" s="76"/>
      <c r="T207" s="76"/>
      <c r="U207" s="76" t="s">
        <v>1505</v>
      </c>
      <c r="V207" s="76"/>
      <c r="W207" s="76"/>
      <c r="X207" s="76"/>
    </row>
    <row r="208" ht="18.0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 t="s">
        <v>1506</v>
      </c>
      <c r="L208" s="76" t="s">
        <v>1507</v>
      </c>
      <c r="M208" s="76" t="s">
        <v>1508</v>
      </c>
      <c r="N208" s="76"/>
      <c r="O208" s="76"/>
      <c r="P208" s="76"/>
      <c r="Q208" s="76"/>
      <c r="R208" s="76"/>
      <c r="S208" s="76"/>
      <c r="T208" s="76"/>
      <c r="U208" s="76" t="s">
        <v>1509</v>
      </c>
      <c r="V208" s="76"/>
      <c r="W208" s="76"/>
      <c r="X208" s="76"/>
    </row>
    <row r="209" ht="18.0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 t="s">
        <v>1510</v>
      </c>
      <c r="L209" s="76" t="s">
        <v>1511</v>
      </c>
      <c r="M209" s="76" t="s">
        <v>1512</v>
      </c>
      <c r="N209" s="76"/>
      <c r="O209" s="76"/>
      <c r="P209" s="76"/>
      <c r="Q209" s="76"/>
      <c r="R209" s="76"/>
      <c r="S209" s="76"/>
      <c r="T209" s="76"/>
      <c r="U209" s="76" t="s">
        <v>1513</v>
      </c>
      <c r="V209" s="76"/>
      <c r="W209" s="76"/>
      <c r="X209" s="76"/>
    </row>
    <row r="210" ht="18.0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 t="s">
        <v>1514</v>
      </c>
      <c r="L210" s="76" t="s">
        <v>1515</v>
      </c>
      <c r="M210" s="76" t="s">
        <v>1516</v>
      </c>
      <c r="N210" s="76"/>
      <c r="O210" s="76"/>
      <c r="P210" s="76"/>
      <c r="Q210" s="76"/>
      <c r="R210" s="76"/>
      <c r="S210" s="76"/>
      <c r="T210" s="76"/>
      <c r="U210" s="76" t="s">
        <v>1517</v>
      </c>
      <c r="V210" s="76"/>
      <c r="W210" s="76"/>
      <c r="X210" s="76"/>
    </row>
    <row r="211" ht="18.0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 t="s">
        <v>1518</v>
      </c>
      <c r="L211" s="76" t="s">
        <v>1519</v>
      </c>
      <c r="M211" s="76" t="s">
        <v>1520</v>
      </c>
      <c r="N211" s="76"/>
      <c r="O211" s="76"/>
      <c r="P211" s="76"/>
      <c r="Q211" s="76"/>
      <c r="R211" s="76"/>
      <c r="S211" s="76"/>
      <c r="T211" s="76"/>
      <c r="U211" s="76" t="s">
        <v>1521</v>
      </c>
      <c r="V211" s="76"/>
      <c r="W211" s="76"/>
      <c r="X211" s="76"/>
    </row>
    <row r="212" ht="18.0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 t="s">
        <v>1522</v>
      </c>
      <c r="L212" s="76" t="s">
        <v>1523</v>
      </c>
      <c r="M212" s="76" t="s">
        <v>1524</v>
      </c>
      <c r="N212" s="76"/>
      <c r="O212" s="76"/>
      <c r="P212" s="76"/>
      <c r="Q212" s="76"/>
      <c r="R212" s="76"/>
      <c r="S212" s="76"/>
      <c r="T212" s="76"/>
      <c r="U212" s="76" t="s">
        <v>1525</v>
      </c>
      <c r="V212" s="76"/>
      <c r="W212" s="76"/>
      <c r="X212" s="76"/>
    </row>
    <row r="213" ht="18.0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 t="s">
        <v>1526</v>
      </c>
      <c r="L213" s="76" t="s">
        <v>1527</v>
      </c>
      <c r="M213" s="76" t="s">
        <v>1528</v>
      </c>
      <c r="N213" s="76"/>
      <c r="O213" s="76"/>
      <c r="P213" s="76"/>
      <c r="Q213" s="76"/>
      <c r="R213" s="76"/>
      <c r="S213" s="76"/>
      <c r="T213" s="76"/>
      <c r="U213" s="76" t="s">
        <v>1529</v>
      </c>
      <c r="V213" s="76"/>
      <c r="W213" s="76"/>
      <c r="X213" s="76"/>
    </row>
    <row r="214" ht="18.0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 t="s">
        <v>1530</v>
      </c>
      <c r="L214" s="76" t="s">
        <v>1531</v>
      </c>
      <c r="M214" s="76" t="s">
        <v>1532</v>
      </c>
      <c r="N214" s="76"/>
      <c r="O214" s="76"/>
      <c r="P214" s="76"/>
      <c r="Q214" s="76"/>
      <c r="R214" s="76"/>
      <c r="S214" s="76"/>
      <c r="T214" s="76"/>
      <c r="U214" s="76" t="s">
        <v>1533</v>
      </c>
      <c r="V214" s="76"/>
      <c r="W214" s="76"/>
      <c r="X214" s="76"/>
    </row>
    <row r="215" ht="18.0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 t="s">
        <v>1534</v>
      </c>
      <c r="L215" s="76" t="s">
        <v>1535</v>
      </c>
      <c r="M215" s="76" t="s">
        <v>1536</v>
      </c>
      <c r="N215" s="76"/>
      <c r="O215" s="76"/>
      <c r="P215" s="76"/>
      <c r="Q215" s="76"/>
      <c r="R215" s="76"/>
      <c r="S215" s="76"/>
      <c r="T215" s="76"/>
      <c r="U215" s="76" t="s">
        <v>1537</v>
      </c>
      <c r="V215" s="76"/>
      <c r="W215" s="76"/>
      <c r="X215" s="76"/>
    </row>
    <row r="216" ht="18.0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 t="s">
        <v>1538</v>
      </c>
      <c r="L216" s="76" t="s">
        <v>1539</v>
      </c>
      <c r="M216" s="76" t="s">
        <v>1540</v>
      </c>
      <c r="N216" s="76"/>
      <c r="O216" s="76"/>
      <c r="P216" s="76"/>
      <c r="Q216" s="76"/>
      <c r="R216" s="76"/>
      <c r="S216" s="76"/>
      <c r="T216" s="76"/>
      <c r="U216" s="76" t="s">
        <v>1541</v>
      </c>
      <c r="V216" s="76"/>
      <c r="W216" s="76"/>
      <c r="X216" s="76"/>
    </row>
    <row r="217" ht="18.0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 t="s">
        <v>1542</v>
      </c>
      <c r="L217" s="76" t="s">
        <v>1543</v>
      </c>
      <c r="M217" s="76" t="s">
        <v>1544</v>
      </c>
      <c r="N217" s="76"/>
      <c r="O217" s="76"/>
      <c r="P217" s="76"/>
      <c r="Q217" s="76"/>
      <c r="R217" s="76"/>
      <c r="S217" s="76"/>
      <c r="T217" s="76"/>
      <c r="U217" s="76" t="s">
        <v>1545</v>
      </c>
      <c r="V217" s="76"/>
      <c r="W217" s="76"/>
      <c r="X217" s="76"/>
    </row>
    <row r="218" ht="18.0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 t="s">
        <v>1546</v>
      </c>
      <c r="L218" s="76" t="s">
        <v>1547</v>
      </c>
      <c r="M218" s="76" t="s">
        <v>1548</v>
      </c>
      <c r="N218" s="76"/>
      <c r="O218" s="76"/>
      <c r="P218" s="76"/>
      <c r="Q218" s="76"/>
      <c r="R218" s="76"/>
      <c r="S218" s="76"/>
      <c r="T218" s="76"/>
      <c r="U218" s="76" t="s">
        <v>1549</v>
      </c>
      <c r="V218" s="76"/>
      <c r="W218" s="76"/>
      <c r="X218" s="76"/>
    </row>
    <row r="219" ht="18.0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 t="s">
        <v>1550</v>
      </c>
      <c r="L219" s="76" t="s">
        <v>1551</v>
      </c>
      <c r="M219" s="76" t="s">
        <v>1552</v>
      </c>
      <c r="N219" s="76"/>
      <c r="O219" s="76"/>
      <c r="P219" s="76"/>
      <c r="Q219" s="76"/>
      <c r="R219" s="76"/>
      <c r="S219" s="76"/>
      <c r="T219" s="76"/>
      <c r="U219" s="76" t="s">
        <v>1554</v>
      </c>
      <c r="V219" s="76"/>
      <c r="W219" s="76"/>
      <c r="X219" s="76"/>
    </row>
    <row r="220" ht="18.0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 t="s">
        <v>1555</v>
      </c>
      <c r="L220" s="76" t="s">
        <v>1556</v>
      </c>
      <c r="M220" s="76" t="s">
        <v>1557</v>
      </c>
      <c r="N220" s="76"/>
      <c r="O220" s="76"/>
      <c r="P220" s="76"/>
      <c r="Q220" s="76"/>
      <c r="R220" s="76"/>
      <c r="S220" s="76"/>
      <c r="T220" s="76"/>
      <c r="U220" s="76" t="s">
        <v>1558</v>
      </c>
      <c r="V220" s="76"/>
      <c r="W220" s="76"/>
      <c r="X220" s="76"/>
    </row>
    <row r="221" ht="18.0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 t="s">
        <v>1559</v>
      </c>
      <c r="L221" s="76" t="s">
        <v>1560</v>
      </c>
      <c r="M221" s="76" t="s">
        <v>1561</v>
      </c>
      <c r="N221" s="76"/>
      <c r="O221" s="76"/>
      <c r="P221" s="76"/>
      <c r="Q221" s="76"/>
      <c r="R221" s="76"/>
      <c r="S221" s="76"/>
      <c r="T221" s="76"/>
      <c r="U221" s="76" t="s">
        <v>1562</v>
      </c>
      <c r="V221" s="76"/>
      <c r="W221" s="76"/>
      <c r="X221" s="76"/>
    </row>
    <row r="222" ht="18.0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 t="s">
        <v>1563</v>
      </c>
      <c r="L222" s="76" t="s">
        <v>1564</v>
      </c>
      <c r="M222" s="76" t="s">
        <v>1565</v>
      </c>
      <c r="N222" s="76"/>
      <c r="O222" s="76"/>
      <c r="P222" s="76"/>
      <c r="Q222" s="76"/>
      <c r="R222" s="76"/>
      <c r="S222" s="76"/>
      <c r="T222" s="76"/>
      <c r="U222" s="76" t="s">
        <v>1566</v>
      </c>
      <c r="V222" s="76"/>
      <c r="W222" s="76"/>
      <c r="X222" s="76"/>
    </row>
    <row r="223" ht="18.0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 t="s">
        <v>1567</v>
      </c>
      <c r="L223" s="76" t="s">
        <v>1568</v>
      </c>
      <c r="M223" s="76" t="s">
        <v>1569</v>
      </c>
      <c r="N223" s="76"/>
      <c r="O223" s="76"/>
      <c r="P223" s="76"/>
      <c r="Q223" s="76"/>
      <c r="R223" s="76"/>
      <c r="S223" s="76"/>
      <c r="T223" s="76"/>
      <c r="U223" s="76" t="s">
        <v>1570</v>
      </c>
      <c r="V223" s="76"/>
      <c r="W223" s="76"/>
      <c r="X223" s="76"/>
    </row>
    <row r="224" ht="18.0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 t="s">
        <v>1571</v>
      </c>
      <c r="L224" s="76" t="s">
        <v>1572</v>
      </c>
      <c r="M224" s="76" t="s">
        <v>1573</v>
      </c>
      <c r="N224" s="76"/>
      <c r="O224" s="76"/>
      <c r="P224" s="76"/>
      <c r="Q224" s="76"/>
      <c r="R224" s="76"/>
      <c r="S224" s="76"/>
      <c r="T224" s="76"/>
      <c r="U224" s="76" t="s">
        <v>1574</v>
      </c>
      <c r="V224" s="76"/>
      <c r="W224" s="76"/>
      <c r="X224" s="76"/>
    </row>
    <row r="225" ht="18.0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 t="s">
        <v>1575</v>
      </c>
      <c r="L225" s="76" t="s">
        <v>1576</v>
      </c>
      <c r="M225" s="76" t="s">
        <v>1577</v>
      </c>
      <c r="N225" s="76"/>
      <c r="O225" s="76"/>
      <c r="P225" s="76"/>
      <c r="Q225" s="76"/>
      <c r="R225" s="76"/>
      <c r="S225" s="76"/>
      <c r="T225" s="76"/>
      <c r="U225" s="76" t="s">
        <v>1578</v>
      </c>
      <c r="V225" s="76"/>
      <c r="W225" s="76"/>
      <c r="X225" s="76"/>
    </row>
    <row r="226" ht="18.0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 t="s">
        <v>1579</v>
      </c>
      <c r="L226" s="76" t="s">
        <v>1580</v>
      </c>
      <c r="M226" s="76" t="s">
        <v>1581</v>
      </c>
      <c r="N226" s="76"/>
      <c r="O226" s="76"/>
      <c r="P226" s="76"/>
      <c r="Q226" s="76"/>
      <c r="R226" s="76"/>
      <c r="S226" s="76"/>
      <c r="T226" s="76"/>
      <c r="U226" s="76" t="s">
        <v>1582</v>
      </c>
      <c r="V226" s="76"/>
      <c r="W226" s="76"/>
      <c r="X226" s="76"/>
    </row>
    <row r="227" ht="18.0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 t="s">
        <v>1583</v>
      </c>
      <c r="L227" s="76" t="s">
        <v>1584</v>
      </c>
      <c r="M227" s="76" t="s">
        <v>1585</v>
      </c>
      <c r="N227" s="76"/>
      <c r="O227" s="76"/>
      <c r="P227" s="76"/>
      <c r="Q227" s="76"/>
      <c r="R227" s="76"/>
      <c r="S227" s="76"/>
      <c r="T227" s="76"/>
      <c r="U227" s="76" t="s">
        <v>1586</v>
      </c>
      <c r="V227" s="76"/>
      <c r="W227" s="76"/>
      <c r="X227" s="76"/>
    </row>
    <row r="228" ht="18.0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 t="s">
        <v>1587</v>
      </c>
      <c r="L228" s="76" t="s">
        <v>1588</v>
      </c>
      <c r="M228" s="76" t="s">
        <v>1589</v>
      </c>
      <c r="N228" s="76"/>
      <c r="O228" s="76"/>
      <c r="P228" s="76"/>
      <c r="Q228" s="76"/>
      <c r="R228" s="76"/>
      <c r="S228" s="76"/>
      <c r="T228" s="76"/>
      <c r="U228" s="76" t="s">
        <v>1590</v>
      </c>
      <c r="V228" s="76"/>
      <c r="W228" s="76"/>
      <c r="X228" s="76"/>
    </row>
    <row r="229" ht="18.0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 t="s">
        <v>1591</v>
      </c>
      <c r="L229" s="76" t="s">
        <v>1592</v>
      </c>
      <c r="M229" s="76" t="s">
        <v>1593</v>
      </c>
      <c r="N229" s="76"/>
      <c r="O229" s="76"/>
      <c r="P229" s="76"/>
      <c r="Q229" s="76"/>
      <c r="R229" s="76"/>
      <c r="S229" s="76"/>
      <c r="T229" s="76"/>
      <c r="U229" s="76" t="s">
        <v>1594</v>
      </c>
      <c r="V229" s="76"/>
      <c r="W229" s="76"/>
      <c r="X229" s="76"/>
    </row>
    <row r="230" ht="18.0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 t="s">
        <v>1595</v>
      </c>
      <c r="L230" s="76" t="s">
        <v>1596</v>
      </c>
      <c r="M230" s="76" t="s">
        <v>1597</v>
      </c>
      <c r="N230" s="76"/>
      <c r="O230" s="76"/>
      <c r="P230" s="76"/>
      <c r="Q230" s="76"/>
      <c r="R230" s="76"/>
      <c r="S230" s="76"/>
      <c r="T230" s="76"/>
      <c r="U230" s="76" t="s">
        <v>1598</v>
      </c>
      <c r="V230" s="76"/>
      <c r="W230" s="76"/>
      <c r="X230" s="76"/>
    </row>
    <row r="231" ht="18.0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 t="s">
        <v>1599</v>
      </c>
      <c r="L231" s="76" t="s">
        <v>1600</v>
      </c>
      <c r="M231" s="76" t="s">
        <v>1601</v>
      </c>
      <c r="N231" s="76"/>
      <c r="O231" s="76"/>
      <c r="P231" s="76"/>
      <c r="Q231" s="76"/>
      <c r="R231" s="76"/>
      <c r="S231" s="76"/>
      <c r="T231" s="76"/>
      <c r="U231" s="76" t="s">
        <v>1602</v>
      </c>
      <c r="V231" s="76"/>
      <c r="W231" s="76"/>
      <c r="X231" s="76"/>
    </row>
    <row r="232" ht="18.0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 t="s">
        <v>1603</v>
      </c>
      <c r="L232" s="76" t="s">
        <v>1604</v>
      </c>
      <c r="M232" s="76" t="s">
        <v>1605</v>
      </c>
      <c r="N232" s="76"/>
      <c r="O232" s="76"/>
      <c r="P232" s="76"/>
      <c r="Q232" s="76"/>
      <c r="R232" s="76"/>
      <c r="S232" s="76"/>
      <c r="T232" s="76"/>
      <c r="U232" s="76" t="s">
        <v>1606</v>
      </c>
      <c r="V232" s="76"/>
      <c r="W232" s="76"/>
      <c r="X232" s="76"/>
    </row>
    <row r="233" ht="18.0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 t="s">
        <v>1607</v>
      </c>
      <c r="L233" s="76" t="s">
        <v>1608</v>
      </c>
      <c r="M233" s="76" t="s">
        <v>1609</v>
      </c>
      <c r="N233" s="76"/>
      <c r="O233" s="76"/>
      <c r="P233" s="76"/>
      <c r="Q233" s="76"/>
      <c r="R233" s="76"/>
      <c r="S233" s="76"/>
      <c r="T233" s="76"/>
      <c r="U233" s="76" t="s">
        <v>1610</v>
      </c>
      <c r="V233" s="76"/>
      <c r="W233" s="76"/>
      <c r="X233" s="76"/>
    </row>
    <row r="234" ht="18.0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 t="s">
        <v>1611</v>
      </c>
      <c r="L234" s="76" t="s">
        <v>1612</v>
      </c>
      <c r="M234" s="76" t="s">
        <v>1613</v>
      </c>
      <c r="N234" s="76"/>
      <c r="O234" s="76"/>
      <c r="P234" s="76"/>
      <c r="Q234" s="76"/>
      <c r="R234" s="76"/>
      <c r="S234" s="76"/>
      <c r="T234" s="76"/>
      <c r="U234" s="76" t="s">
        <v>1614</v>
      </c>
      <c r="V234" s="76"/>
      <c r="W234" s="76"/>
      <c r="X234" s="76"/>
    </row>
    <row r="235" ht="18.0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 t="s">
        <v>1615</v>
      </c>
      <c r="L235" s="76" t="s">
        <v>1616</v>
      </c>
      <c r="M235" s="76" t="s">
        <v>1618</v>
      </c>
      <c r="N235" s="76"/>
      <c r="O235" s="76"/>
      <c r="P235" s="76"/>
      <c r="Q235" s="76"/>
      <c r="R235" s="76"/>
      <c r="S235" s="76"/>
      <c r="T235" s="76"/>
      <c r="U235" s="76" t="s">
        <v>1619</v>
      </c>
      <c r="V235" s="76"/>
      <c r="W235" s="76"/>
      <c r="X235" s="76"/>
    </row>
    <row r="236" ht="18.0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 t="s">
        <v>1620</v>
      </c>
      <c r="L236" s="76" t="s">
        <v>1621</v>
      </c>
      <c r="M236" s="76" t="s">
        <v>1622</v>
      </c>
      <c r="N236" s="76"/>
      <c r="O236" s="76"/>
      <c r="P236" s="76"/>
      <c r="Q236" s="76"/>
      <c r="R236" s="76"/>
      <c r="S236" s="76"/>
      <c r="T236" s="76"/>
      <c r="U236" s="76" t="s">
        <v>1623</v>
      </c>
      <c r="V236" s="76"/>
      <c r="W236" s="76"/>
      <c r="X236" s="76"/>
    </row>
    <row r="237" ht="18.0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 t="s">
        <v>1625</v>
      </c>
      <c r="L237" s="76" t="s">
        <v>1626</v>
      </c>
      <c r="M237" s="76" t="s">
        <v>1627</v>
      </c>
      <c r="N237" s="76"/>
      <c r="O237" s="76"/>
      <c r="P237" s="76"/>
      <c r="Q237" s="76"/>
      <c r="R237" s="76"/>
      <c r="S237" s="76"/>
      <c r="T237" s="76"/>
      <c r="U237" s="76" t="s">
        <v>1628</v>
      </c>
      <c r="V237" s="76"/>
      <c r="W237" s="76"/>
      <c r="X237" s="76"/>
    </row>
    <row r="238" ht="18.0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 t="s">
        <v>1629</v>
      </c>
      <c r="L238" s="76" t="s">
        <v>1630</v>
      </c>
      <c r="M238" s="76" t="s">
        <v>1631</v>
      </c>
      <c r="N238" s="76"/>
      <c r="O238" s="76"/>
      <c r="P238" s="76"/>
      <c r="Q238" s="76"/>
      <c r="R238" s="76"/>
      <c r="S238" s="76"/>
      <c r="T238" s="76"/>
      <c r="U238" s="76" t="s">
        <v>1632</v>
      </c>
      <c r="V238" s="76"/>
      <c r="W238" s="76"/>
      <c r="X238" s="76"/>
    </row>
    <row r="239" ht="18.0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 t="s">
        <v>1634</v>
      </c>
      <c r="L239" s="76" t="s">
        <v>1635</v>
      </c>
      <c r="M239" s="76" t="s">
        <v>1636</v>
      </c>
      <c r="N239" s="76"/>
      <c r="O239" s="76"/>
      <c r="P239" s="76"/>
      <c r="Q239" s="76"/>
      <c r="R239" s="76"/>
      <c r="S239" s="76"/>
      <c r="T239" s="76"/>
      <c r="U239" s="76" t="s">
        <v>1637</v>
      </c>
      <c r="V239" s="76"/>
      <c r="W239" s="76"/>
      <c r="X239" s="76"/>
    </row>
    <row r="240" ht="18.0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 t="s">
        <v>1638</v>
      </c>
      <c r="L240" s="76" t="s">
        <v>1640</v>
      </c>
      <c r="M240" s="76" t="s">
        <v>1641</v>
      </c>
      <c r="N240" s="76"/>
      <c r="O240" s="76"/>
      <c r="P240" s="76"/>
      <c r="Q240" s="76"/>
      <c r="R240" s="76"/>
      <c r="S240" s="76"/>
      <c r="T240" s="76"/>
      <c r="U240" s="76" t="s">
        <v>1643</v>
      </c>
      <c r="V240" s="76"/>
      <c r="W240" s="76"/>
      <c r="X240" s="76"/>
    </row>
    <row r="241" ht="18.0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 t="s">
        <v>1644</v>
      </c>
      <c r="L241" s="76" t="s">
        <v>1645</v>
      </c>
      <c r="M241" s="76" t="s">
        <v>1646</v>
      </c>
      <c r="N241" s="76"/>
      <c r="O241" s="76"/>
      <c r="P241" s="76"/>
      <c r="Q241" s="76"/>
      <c r="R241" s="76"/>
      <c r="S241" s="76"/>
      <c r="T241" s="76"/>
      <c r="U241" s="76" t="s">
        <v>1647</v>
      </c>
      <c r="V241" s="76"/>
      <c r="W241" s="76"/>
      <c r="X241" s="76"/>
    </row>
    <row r="242" ht="18.0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 t="s">
        <v>1648</v>
      </c>
      <c r="L242" s="76" t="s">
        <v>1649</v>
      </c>
      <c r="M242" s="76" t="s">
        <v>1650</v>
      </c>
      <c r="N242" s="76"/>
      <c r="O242" s="76"/>
      <c r="P242" s="76"/>
      <c r="Q242" s="76"/>
      <c r="R242" s="76"/>
      <c r="S242" s="76"/>
      <c r="T242" s="76"/>
      <c r="U242" s="76" t="s">
        <v>1651</v>
      </c>
      <c r="V242" s="76"/>
      <c r="W242" s="76"/>
      <c r="X242" s="76"/>
    </row>
    <row r="243" ht="18.0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 t="s">
        <v>1652</v>
      </c>
      <c r="L243" s="76" t="s">
        <v>1653</v>
      </c>
      <c r="M243" s="76" t="s">
        <v>1654</v>
      </c>
      <c r="N243" s="76"/>
      <c r="O243" s="76"/>
      <c r="P243" s="76"/>
      <c r="Q243" s="76"/>
      <c r="R243" s="76"/>
      <c r="S243" s="76"/>
      <c r="T243" s="76"/>
      <c r="U243" s="76" t="s">
        <v>1655</v>
      </c>
      <c r="V243" s="76"/>
      <c r="W243" s="76"/>
      <c r="X243" s="76"/>
    </row>
    <row r="244" ht="18.0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 t="s">
        <v>1656</v>
      </c>
      <c r="L244" s="76" t="s">
        <v>1657</v>
      </c>
      <c r="M244" s="76" t="s">
        <v>1658</v>
      </c>
      <c r="N244" s="76"/>
      <c r="O244" s="76"/>
      <c r="P244" s="76"/>
      <c r="Q244" s="76"/>
      <c r="R244" s="76"/>
      <c r="S244" s="76"/>
      <c r="T244" s="76"/>
      <c r="U244" s="76" t="s">
        <v>1659</v>
      </c>
      <c r="V244" s="76"/>
      <c r="W244" s="76"/>
      <c r="X244" s="76"/>
    </row>
    <row r="245" ht="18.0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 t="s">
        <v>1661</v>
      </c>
      <c r="L245" s="76" t="s">
        <v>1662</v>
      </c>
      <c r="M245" s="76" t="s">
        <v>1663</v>
      </c>
      <c r="N245" s="76"/>
      <c r="O245" s="76"/>
      <c r="P245" s="76"/>
      <c r="Q245" s="76"/>
      <c r="R245" s="76"/>
      <c r="S245" s="76"/>
      <c r="T245" s="76"/>
      <c r="U245" s="76" t="s">
        <v>1665</v>
      </c>
      <c r="V245" s="76"/>
      <c r="W245" s="76"/>
      <c r="X245" s="76"/>
    </row>
    <row r="246" ht="18.0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 t="s">
        <v>1666</v>
      </c>
      <c r="L246" s="76" t="s">
        <v>1667</v>
      </c>
      <c r="M246" s="76" t="s">
        <v>1668</v>
      </c>
      <c r="N246" s="76"/>
      <c r="O246" s="76"/>
      <c r="P246" s="76"/>
      <c r="Q246" s="76"/>
      <c r="R246" s="76"/>
      <c r="S246" s="76"/>
      <c r="T246" s="76"/>
      <c r="U246" s="76" t="s">
        <v>1669</v>
      </c>
      <c r="V246" s="76"/>
      <c r="W246" s="76"/>
      <c r="X246" s="76"/>
    </row>
    <row r="247" ht="18.0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 t="s">
        <v>1670</v>
      </c>
      <c r="L247" s="76" t="s">
        <v>1671</v>
      </c>
      <c r="M247" s="76" t="s">
        <v>1672</v>
      </c>
      <c r="N247" s="76"/>
      <c r="O247" s="76"/>
      <c r="P247" s="76"/>
      <c r="Q247" s="76"/>
      <c r="R247" s="76"/>
      <c r="S247" s="76"/>
      <c r="T247" s="76"/>
      <c r="U247" s="76" t="s">
        <v>1673</v>
      </c>
      <c r="V247" s="76"/>
      <c r="W247" s="76"/>
      <c r="X247" s="76"/>
    </row>
    <row r="248" ht="18.0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 t="s">
        <v>1674</v>
      </c>
      <c r="L248" s="76" t="s">
        <v>1675</v>
      </c>
      <c r="M248" s="76" t="s">
        <v>1676</v>
      </c>
      <c r="N248" s="76"/>
      <c r="O248" s="76"/>
      <c r="P248" s="76"/>
      <c r="Q248" s="76"/>
      <c r="R248" s="76"/>
      <c r="S248" s="76"/>
      <c r="T248" s="76"/>
      <c r="U248" s="76" t="s">
        <v>1677</v>
      </c>
      <c r="V248" s="76"/>
      <c r="W248" s="76"/>
      <c r="X248" s="76"/>
    </row>
    <row r="249" ht="18.0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 t="s">
        <v>1678</v>
      </c>
      <c r="L249" s="76" t="s">
        <v>1679</v>
      </c>
      <c r="M249" s="76" t="s">
        <v>1680</v>
      </c>
      <c r="N249" s="76"/>
      <c r="O249" s="76"/>
      <c r="P249" s="76"/>
      <c r="Q249" s="76"/>
      <c r="R249" s="76"/>
      <c r="S249" s="76"/>
      <c r="T249" s="76"/>
      <c r="U249" s="76" t="s">
        <v>1681</v>
      </c>
      <c r="V249" s="76"/>
      <c r="W249" s="76"/>
      <c r="X249" s="76"/>
    </row>
    <row r="250" ht="18.0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 t="s">
        <v>1682</v>
      </c>
      <c r="L250" s="76" t="s">
        <v>1683</v>
      </c>
      <c r="M250" s="76" t="s">
        <v>1684</v>
      </c>
      <c r="N250" s="76"/>
      <c r="O250" s="76"/>
      <c r="P250" s="76"/>
      <c r="Q250" s="76"/>
      <c r="R250" s="76"/>
      <c r="S250" s="76"/>
      <c r="T250" s="76"/>
      <c r="U250" s="76" t="s">
        <v>1685</v>
      </c>
      <c r="V250" s="76"/>
      <c r="W250" s="76"/>
      <c r="X250" s="76"/>
    </row>
    <row r="251" ht="18.0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 t="s">
        <v>1686</v>
      </c>
      <c r="L251" s="76" t="s">
        <v>1687</v>
      </c>
      <c r="M251" s="76" t="s">
        <v>1688</v>
      </c>
      <c r="N251" s="76"/>
      <c r="O251" s="76"/>
      <c r="P251" s="76"/>
      <c r="Q251" s="76"/>
      <c r="R251" s="76"/>
      <c r="S251" s="76"/>
      <c r="T251" s="76"/>
      <c r="U251" s="76" t="s">
        <v>1690</v>
      </c>
      <c r="V251" s="76"/>
      <c r="W251" s="76"/>
      <c r="X251" s="76"/>
    </row>
    <row r="252" ht="18.0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 t="s">
        <v>1691</v>
      </c>
      <c r="L252" s="76" t="s">
        <v>1692</v>
      </c>
      <c r="M252" s="76" t="s">
        <v>1693</v>
      </c>
      <c r="N252" s="76"/>
      <c r="O252" s="76"/>
      <c r="P252" s="76"/>
      <c r="Q252" s="76"/>
      <c r="R252" s="76"/>
      <c r="S252" s="76"/>
      <c r="T252" s="76"/>
      <c r="U252" s="76" t="s">
        <v>1694</v>
      </c>
      <c r="V252" s="76"/>
      <c r="W252" s="76"/>
      <c r="X252" s="76"/>
    </row>
    <row r="253" ht="18.0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 t="s">
        <v>1695</v>
      </c>
      <c r="L253" s="76" t="s">
        <v>1696</v>
      </c>
      <c r="M253" s="76" t="s">
        <v>1697</v>
      </c>
      <c r="N253" s="76"/>
      <c r="O253" s="76"/>
      <c r="P253" s="76"/>
      <c r="Q253" s="76"/>
      <c r="R253" s="76"/>
      <c r="S253" s="76"/>
      <c r="T253" s="76"/>
      <c r="U253" s="76" t="s">
        <v>1698</v>
      </c>
      <c r="V253" s="76"/>
      <c r="W253" s="76"/>
      <c r="X253" s="76"/>
    </row>
    <row r="254" ht="18.0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 t="s">
        <v>1699</v>
      </c>
      <c r="L254" s="76" t="s">
        <v>1700</v>
      </c>
      <c r="M254" s="76" t="s">
        <v>1701</v>
      </c>
      <c r="N254" s="76"/>
      <c r="O254" s="76"/>
      <c r="P254" s="76"/>
      <c r="Q254" s="76"/>
      <c r="R254" s="76"/>
      <c r="S254" s="76"/>
      <c r="T254" s="76"/>
      <c r="U254" s="76" t="s">
        <v>1702</v>
      </c>
      <c r="V254" s="76"/>
      <c r="W254" s="76"/>
      <c r="X254" s="76"/>
    </row>
    <row r="255" ht="18.0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 t="s">
        <v>1703</v>
      </c>
      <c r="L255" s="76" t="s">
        <v>1704</v>
      </c>
      <c r="M255" s="76" t="s">
        <v>1705</v>
      </c>
      <c r="N255" s="76"/>
      <c r="O255" s="76"/>
      <c r="P255" s="76"/>
      <c r="Q255" s="76"/>
      <c r="R255" s="76"/>
      <c r="S255" s="76"/>
      <c r="T255" s="76"/>
      <c r="U255" s="76" t="s">
        <v>1706</v>
      </c>
      <c r="V255" s="76"/>
      <c r="W255" s="76"/>
      <c r="X255" s="76"/>
    </row>
    <row r="256" ht="18.0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 t="s">
        <v>1707</v>
      </c>
      <c r="L256" s="76" t="s">
        <v>1708</v>
      </c>
      <c r="M256" s="76" t="s">
        <v>1709</v>
      </c>
      <c r="N256" s="76"/>
      <c r="O256" s="76"/>
      <c r="P256" s="76"/>
      <c r="Q256" s="76"/>
      <c r="R256" s="76"/>
      <c r="S256" s="76"/>
      <c r="T256" s="76"/>
      <c r="U256" s="76" t="s">
        <v>1710</v>
      </c>
      <c r="V256" s="76"/>
      <c r="W256" s="76"/>
      <c r="X256" s="76"/>
    </row>
    <row r="257" ht="18.0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 t="s">
        <v>1711</v>
      </c>
      <c r="L257" s="76" t="s">
        <v>1712</v>
      </c>
      <c r="M257" s="76" t="s">
        <v>1714</v>
      </c>
      <c r="N257" s="76"/>
      <c r="O257" s="76"/>
      <c r="P257" s="76"/>
      <c r="Q257" s="76"/>
      <c r="R257" s="76"/>
      <c r="S257" s="76"/>
      <c r="T257" s="76"/>
      <c r="U257" s="76" t="s">
        <v>1715</v>
      </c>
      <c r="V257" s="76"/>
      <c r="W257" s="76"/>
      <c r="X257" s="76"/>
    </row>
    <row r="258" ht="18.0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 t="s">
        <v>1717</v>
      </c>
      <c r="L258" s="76" t="s">
        <v>1718</v>
      </c>
      <c r="M258" s="76" t="s">
        <v>1719</v>
      </c>
      <c r="N258" s="76"/>
      <c r="O258" s="76"/>
      <c r="P258" s="76"/>
      <c r="Q258" s="76"/>
      <c r="R258" s="76"/>
      <c r="S258" s="76"/>
      <c r="T258" s="76"/>
      <c r="U258" s="76" t="s">
        <v>1720</v>
      </c>
      <c r="V258" s="76"/>
      <c r="W258" s="76"/>
      <c r="X258" s="76"/>
    </row>
    <row r="259" ht="18.0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 t="s">
        <v>1723</v>
      </c>
      <c r="L259" s="76" t="s">
        <v>1724</v>
      </c>
      <c r="M259" s="76" t="s">
        <v>1725</v>
      </c>
      <c r="N259" s="76"/>
      <c r="O259" s="76"/>
      <c r="P259" s="76"/>
      <c r="Q259" s="76"/>
      <c r="R259" s="76"/>
      <c r="S259" s="76"/>
      <c r="T259" s="76"/>
      <c r="U259" s="76" t="s">
        <v>1726</v>
      </c>
      <c r="V259" s="76"/>
      <c r="W259" s="76"/>
      <c r="X259" s="76"/>
    </row>
    <row r="260" ht="18.0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 t="s">
        <v>1727</v>
      </c>
      <c r="L260" s="76" t="s">
        <v>1728</v>
      </c>
      <c r="M260" s="76" t="s">
        <v>1729</v>
      </c>
      <c r="N260" s="76"/>
      <c r="O260" s="76"/>
      <c r="P260" s="76"/>
      <c r="Q260" s="76"/>
      <c r="R260" s="76"/>
      <c r="S260" s="76"/>
      <c r="T260" s="76"/>
      <c r="U260" s="76" t="s">
        <v>1730</v>
      </c>
      <c r="V260" s="76"/>
      <c r="W260" s="76"/>
      <c r="X260" s="76"/>
    </row>
    <row r="261" ht="18.0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 t="s">
        <v>1731</v>
      </c>
      <c r="L261" s="76" t="s">
        <v>1732</v>
      </c>
      <c r="M261" s="76" t="s">
        <v>1733</v>
      </c>
      <c r="N261" s="76"/>
      <c r="O261" s="76"/>
      <c r="P261" s="76"/>
      <c r="Q261" s="76"/>
      <c r="R261" s="76"/>
      <c r="S261" s="76"/>
      <c r="T261" s="76"/>
      <c r="U261" s="76" t="s">
        <v>1734</v>
      </c>
      <c r="V261" s="76"/>
      <c r="W261" s="76"/>
      <c r="X261" s="76"/>
    </row>
    <row r="262" ht="18.0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 t="s">
        <v>1735</v>
      </c>
      <c r="L262" s="76" t="s">
        <v>1736</v>
      </c>
      <c r="M262" s="76" t="s">
        <v>1737</v>
      </c>
      <c r="N262" s="76"/>
      <c r="O262" s="76"/>
      <c r="P262" s="76"/>
      <c r="Q262" s="76"/>
      <c r="R262" s="76"/>
      <c r="S262" s="76"/>
      <c r="T262" s="76"/>
      <c r="U262" s="76" t="s">
        <v>1738</v>
      </c>
      <c r="V262" s="76"/>
      <c r="W262" s="76"/>
      <c r="X262" s="76"/>
    </row>
    <row r="263" ht="18.0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 t="s">
        <v>1739</v>
      </c>
      <c r="L263" s="76" t="s">
        <v>1740</v>
      </c>
      <c r="M263" s="76" t="s">
        <v>1741</v>
      </c>
      <c r="N263" s="76"/>
      <c r="O263" s="76"/>
      <c r="P263" s="76"/>
      <c r="Q263" s="76"/>
      <c r="R263" s="76"/>
      <c r="S263" s="76"/>
      <c r="T263" s="76"/>
      <c r="U263" s="76" t="s">
        <v>1742</v>
      </c>
      <c r="V263" s="76"/>
      <c r="W263" s="76"/>
      <c r="X263" s="76"/>
    </row>
    <row r="264" ht="18.0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 t="s">
        <v>1743</v>
      </c>
      <c r="L264" s="76" t="s">
        <v>1744</v>
      </c>
      <c r="M264" s="76" t="s">
        <v>1745</v>
      </c>
      <c r="N264" s="76"/>
      <c r="O264" s="76"/>
      <c r="P264" s="76"/>
      <c r="Q264" s="76"/>
      <c r="R264" s="76"/>
      <c r="S264" s="76"/>
      <c r="T264" s="76"/>
      <c r="U264" s="76" t="s">
        <v>1746</v>
      </c>
      <c r="V264" s="76"/>
      <c r="W264" s="76"/>
      <c r="X264" s="76"/>
    </row>
    <row r="265" ht="18.0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 t="s">
        <v>1747</v>
      </c>
      <c r="L265" s="76" t="s">
        <v>1748</v>
      </c>
      <c r="M265" s="76" t="s">
        <v>1749</v>
      </c>
      <c r="N265" s="76"/>
      <c r="O265" s="76"/>
      <c r="P265" s="76"/>
      <c r="Q265" s="76"/>
      <c r="R265" s="76"/>
      <c r="S265" s="76"/>
      <c r="T265" s="76"/>
      <c r="U265" s="76" t="s">
        <v>1750</v>
      </c>
      <c r="V265" s="76"/>
      <c r="W265" s="76"/>
      <c r="X265" s="76"/>
    </row>
    <row r="266" ht="18.0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 t="s">
        <v>1751</v>
      </c>
      <c r="L266" s="76" t="s">
        <v>1752</v>
      </c>
      <c r="M266" s="76" t="s">
        <v>1753</v>
      </c>
      <c r="N266" s="76"/>
      <c r="O266" s="76"/>
      <c r="P266" s="76"/>
      <c r="Q266" s="76"/>
      <c r="R266" s="76"/>
      <c r="S266" s="76"/>
      <c r="T266" s="76"/>
      <c r="U266" s="76" t="s">
        <v>1754</v>
      </c>
      <c r="V266" s="76"/>
      <c r="W266" s="76"/>
      <c r="X266" s="76"/>
    </row>
    <row r="267" ht="18.0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 t="s">
        <v>1756</v>
      </c>
      <c r="L267" s="76" t="s">
        <v>1757</v>
      </c>
      <c r="M267" s="76" t="s">
        <v>1758</v>
      </c>
      <c r="N267" s="76"/>
      <c r="O267" s="76"/>
      <c r="P267" s="76"/>
      <c r="Q267" s="76"/>
      <c r="R267" s="76"/>
      <c r="S267" s="76"/>
      <c r="T267" s="76"/>
      <c r="U267" s="76" t="s">
        <v>1759</v>
      </c>
      <c r="V267" s="76"/>
      <c r="W267" s="76"/>
      <c r="X267" s="76"/>
    </row>
    <row r="268" ht="18.0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 t="s">
        <v>1760</v>
      </c>
      <c r="L268" s="76" t="s">
        <v>1761</v>
      </c>
      <c r="M268" s="76" t="s">
        <v>1762</v>
      </c>
      <c r="N268" s="76"/>
      <c r="O268" s="76"/>
      <c r="P268" s="76"/>
      <c r="Q268" s="76"/>
      <c r="R268" s="76"/>
      <c r="S268" s="76"/>
      <c r="T268" s="76"/>
      <c r="U268" s="76" t="s">
        <v>1763</v>
      </c>
      <c r="V268" s="76"/>
      <c r="W268" s="76"/>
      <c r="X268" s="76"/>
    </row>
    <row r="269" ht="18.0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 t="s">
        <v>1765</v>
      </c>
      <c r="L269" s="76" t="s">
        <v>1766</v>
      </c>
      <c r="M269" s="76" t="s">
        <v>1767</v>
      </c>
      <c r="N269" s="76"/>
      <c r="O269" s="76"/>
      <c r="P269" s="76"/>
      <c r="Q269" s="76"/>
      <c r="R269" s="76"/>
      <c r="S269" s="76"/>
      <c r="T269" s="76"/>
      <c r="U269" s="76" t="s">
        <v>1768</v>
      </c>
      <c r="V269" s="76"/>
      <c r="W269" s="76"/>
      <c r="X269" s="76"/>
    </row>
    <row r="270" ht="18.0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 t="s">
        <v>1769</v>
      </c>
      <c r="L270" s="76" t="s">
        <v>1770</v>
      </c>
      <c r="M270" s="76" t="s">
        <v>1771</v>
      </c>
      <c r="N270" s="76"/>
      <c r="O270" s="76"/>
      <c r="P270" s="76"/>
      <c r="Q270" s="76"/>
      <c r="R270" s="76"/>
      <c r="S270" s="76"/>
      <c r="T270" s="76"/>
      <c r="U270" s="76" t="s">
        <v>1772</v>
      </c>
      <c r="V270" s="76"/>
      <c r="W270" s="76"/>
      <c r="X270" s="76"/>
    </row>
    <row r="271" ht="18.0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 t="s">
        <v>1773</v>
      </c>
      <c r="L271" s="76" t="s">
        <v>1774</v>
      </c>
      <c r="M271" s="76" t="s">
        <v>1775</v>
      </c>
      <c r="N271" s="76"/>
      <c r="O271" s="76"/>
      <c r="P271" s="76"/>
      <c r="Q271" s="76"/>
      <c r="R271" s="76"/>
      <c r="S271" s="76"/>
      <c r="T271" s="76"/>
      <c r="U271" s="76" t="s">
        <v>1776</v>
      </c>
      <c r="V271" s="76"/>
      <c r="W271" s="76"/>
      <c r="X271" s="76"/>
    </row>
    <row r="272" ht="18.0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 t="s">
        <v>1777</v>
      </c>
      <c r="L272" s="76" t="s">
        <v>1778</v>
      </c>
      <c r="M272" s="76" t="s">
        <v>1779</v>
      </c>
      <c r="N272" s="76"/>
      <c r="O272" s="76"/>
      <c r="P272" s="76"/>
      <c r="Q272" s="76"/>
      <c r="R272" s="76"/>
      <c r="S272" s="76"/>
      <c r="T272" s="76"/>
      <c r="U272" s="76" t="s">
        <v>1780</v>
      </c>
      <c r="V272" s="76"/>
      <c r="W272" s="76"/>
      <c r="X272" s="76"/>
    </row>
    <row r="273" ht="18.0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 t="s">
        <v>1781</v>
      </c>
      <c r="L273" s="76" t="s">
        <v>1782</v>
      </c>
      <c r="M273" s="76" t="s">
        <v>1783</v>
      </c>
      <c r="N273" s="76"/>
      <c r="O273" s="76"/>
      <c r="P273" s="76"/>
      <c r="Q273" s="76"/>
      <c r="R273" s="76"/>
      <c r="S273" s="76"/>
      <c r="T273" s="76"/>
      <c r="U273" s="76" t="s">
        <v>1784</v>
      </c>
      <c r="V273" s="76"/>
      <c r="W273" s="76"/>
      <c r="X273" s="76"/>
    </row>
    <row r="274" ht="18.0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 t="s">
        <v>1785</v>
      </c>
      <c r="L274" s="76" t="s">
        <v>1786</v>
      </c>
      <c r="M274" s="76" t="s">
        <v>1787</v>
      </c>
      <c r="N274" s="76"/>
      <c r="O274" s="76"/>
      <c r="P274" s="76"/>
      <c r="Q274" s="76"/>
      <c r="R274" s="76"/>
      <c r="S274" s="76"/>
      <c r="T274" s="76"/>
      <c r="U274" s="76" t="s">
        <v>1788</v>
      </c>
      <c r="V274" s="76"/>
      <c r="W274" s="76"/>
      <c r="X274" s="76"/>
    </row>
    <row r="275" ht="18.0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 t="s">
        <v>1789</v>
      </c>
      <c r="L275" s="76" t="s">
        <v>1790</v>
      </c>
      <c r="M275" s="76" t="s">
        <v>1791</v>
      </c>
      <c r="N275" s="76"/>
      <c r="O275" s="76"/>
      <c r="P275" s="76"/>
      <c r="Q275" s="76"/>
      <c r="R275" s="76"/>
      <c r="S275" s="76"/>
      <c r="T275" s="76"/>
      <c r="U275" s="76" t="s">
        <v>1792</v>
      </c>
      <c r="V275" s="76"/>
      <c r="W275" s="76"/>
      <c r="X275" s="76"/>
    </row>
    <row r="276" ht="18.0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 t="s">
        <v>1793</v>
      </c>
      <c r="L276" s="76" t="s">
        <v>1794</v>
      </c>
      <c r="M276" s="76" t="s">
        <v>1795</v>
      </c>
      <c r="N276" s="76"/>
      <c r="O276" s="76"/>
      <c r="P276" s="76"/>
      <c r="Q276" s="76"/>
      <c r="R276" s="76"/>
      <c r="S276" s="76"/>
      <c r="T276" s="76"/>
      <c r="U276" s="76" t="s">
        <v>1796</v>
      </c>
      <c r="V276" s="76"/>
      <c r="W276" s="76"/>
      <c r="X276" s="76"/>
    </row>
    <row r="277" ht="18.0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 t="s">
        <v>1797</v>
      </c>
      <c r="L277" s="76" t="s">
        <v>1798</v>
      </c>
      <c r="M277" s="76" t="s">
        <v>1799</v>
      </c>
      <c r="N277" s="76"/>
      <c r="O277" s="76"/>
      <c r="P277" s="76"/>
      <c r="Q277" s="76"/>
      <c r="R277" s="76"/>
      <c r="S277" s="76"/>
      <c r="T277" s="76"/>
      <c r="U277" s="76" t="s">
        <v>1800</v>
      </c>
      <c r="V277" s="76"/>
      <c r="W277" s="76"/>
      <c r="X277" s="76"/>
    </row>
    <row r="278" ht="18.0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 t="s">
        <v>1801</v>
      </c>
      <c r="L278" s="76"/>
      <c r="M278" s="76" t="s">
        <v>1802</v>
      </c>
      <c r="N278" s="76"/>
      <c r="O278" s="76"/>
      <c r="P278" s="76"/>
      <c r="Q278" s="76"/>
      <c r="R278" s="76"/>
      <c r="S278" s="76"/>
      <c r="T278" s="76"/>
      <c r="U278" s="76" t="s">
        <v>1803</v>
      </c>
      <c r="V278" s="76"/>
      <c r="W278" s="76"/>
      <c r="X278" s="76"/>
    </row>
    <row r="279" ht="18.0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 t="s">
        <v>1804</v>
      </c>
      <c r="L279" s="76"/>
      <c r="M279" s="76" t="s">
        <v>1805</v>
      </c>
      <c r="N279" s="76"/>
      <c r="O279" s="76"/>
      <c r="P279" s="76"/>
      <c r="Q279" s="76"/>
      <c r="R279" s="76"/>
      <c r="S279" s="76"/>
      <c r="T279" s="76"/>
      <c r="U279" s="76" t="s">
        <v>1806</v>
      </c>
      <c r="V279" s="76"/>
      <c r="W279" s="76"/>
      <c r="X279" s="76"/>
    </row>
    <row r="280" ht="18.0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 t="s">
        <v>1807</v>
      </c>
      <c r="L280" s="76"/>
      <c r="M280" s="76" t="s">
        <v>1808</v>
      </c>
      <c r="N280" s="76"/>
      <c r="O280" s="76"/>
      <c r="P280" s="76"/>
      <c r="Q280" s="76"/>
      <c r="R280" s="76"/>
      <c r="S280" s="76"/>
      <c r="T280" s="76"/>
      <c r="U280" s="76" t="s">
        <v>1809</v>
      </c>
      <c r="V280" s="76"/>
      <c r="W280" s="76"/>
      <c r="X280" s="76"/>
    </row>
    <row r="281" ht="18.0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 t="s">
        <v>1810</v>
      </c>
      <c r="L281" s="76"/>
      <c r="M281" s="76" t="s">
        <v>1811</v>
      </c>
      <c r="N281" s="76"/>
      <c r="O281" s="76"/>
      <c r="P281" s="76"/>
      <c r="Q281" s="76"/>
      <c r="R281" s="76"/>
      <c r="S281" s="76"/>
      <c r="T281" s="76"/>
      <c r="U281" s="76" t="s">
        <v>1812</v>
      </c>
      <c r="V281" s="76"/>
      <c r="W281" s="76"/>
      <c r="X281" s="76"/>
    </row>
    <row r="282" ht="18.0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 t="s">
        <v>1813</v>
      </c>
      <c r="L282" s="76"/>
      <c r="M282" s="76" t="s">
        <v>1814</v>
      </c>
      <c r="N282" s="76"/>
      <c r="O282" s="76"/>
      <c r="P282" s="76"/>
      <c r="Q282" s="76"/>
      <c r="R282" s="76"/>
      <c r="S282" s="76"/>
      <c r="T282" s="76"/>
      <c r="U282" s="76" t="s">
        <v>1815</v>
      </c>
      <c r="V282" s="76"/>
      <c r="W282" s="76"/>
      <c r="X282" s="76"/>
    </row>
    <row r="283" ht="18.0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 t="s">
        <v>1816</v>
      </c>
      <c r="L283" s="76"/>
      <c r="M283" s="76" t="s">
        <v>1817</v>
      </c>
      <c r="N283" s="76"/>
      <c r="O283" s="76"/>
      <c r="P283" s="76"/>
      <c r="Q283" s="76"/>
      <c r="R283" s="76"/>
      <c r="S283" s="76"/>
      <c r="T283" s="76"/>
      <c r="U283" s="76" t="s">
        <v>1818</v>
      </c>
      <c r="V283" s="76"/>
      <c r="W283" s="76"/>
      <c r="X283" s="76"/>
    </row>
    <row r="284" ht="18.0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 t="s">
        <v>1819</v>
      </c>
      <c r="L284" s="76"/>
      <c r="M284" s="76" t="s">
        <v>1820</v>
      </c>
      <c r="N284" s="76"/>
      <c r="O284" s="76"/>
      <c r="P284" s="76"/>
      <c r="Q284" s="76"/>
      <c r="R284" s="76"/>
      <c r="S284" s="76"/>
      <c r="T284" s="76"/>
      <c r="U284" s="76" t="s">
        <v>1821</v>
      </c>
      <c r="V284" s="76"/>
      <c r="W284" s="76"/>
      <c r="X284" s="76"/>
    </row>
    <row r="285" ht="18.0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 t="s">
        <v>1822</v>
      </c>
      <c r="L285" s="76"/>
      <c r="M285" s="76" t="s">
        <v>1823</v>
      </c>
      <c r="N285" s="76"/>
      <c r="O285" s="76"/>
      <c r="P285" s="76"/>
      <c r="Q285" s="76"/>
      <c r="R285" s="76"/>
      <c r="S285" s="76"/>
      <c r="T285" s="76"/>
      <c r="U285" s="76" t="s">
        <v>1824</v>
      </c>
      <c r="V285" s="76"/>
      <c r="W285" s="76"/>
      <c r="X285" s="76"/>
    </row>
    <row r="286" ht="18.0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 t="s">
        <v>1825</v>
      </c>
      <c r="L286" s="76"/>
      <c r="M286" s="76" t="s">
        <v>1826</v>
      </c>
      <c r="N286" s="76"/>
      <c r="O286" s="76"/>
      <c r="P286" s="76"/>
      <c r="Q286" s="76"/>
      <c r="R286" s="76"/>
      <c r="S286" s="76"/>
      <c r="T286" s="76"/>
      <c r="U286" s="76" t="s">
        <v>1827</v>
      </c>
      <c r="V286" s="76"/>
      <c r="W286" s="76"/>
      <c r="X286" s="76"/>
    </row>
    <row r="287" ht="18.0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 t="s">
        <v>1828</v>
      </c>
      <c r="L287" s="76"/>
      <c r="M287" s="76" t="s">
        <v>1829</v>
      </c>
      <c r="N287" s="76"/>
      <c r="O287" s="76"/>
      <c r="P287" s="76"/>
      <c r="Q287" s="76"/>
      <c r="R287" s="76"/>
      <c r="S287" s="76"/>
      <c r="T287" s="76"/>
      <c r="U287" s="76" t="s">
        <v>1830</v>
      </c>
      <c r="V287" s="76"/>
      <c r="W287" s="76"/>
      <c r="X287" s="76"/>
    </row>
    <row r="288" ht="18.0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 t="s">
        <v>1831</v>
      </c>
      <c r="L288" s="76"/>
      <c r="M288" s="76" t="s">
        <v>1832</v>
      </c>
      <c r="N288" s="76"/>
      <c r="O288" s="76"/>
      <c r="P288" s="76"/>
      <c r="Q288" s="76"/>
      <c r="R288" s="76"/>
      <c r="S288" s="76"/>
      <c r="T288" s="76"/>
      <c r="U288" s="76" t="s">
        <v>1833</v>
      </c>
      <c r="V288" s="76"/>
      <c r="W288" s="76"/>
      <c r="X288" s="76"/>
    </row>
    <row r="289" ht="18.0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 t="s">
        <v>1834</v>
      </c>
      <c r="L289" s="76"/>
      <c r="M289" s="76" t="s">
        <v>1835</v>
      </c>
      <c r="N289" s="76"/>
      <c r="O289" s="76"/>
      <c r="P289" s="76"/>
      <c r="Q289" s="76"/>
      <c r="R289" s="76"/>
      <c r="S289" s="76"/>
      <c r="T289" s="76"/>
      <c r="U289" s="76" t="s">
        <v>1836</v>
      </c>
      <c r="V289" s="76"/>
      <c r="W289" s="76"/>
      <c r="X289" s="76"/>
    </row>
    <row r="290" ht="18.0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 t="s">
        <v>1837</v>
      </c>
      <c r="L290" s="76"/>
      <c r="M290" s="76" t="s">
        <v>1838</v>
      </c>
      <c r="N290" s="76"/>
      <c r="O290" s="76"/>
      <c r="P290" s="76"/>
      <c r="Q290" s="76"/>
      <c r="R290" s="76"/>
      <c r="S290" s="76"/>
      <c r="T290" s="76"/>
      <c r="U290" s="76" t="s">
        <v>1839</v>
      </c>
      <c r="V290" s="76"/>
      <c r="W290" s="76"/>
      <c r="X290" s="76"/>
    </row>
    <row r="291" ht="18.0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 t="s">
        <v>1840</v>
      </c>
      <c r="L291" s="76"/>
      <c r="M291" s="76" t="s">
        <v>1841</v>
      </c>
      <c r="N291" s="76"/>
      <c r="O291" s="76"/>
      <c r="P291" s="76"/>
      <c r="Q291" s="76"/>
      <c r="R291" s="76"/>
      <c r="S291" s="76"/>
      <c r="T291" s="76"/>
      <c r="U291" s="76" t="s">
        <v>1842</v>
      </c>
      <c r="V291" s="76"/>
      <c r="W291" s="76"/>
      <c r="X291" s="76"/>
    </row>
    <row r="292" ht="18.0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 t="s">
        <v>1843</v>
      </c>
      <c r="L292" s="76"/>
      <c r="M292" s="76" t="s">
        <v>1844</v>
      </c>
      <c r="N292" s="76"/>
      <c r="O292" s="76"/>
      <c r="P292" s="76"/>
      <c r="Q292" s="76"/>
      <c r="R292" s="76"/>
      <c r="S292" s="76"/>
      <c r="T292" s="76"/>
      <c r="U292" s="76" t="s">
        <v>1845</v>
      </c>
      <c r="V292" s="76"/>
      <c r="W292" s="76"/>
      <c r="X292" s="76"/>
    </row>
    <row r="293" ht="18.0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 t="s">
        <v>1846</v>
      </c>
      <c r="L293" s="76"/>
      <c r="M293" s="76" t="s">
        <v>1847</v>
      </c>
      <c r="N293" s="76"/>
      <c r="O293" s="76"/>
      <c r="P293" s="76"/>
      <c r="Q293" s="76"/>
      <c r="R293" s="76"/>
      <c r="S293" s="76"/>
      <c r="T293" s="76"/>
      <c r="U293" s="76" t="s">
        <v>1848</v>
      </c>
      <c r="V293" s="76"/>
      <c r="W293" s="76"/>
      <c r="X293" s="76"/>
    </row>
    <row r="294" ht="18.0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 t="s">
        <v>1849</v>
      </c>
      <c r="L294" s="76"/>
      <c r="M294" s="76" t="s">
        <v>1850</v>
      </c>
      <c r="N294" s="76"/>
      <c r="O294" s="76"/>
      <c r="P294" s="76"/>
      <c r="Q294" s="76"/>
      <c r="R294" s="76"/>
      <c r="S294" s="76"/>
      <c r="T294" s="76"/>
      <c r="U294" s="76" t="s">
        <v>1851</v>
      </c>
      <c r="V294" s="76"/>
      <c r="W294" s="76"/>
      <c r="X294" s="76"/>
    </row>
    <row r="295" ht="18.0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 t="s">
        <v>1853</v>
      </c>
      <c r="L295" s="76"/>
      <c r="M295" s="76" t="s">
        <v>1854</v>
      </c>
      <c r="N295" s="76"/>
      <c r="O295" s="76"/>
      <c r="P295" s="76"/>
      <c r="Q295" s="76"/>
      <c r="R295" s="76"/>
      <c r="S295" s="76"/>
      <c r="T295" s="76"/>
      <c r="U295" s="76" t="s">
        <v>1855</v>
      </c>
      <c r="V295" s="76"/>
      <c r="W295" s="76"/>
      <c r="X295" s="76"/>
    </row>
    <row r="296" ht="18.0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 t="s">
        <v>1856</v>
      </c>
      <c r="L296" s="76"/>
      <c r="M296" s="76" t="s">
        <v>1857</v>
      </c>
      <c r="N296" s="76"/>
      <c r="O296" s="76"/>
      <c r="P296" s="76"/>
      <c r="Q296" s="76"/>
      <c r="R296" s="76"/>
      <c r="S296" s="76"/>
      <c r="T296" s="76"/>
      <c r="U296" s="76" t="s">
        <v>1858</v>
      </c>
      <c r="V296" s="76"/>
      <c r="W296" s="76"/>
      <c r="X296" s="76"/>
    </row>
    <row r="297" ht="18.0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 t="s">
        <v>1859</v>
      </c>
      <c r="L297" s="76"/>
      <c r="M297" s="76" t="s">
        <v>1860</v>
      </c>
      <c r="N297" s="76"/>
      <c r="O297" s="76"/>
      <c r="P297" s="76"/>
      <c r="Q297" s="76"/>
      <c r="R297" s="76"/>
      <c r="S297" s="76"/>
      <c r="T297" s="76"/>
      <c r="U297" s="76" t="s">
        <v>1861</v>
      </c>
      <c r="V297" s="76"/>
      <c r="W297" s="76"/>
      <c r="X297" s="76"/>
    </row>
    <row r="298" ht="18.0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 t="s">
        <v>1862</v>
      </c>
      <c r="L298" s="76"/>
      <c r="M298" s="76" t="s">
        <v>1863</v>
      </c>
      <c r="N298" s="76"/>
      <c r="O298" s="76"/>
      <c r="P298" s="76"/>
      <c r="Q298" s="76"/>
      <c r="R298" s="76"/>
      <c r="S298" s="76"/>
      <c r="T298" s="76"/>
      <c r="U298" s="76" t="s">
        <v>1864</v>
      </c>
      <c r="V298" s="76"/>
      <c r="W298" s="76"/>
      <c r="X298" s="76"/>
    </row>
    <row r="299" ht="18.0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 t="s">
        <v>1866</v>
      </c>
      <c r="L299" s="76"/>
      <c r="M299" s="76" t="s">
        <v>1867</v>
      </c>
      <c r="N299" s="76"/>
      <c r="O299" s="76"/>
      <c r="P299" s="76"/>
      <c r="Q299" s="76"/>
      <c r="R299" s="76"/>
      <c r="S299" s="76"/>
      <c r="T299" s="76"/>
      <c r="U299" s="76" t="s">
        <v>1869</v>
      </c>
      <c r="V299" s="76"/>
      <c r="W299" s="76"/>
      <c r="X299" s="76"/>
    </row>
    <row r="300" ht="18.0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 t="s">
        <v>1870</v>
      </c>
      <c r="L300" s="76"/>
      <c r="M300" s="76" t="s">
        <v>1871</v>
      </c>
      <c r="N300" s="76"/>
      <c r="O300" s="76"/>
      <c r="P300" s="76"/>
      <c r="Q300" s="76"/>
      <c r="R300" s="76"/>
      <c r="S300" s="76"/>
      <c r="T300" s="76"/>
      <c r="U300" s="76" t="s">
        <v>1873</v>
      </c>
      <c r="V300" s="76"/>
      <c r="W300" s="76"/>
      <c r="X300" s="76"/>
    </row>
    <row r="301" ht="18.0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 t="s">
        <v>1875</v>
      </c>
      <c r="L301" s="76"/>
      <c r="M301" s="76" t="s">
        <v>1876</v>
      </c>
      <c r="N301" s="76"/>
      <c r="O301" s="76"/>
      <c r="P301" s="76"/>
      <c r="Q301" s="76"/>
      <c r="R301" s="76"/>
      <c r="S301" s="76"/>
      <c r="T301" s="76"/>
      <c r="U301" s="76" t="s">
        <v>1877</v>
      </c>
      <c r="V301" s="76"/>
      <c r="W301" s="76"/>
      <c r="X301" s="76"/>
    </row>
    <row r="302" ht="18.0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 t="s">
        <v>1878</v>
      </c>
      <c r="L302" s="76"/>
      <c r="M302" s="76" t="s">
        <v>1879</v>
      </c>
      <c r="N302" s="76"/>
      <c r="O302" s="76"/>
      <c r="P302" s="76"/>
      <c r="Q302" s="76"/>
      <c r="R302" s="76"/>
      <c r="S302" s="76"/>
      <c r="T302" s="76"/>
      <c r="U302" s="76" t="s">
        <v>1880</v>
      </c>
      <c r="V302" s="76"/>
      <c r="W302" s="76"/>
      <c r="X302" s="76"/>
    </row>
    <row r="303" ht="18.0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 t="s">
        <v>1881</v>
      </c>
      <c r="L303" s="76"/>
      <c r="M303" s="76" t="s">
        <v>1882</v>
      </c>
      <c r="N303" s="76"/>
      <c r="O303" s="76"/>
      <c r="P303" s="76"/>
      <c r="Q303" s="76"/>
      <c r="R303" s="76"/>
      <c r="S303" s="76"/>
      <c r="T303" s="76"/>
      <c r="U303" s="76" t="s">
        <v>1883</v>
      </c>
      <c r="V303" s="76"/>
      <c r="W303" s="76"/>
      <c r="X303" s="76"/>
    </row>
    <row r="304" ht="18.0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 t="s">
        <v>1884</v>
      </c>
      <c r="L304" s="76"/>
      <c r="M304" s="76" t="s">
        <v>1885</v>
      </c>
      <c r="N304" s="76"/>
      <c r="O304" s="76"/>
      <c r="P304" s="76"/>
      <c r="Q304" s="76"/>
      <c r="R304" s="76"/>
      <c r="S304" s="76"/>
      <c r="T304" s="76"/>
      <c r="U304" s="76" t="s">
        <v>1886</v>
      </c>
      <c r="V304" s="76"/>
      <c r="W304" s="76"/>
      <c r="X304" s="76"/>
    </row>
    <row r="305" ht="18.0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 t="s">
        <v>1887</v>
      </c>
      <c r="L305" s="76"/>
      <c r="M305" s="76" t="s">
        <v>1888</v>
      </c>
      <c r="N305" s="76"/>
      <c r="O305" s="76"/>
      <c r="P305" s="76"/>
      <c r="Q305" s="76"/>
      <c r="R305" s="76"/>
      <c r="S305" s="76"/>
      <c r="T305" s="76"/>
      <c r="U305" s="76" t="s">
        <v>1889</v>
      </c>
      <c r="V305" s="76"/>
      <c r="W305" s="76"/>
      <c r="X305" s="76"/>
    </row>
    <row r="306" ht="18.0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 t="s">
        <v>1890</v>
      </c>
      <c r="L306" s="76"/>
      <c r="M306" s="76" t="s">
        <v>1891</v>
      </c>
      <c r="N306" s="76"/>
      <c r="O306" s="76"/>
      <c r="P306" s="76"/>
      <c r="Q306" s="76"/>
      <c r="R306" s="76"/>
      <c r="S306" s="76"/>
      <c r="T306" s="76"/>
      <c r="U306" s="76" t="s">
        <v>1893</v>
      </c>
      <c r="V306" s="76"/>
      <c r="W306" s="76"/>
      <c r="X306" s="76"/>
    </row>
    <row r="307" ht="18.0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 t="s">
        <v>1894</v>
      </c>
      <c r="L307" s="76"/>
      <c r="M307" s="76" t="s">
        <v>1896</v>
      </c>
      <c r="N307" s="76"/>
      <c r="O307" s="76"/>
      <c r="P307" s="76"/>
      <c r="Q307" s="76"/>
      <c r="R307" s="76"/>
      <c r="S307" s="76"/>
      <c r="T307" s="76"/>
      <c r="U307" s="76" t="s">
        <v>1897</v>
      </c>
      <c r="V307" s="76"/>
      <c r="W307" s="76"/>
      <c r="X307" s="76"/>
    </row>
    <row r="308" ht="18.0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 t="s">
        <v>1898</v>
      </c>
      <c r="L308" s="76"/>
      <c r="M308" s="76" t="s">
        <v>1899</v>
      </c>
      <c r="N308" s="76"/>
      <c r="O308" s="76"/>
      <c r="P308" s="76"/>
      <c r="Q308" s="76"/>
      <c r="R308" s="76"/>
      <c r="S308" s="76"/>
      <c r="T308" s="76"/>
      <c r="U308" s="76" t="s">
        <v>1900</v>
      </c>
      <c r="V308" s="76"/>
      <c r="W308" s="76"/>
      <c r="X308" s="76"/>
    </row>
    <row r="309" ht="18.0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 t="s">
        <v>1901</v>
      </c>
      <c r="L309" s="76"/>
      <c r="M309" s="76" t="s">
        <v>1902</v>
      </c>
      <c r="N309" s="76"/>
      <c r="O309" s="76"/>
      <c r="P309" s="76"/>
      <c r="Q309" s="76"/>
      <c r="R309" s="76"/>
      <c r="S309" s="76"/>
      <c r="T309" s="76"/>
      <c r="U309" s="76" t="s">
        <v>1903</v>
      </c>
      <c r="V309" s="76"/>
      <c r="W309" s="76"/>
      <c r="X309" s="76"/>
    </row>
    <row r="310" ht="18.0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 t="s">
        <v>1904</v>
      </c>
      <c r="L310" s="76"/>
      <c r="M310" s="76" t="s">
        <v>1905</v>
      </c>
      <c r="N310" s="76"/>
      <c r="O310" s="76"/>
      <c r="P310" s="76"/>
      <c r="Q310" s="76"/>
      <c r="R310" s="76"/>
      <c r="S310" s="76"/>
      <c r="T310" s="76"/>
      <c r="U310" s="76" t="s">
        <v>1864</v>
      </c>
      <c r="V310" s="76"/>
      <c r="W310" s="76"/>
      <c r="X310" s="76"/>
    </row>
    <row r="311" ht="18.0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 t="s">
        <v>1906</v>
      </c>
      <c r="L311" s="76"/>
      <c r="M311" s="76" t="s">
        <v>1907</v>
      </c>
      <c r="N311" s="76"/>
      <c r="O311" s="76"/>
      <c r="P311" s="76"/>
      <c r="Q311" s="76"/>
      <c r="R311" s="76"/>
      <c r="S311" s="76"/>
      <c r="T311" s="76"/>
      <c r="U311" s="76" t="s">
        <v>1702</v>
      </c>
      <c r="V311" s="76"/>
      <c r="W311" s="76"/>
      <c r="X311" s="76"/>
    </row>
    <row r="312" ht="18.0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 t="s">
        <v>1908</v>
      </c>
      <c r="L312" s="76"/>
      <c r="M312" s="76" t="s">
        <v>1909</v>
      </c>
      <c r="N312" s="76"/>
      <c r="O312" s="76"/>
      <c r="P312" s="76"/>
      <c r="Q312" s="76"/>
      <c r="R312" s="76"/>
      <c r="S312" s="76"/>
      <c r="T312" s="76"/>
      <c r="U312" s="76" t="s">
        <v>1706</v>
      </c>
      <c r="V312" s="76"/>
      <c r="W312" s="76"/>
      <c r="X312" s="76"/>
    </row>
    <row r="313" ht="18.0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 t="s">
        <v>1911</v>
      </c>
      <c r="L313" s="76"/>
      <c r="M313" s="76" t="s">
        <v>1913</v>
      </c>
      <c r="N313" s="76"/>
      <c r="O313" s="76"/>
      <c r="P313" s="76"/>
      <c r="Q313" s="76"/>
      <c r="R313" s="76"/>
      <c r="S313" s="76"/>
      <c r="T313" s="76"/>
      <c r="U313" s="76" t="s">
        <v>1710</v>
      </c>
      <c r="V313" s="76"/>
      <c r="W313" s="76"/>
      <c r="X313" s="76"/>
    </row>
    <row r="314" ht="18.0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 t="s">
        <v>1917</v>
      </c>
      <c r="L314" s="76"/>
      <c r="M314" s="76" t="s">
        <v>1918</v>
      </c>
      <c r="N314" s="76"/>
      <c r="O314" s="76"/>
      <c r="P314" s="76"/>
      <c r="Q314" s="76"/>
      <c r="R314" s="76"/>
      <c r="S314" s="76"/>
      <c r="T314" s="76"/>
      <c r="U314" s="76" t="s">
        <v>1715</v>
      </c>
      <c r="V314" s="76"/>
      <c r="W314" s="76"/>
      <c r="X314" s="76"/>
    </row>
    <row r="315" ht="18.0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 t="s">
        <v>1921</v>
      </c>
      <c r="L315" s="76"/>
      <c r="M315" s="76" t="s">
        <v>1923</v>
      </c>
      <c r="N315" s="76"/>
      <c r="O315" s="76"/>
      <c r="P315" s="76"/>
      <c r="Q315" s="76"/>
      <c r="R315" s="76"/>
      <c r="S315" s="76"/>
      <c r="T315" s="76"/>
      <c r="U315" s="76" t="s">
        <v>1720</v>
      </c>
      <c r="V315" s="76"/>
      <c r="W315" s="76"/>
      <c r="X315" s="76"/>
    </row>
    <row r="316" ht="18.0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 t="s">
        <v>1926</v>
      </c>
      <c r="L316" s="76"/>
      <c r="M316" s="76" t="s">
        <v>1927</v>
      </c>
      <c r="N316" s="76"/>
      <c r="O316" s="76"/>
      <c r="P316" s="76"/>
      <c r="Q316" s="76"/>
      <c r="R316" s="76"/>
      <c r="S316" s="76"/>
      <c r="T316" s="76"/>
      <c r="U316" s="76" t="s">
        <v>1726</v>
      </c>
      <c r="V316" s="76"/>
      <c r="W316" s="76"/>
      <c r="X316" s="76"/>
    </row>
    <row r="317" ht="18.0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 t="s">
        <v>1929</v>
      </c>
      <c r="L317" s="76"/>
      <c r="M317" s="76" t="s">
        <v>1931</v>
      </c>
      <c r="N317" s="76"/>
      <c r="O317" s="76"/>
      <c r="P317" s="76"/>
      <c r="Q317" s="76"/>
      <c r="R317" s="76"/>
      <c r="S317" s="76"/>
      <c r="T317" s="76"/>
      <c r="U317" s="76" t="s">
        <v>1730</v>
      </c>
      <c r="V317" s="76"/>
      <c r="W317" s="76"/>
      <c r="X317" s="76"/>
    </row>
    <row r="318" ht="18.0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 t="s">
        <v>1938</v>
      </c>
      <c r="L318" s="76"/>
      <c r="M318" s="76" t="s">
        <v>1940</v>
      </c>
      <c r="N318" s="76"/>
      <c r="O318" s="76"/>
      <c r="P318" s="76"/>
      <c r="Q318" s="76"/>
      <c r="R318" s="76"/>
      <c r="S318" s="76"/>
      <c r="T318" s="76"/>
      <c r="U318" s="76" t="s">
        <v>1734</v>
      </c>
      <c r="V318" s="76"/>
      <c r="W318" s="76"/>
      <c r="X318" s="76"/>
    </row>
    <row r="319" ht="18.0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 t="s">
        <v>1942</v>
      </c>
      <c r="L319" s="76"/>
      <c r="M319" s="76" t="s">
        <v>1943</v>
      </c>
      <c r="N319" s="76"/>
      <c r="O319" s="76"/>
      <c r="P319" s="76"/>
      <c r="Q319" s="76"/>
      <c r="R319" s="76"/>
      <c r="S319" s="76"/>
      <c r="T319" s="76"/>
      <c r="U319" s="76" t="s">
        <v>1738</v>
      </c>
      <c r="V319" s="76"/>
      <c r="W319" s="76"/>
      <c r="X319" s="76"/>
    </row>
    <row r="320" ht="18.0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 t="s">
        <v>1947</v>
      </c>
      <c r="L320" s="76"/>
      <c r="M320" s="76" t="s">
        <v>1949</v>
      </c>
      <c r="N320" s="76"/>
      <c r="O320" s="76"/>
      <c r="P320" s="76"/>
      <c r="Q320" s="76"/>
      <c r="R320" s="76"/>
      <c r="S320" s="76"/>
      <c r="T320" s="76"/>
      <c r="U320" s="76" t="s">
        <v>1742</v>
      </c>
      <c r="V320" s="76"/>
      <c r="W320" s="76"/>
      <c r="X320" s="76"/>
    </row>
    <row r="321" ht="18.0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 t="s">
        <v>1953</v>
      </c>
      <c r="L321" s="76"/>
      <c r="M321" s="76" t="s">
        <v>1954</v>
      </c>
      <c r="N321" s="76"/>
      <c r="O321" s="76"/>
      <c r="P321" s="76"/>
      <c r="Q321" s="76"/>
      <c r="R321" s="76"/>
      <c r="S321" s="76"/>
      <c r="T321" s="76"/>
      <c r="U321" s="76" t="s">
        <v>1746</v>
      </c>
      <c r="V321" s="76"/>
      <c r="W321" s="76"/>
      <c r="X321" s="76"/>
    </row>
    <row r="322" ht="18.0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 t="s">
        <v>1955</v>
      </c>
      <c r="L322" s="76"/>
      <c r="M322" s="76" t="s">
        <v>1956</v>
      </c>
      <c r="N322" s="76"/>
      <c r="O322" s="76"/>
      <c r="P322" s="76"/>
      <c r="Q322" s="76"/>
      <c r="R322" s="76"/>
      <c r="S322" s="76"/>
      <c r="T322" s="76"/>
      <c r="U322" s="76" t="s">
        <v>1750</v>
      </c>
      <c r="V322" s="76"/>
      <c r="W322" s="76"/>
      <c r="X322" s="76"/>
    </row>
    <row r="323" ht="18.0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 t="s">
        <v>1958</v>
      </c>
      <c r="L323" s="76"/>
      <c r="M323" s="76" t="s">
        <v>1959</v>
      </c>
      <c r="N323" s="76"/>
      <c r="O323" s="76"/>
      <c r="P323" s="76"/>
      <c r="Q323" s="76"/>
      <c r="R323" s="76"/>
      <c r="S323" s="76"/>
      <c r="T323" s="76"/>
      <c r="U323" s="76" t="s">
        <v>1754</v>
      </c>
      <c r="V323" s="76"/>
      <c r="W323" s="76"/>
      <c r="X323" s="76"/>
    </row>
    <row r="324" ht="18.0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 t="s">
        <v>1960</v>
      </c>
      <c r="L324" s="76"/>
      <c r="M324" s="76" t="s">
        <v>1961</v>
      </c>
      <c r="N324" s="76"/>
      <c r="O324" s="76"/>
      <c r="P324" s="76"/>
      <c r="Q324" s="76"/>
      <c r="R324" s="76"/>
      <c r="S324" s="76"/>
      <c r="T324" s="76"/>
      <c r="U324" s="76" t="s">
        <v>1759</v>
      </c>
      <c r="V324" s="76"/>
      <c r="W324" s="76"/>
      <c r="X324" s="76"/>
    </row>
    <row r="325" ht="18.0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 t="s">
        <v>1962</v>
      </c>
      <c r="L325" s="76"/>
      <c r="M325" s="76" t="s">
        <v>1963</v>
      </c>
      <c r="N325" s="76"/>
      <c r="O325" s="76"/>
      <c r="P325" s="76"/>
      <c r="Q325" s="76"/>
      <c r="R325" s="76"/>
      <c r="S325" s="76"/>
      <c r="T325" s="76"/>
      <c r="U325" s="76" t="s">
        <v>1763</v>
      </c>
      <c r="V325" s="76"/>
      <c r="W325" s="76"/>
      <c r="X325" s="76"/>
    </row>
    <row r="326" ht="18.0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 t="s">
        <v>1964</v>
      </c>
      <c r="L326" s="76"/>
      <c r="M326" s="76" t="s">
        <v>1965</v>
      </c>
      <c r="N326" s="76"/>
      <c r="O326" s="76"/>
      <c r="P326" s="76"/>
      <c r="Q326" s="76"/>
      <c r="R326" s="76"/>
      <c r="S326" s="76"/>
      <c r="T326" s="76"/>
      <c r="U326" s="76" t="s">
        <v>1966</v>
      </c>
      <c r="V326" s="76"/>
      <c r="W326" s="76"/>
      <c r="X326" s="76"/>
    </row>
    <row r="327" ht="18.0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 t="s">
        <v>1967</v>
      </c>
      <c r="L327" s="76"/>
      <c r="M327" s="76" t="s">
        <v>1968</v>
      </c>
      <c r="N327" s="76"/>
      <c r="O327" s="76"/>
      <c r="P327" s="76"/>
      <c r="Q327" s="76"/>
      <c r="R327" s="76"/>
      <c r="S327" s="76"/>
      <c r="T327" s="76"/>
      <c r="U327" s="76" t="s">
        <v>1969</v>
      </c>
      <c r="V327" s="76"/>
      <c r="W327" s="76"/>
      <c r="X327" s="76"/>
    </row>
    <row r="328" ht="18.0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 t="s">
        <v>1970</v>
      </c>
      <c r="L328" s="76"/>
      <c r="M328" s="76" t="s">
        <v>1971</v>
      </c>
      <c r="N328" s="76"/>
      <c r="O328" s="76"/>
      <c r="P328" s="76"/>
      <c r="Q328" s="76"/>
      <c r="R328" s="76"/>
      <c r="S328" s="76"/>
      <c r="T328" s="76"/>
      <c r="U328" s="76" t="s">
        <v>1972</v>
      </c>
      <c r="V328" s="76"/>
      <c r="W328" s="76"/>
      <c r="X328" s="76"/>
    </row>
    <row r="329" ht="18.0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 t="s">
        <v>1973</v>
      </c>
      <c r="L329" s="76"/>
      <c r="M329" s="76" t="s">
        <v>1974</v>
      </c>
      <c r="N329" s="76"/>
      <c r="O329" s="76"/>
      <c r="P329" s="76"/>
      <c r="Q329" s="76"/>
      <c r="R329" s="76"/>
      <c r="S329" s="76"/>
      <c r="T329" s="76"/>
      <c r="U329" s="76" t="s">
        <v>1975</v>
      </c>
      <c r="V329" s="76"/>
      <c r="W329" s="76"/>
      <c r="X329" s="76"/>
    </row>
    <row r="330" ht="18.0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 t="s">
        <v>1976</v>
      </c>
      <c r="L330" s="76"/>
      <c r="M330" s="76" t="s">
        <v>1977</v>
      </c>
      <c r="N330" s="76"/>
      <c r="O330" s="76"/>
      <c r="P330" s="76"/>
      <c r="Q330" s="76"/>
      <c r="R330" s="76"/>
      <c r="S330" s="76"/>
      <c r="T330" s="76"/>
      <c r="U330" s="76" t="s">
        <v>1978</v>
      </c>
      <c r="V330" s="76"/>
      <c r="W330" s="76"/>
      <c r="X330" s="76"/>
    </row>
    <row r="331" ht="18.0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 t="s">
        <v>1979</v>
      </c>
      <c r="L331" s="76"/>
      <c r="M331" s="76" t="s">
        <v>1980</v>
      </c>
      <c r="N331" s="76"/>
      <c r="O331" s="76"/>
      <c r="P331" s="76"/>
      <c r="Q331" s="76"/>
      <c r="R331" s="76"/>
      <c r="S331" s="76"/>
      <c r="T331" s="76"/>
      <c r="U331" s="76" t="s">
        <v>1981</v>
      </c>
      <c r="V331" s="76"/>
      <c r="W331" s="76"/>
      <c r="X331" s="76"/>
    </row>
    <row r="332" ht="18.0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 t="s">
        <v>1982</v>
      </c>
      <c r="L332" s="76"/>
      <c r="M332" s="76" t="s">
        <v>1983</v>
      </c>
      <c r="N332" s="76"/>
      <c r="O332" s="76"/>
      <c r="P332" s="76"/>
      <c r="Q332" s="76"/>
      <c r="R332" s="76"/>
      <c r="S332" s="76"/>
      <c r="T332" s="76"/>
      <c r="U332" s="76" t="s">
        <v>1984</v>
      </c>
      <c r="V332" s="76"/>
      <c r="W332" s="76"/>
      <c r="X332" s="76"/>
    </row>
    <row r="333" ht="18.0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 t="s">
        <v>1985</v>
      </c>
      <c r="L333" s="76"/>
      <c r="M333" s="76" t="s">
        <v>1986</v>
      </c>
      <c r="N333" s="76"/>
      <c r="O333" s="76"/>
      <c r="P333" s="76"/>
      <c r="Q333" s="76"/>
      <c r="R333" s="76"/>
      <c r="S333" s="76"/>
      <c r="T333" s="76"/>
      <c r="U333" s="76" t="s">
        <v>1987</v>
      </c>
      <c r="V333" s="76"/>
      <c r="W333" s="76"/>
      <c r="X333" s="76"/>
    </row>
    <row r="334" ht="18.0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 t="s">
        <v>1988</v>
      </c>
      <c r="L334" s="76"/>
      <c r="M334" s="76" t="s">
        <v>1989</v>
      </c>
      <c r="N334" s="76"/>
      <c r="O334" s="76"/>
      <c r="P334" s="76"/>
      <c r="Q334" s="76"/>
      <c r="R334" s="76"/>
      <c r="S334" s="76"/>
      <c r="T334" s="76"/>
      <c r="U334" s="76" t="s">
        <v>1990</v>
      </c>
      <c r="V334" s="76"/>
      <c r="W334" s="76"/>
      <c r="X334" s="76"/>
    </row>
    <row r="335" ht="18.0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 t="s">
        <v>1991</v>
      </c>
      <c r="L335" s="76"/>
      <c r="M335" s="76" t="s">
        <v>1992</v>
      </c>
      <c r="N335" s="76"/>
      <c r="O335" s="76"/>
      <c r="P335" s="76"/>
      <c r="Q335" s="76"/>
      <c r="R335" s="76"/>
      <c r="S335" s="76"/>
      <c r="T335" s="76"/>
      <c r="U335" s="76" t="s">
        <v>1993</v>
      </c>
      <c r="V335" s="76"/>
      <c r="W335" s="76"/>
      <c r="X335" s="76"/>
    </row>
    <row r="336" ht="18.0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 t="s">
        <v>1994</v>
      </c>
      <c r="L336" s="76"/>
      <c r="M336" s="76" t="s">
        <v>1995</v>
      </c>
      <c r="N336" s="76"/>
      <c r="O336" s="76"/>
      <c r="P336" s="76"/>
      <c r="Q336" s="76"/>
      <c r="R336" s="76"/>
      <c r="S336" s="76"/>
      <c r="T336" s="76"/>
      <c r="U336" s="76" t="s">
        <v>1996</v>
      </c>
      <c r="V336" s="76"/>
      <c r="W336" s="76"/>
      <c r="X336" s="76"/>
    </row>
    <row r="337" ht="18.0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 t="s">
        <v>1997</v>
      </c>
      <c r="L337" s="76"/>
      <c r="M337" s="76" t="s">
        <v>1998</v>
      </c>
      <c r="N337" s="76"/>
      <c r="O337" s="76"/>
      <c r="P337" s="76"/>
      <c r="Q337" s="76"/>
      <c r="R337" s="76"/>
      <c r="S337" s="76"/>
      <c r="T337" s="76"/>
      <c r="U337" s="76" t="s">
        <v>1999</v>
      </c>
      <c r="V337" s="76"/>
      <c r="W337" s="76"/>
      <c r="X337" s="76"/>
    </row>
    <row r="338" ht="18.0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 t="s">
        <v>2000</v>
      </c>
      <c r="L338" s="76"/>
      <c r="M338" s="76" t="s">
        <v>2001</v>
      </c>
      <c r="N338" s="76"/>
      <c r="O338" s="76"/>
      <c r="P338" s="76"/>
      <c r="Q338" s="76"/>
      <c r="R338" s="76"/>
      <c r="S338" s="76"/>
      <c r="T338" s="76"/>
      <c r="U338" s="76" t="s">
        <v>2002</v>
      </c>
      <c r="V338" s="76"/>
      <c r="W338" s="76"/>
      <c r="X338" s="76"/>
    </row>
    <row r="339" ht="18.0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 t="s">
        <v>2003</v>
      </c>
      <c r="L339" s="76"/>
      <c r="M339" s="76" t="s">
        <v>2004</v>
      </c>
      <c r="N339" s="76"/>
      <c r="O339" s="76"/>
      <c r="P339" s="76"/>
      <c r="Q339" s="76"/>
      <c r="R339" s="76"/>
      <c r="S339" s="76"/>
      <c r="T339" s="76"/>
      <c r="U339" s="76" t="s">
        <v>2005</v>
      </c>
      <c r="V339" s="76"/>
      <c r="W339" s="76"/>
      <c r="X339" s="76"/>
    </row>
    <row r="340" ht="18.0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 t="s">
        <v>2006</v>
      </c>
      <c r="L340" s="76"/>
      <c r="M340" s="76" t="s">
        <v>2007</v>
      </c>
      <c r="N340" s="76"/>
      <c r="O340" s="76"/>
      <c r="P340" s="76"/>
      <c r="Q340" s="76"/>
      <c r="R340" s="76"/>
      <c r="S340" s="76"/>
      <c r="T340" s="76"/>
      <c r="U340" s="76" t="s">
        <v>2008</v>
      </c>
      <c r="V340" s="76"/>
      <c r="W340" s="76"/>
      <c r="X340" s="76"/>
    </row>
    <row r="341" ht="18.0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 t="s">
        <v>2009</v>
      </c>
      <c r="L341" s="76"/>
      <c r="M341" s="76" t="s">
        <v>2010</v>
      </c>
      <c r="N341" s="76"/>
      <c r="O341" s="76"/>
      <c r="P341" s="76"/>
      <c r="Q341" s="76"/>
      <c r="R341" s="76"/>
      <c r="S341" s="76"/>
      <c r="T341" s="76"/>
      <c r="U341" s="76" t="s">
        <v>2011</v>
      </c>
      <c r="V341" s="76"/>
      <c r="W341" s="76"/>
      <c r="X341" s="76"/>
    </row>
    <row r="342" ht="18.0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 t="s">
        <v>2012</v>
      </c>
      <c r="L342" s="76"/>
      <c r="M342" s="76" t="s">
        <v>2013</v>
      </c>
      <c r="N342" s="76"/>
      <c r="O342" s="76"/>
      <c r="P342" s="76"/>
      <c r="Q342" s="76"/>
      <c r="R342" s="76"/>
      <c r="S342" s="76"/>
      <c r="T342" s="76"/>
      <c r="U342" s="76" t="s">
        <v>2014</v>
      </c>
      <c r="V342" s="76"/>
      <c r="W342" s="76"/>
      <c r="X342" s="76"/>
    </row>
    <row r="343" ht="18.0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 t="s">
        <v>2015</v>
      </c>
      <c r="L343" s="76"/>
      <c r="M343" s="76" t="s">
        <v>2016</v>
      </c>
      <c r="N343" s="76"/>
      <c r="O343" s="76"/>
      <c r="P343" s="76"/>
      <c r="Q343" s="76"/>
      <c r="R343" s="76"/>
      <c r="S343" s="76"/>
      <c r="T343" s="76"/>
      <c r="U343" s="76" t="s">
        <v>2017</v>
      </c>
      <c r="V343" s="76"/>
      <c r="W343" s="76"/>
      <c r="X343" s="76"/>
    </row>
    <row r="344" ht="18.0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 t="s">
        <v>2018</v>
      </c>
      <c r="L344" s="76"/>
      <c r="M344" s="76" t="s">
        <v>2019</v>
      </c>
      <c r="N344" s="76"/>
      <c r="O344" s="76"/>
      <c r="P344" s="76"/>
      <c r="Q344" s="76"/>
      <c r="R344" s="76"/>
      <c r="S344" s="76"/>
      <c r="T344" s="76"/>
      <c r="U344" s="76" t="s">
        <v>2020</v>
      </c>
      <c r="V344" s="76"/>
      <c r="W344" s="76"/>
      <c r="X344" s="76"/>
    </row>
    <row r="345" ht="18.0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 t="s">
        <v>2021</v>
      </c>
      <c r="L345" s="76"/>
      <c r="M345" s="76" t="s">
        <v>2022</v>
      </c>
      <c r="N345" s="76"/>
      <c r="O345" s="76"/>
      <c r="P345" s="76"/>
      <c r="Q345" s="76"/>
      <c r="R345" s="76"/>
      <c r="S345" s="76"/>
      <c r="T345" s="76"/>
      <c r="U345" s="76" t="s">
        <v>2023</v>
      </c>
      <c r="V345" s="76"/>
      <c r="W345" s="76"/>
      <c r="X345" s="76"/>
    </row>
    <row r="346" ht="18.0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 t="s">
        <v>2024</v>
      </c>
      <c r="L346" s="76"/>
      <c r="M346" s="76" t="s">
        <v>2025</v>
      </c>
      <c r="N346" s="76"/>
      <c r="O346" s="76"/>
      <c r="P346" s="76"/>
      <c r="Q346" s="76"/>
      <c r="R346" s="76"/>
      <c r="S346" s="76"/>
      <c r="T346" s="76"/>
      <c r="U346" s="76" t="s">
        <v>2026</v>
      </c>
      <c r="V346" s="76"/>
      <c r="W346" s="76"/>
      <c r="X346" s="76"/>
    </row>
    <row r="347" ht="18.0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 t="s">
        <v>2027</v>
      </c>
      <c r="L347" s="76"/>
      <c r="M347" s="76" t="s">
        <v>2028</v>
      </c>
      <c r="N347" s="76"/>
      <c r="O347" s="76"/>
      <c r="P347" s="76"/>
      <c r="Q347" s="76"/>
      <c r="R347" s="76"/>
      <c r="S347" s="76"/>
      <c r="T347" s="76"/>
      <c r="U347" s="76" t="s">
        <v>2029</v>
      </c>
      <c r="V347" s="76"/>
      <c r="W347" s="76"/>
      <c r="X347" s="76"/>
    </row>
    <row r="348" ht="18.0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 t="s">
        <v>2030</v>
      </c>
      <c r="L348" s="76"/>
      <c r="M348" s="76" t="s">
        <v>2031</v>
      </c>
      <c r="N348" s="76"/>
      <c r="O348" s="76"/>
      <c r="P348" s="76"/>
      <c r="Q348" s="76"/>
      <c r="R348" s="76"/>
      <c r="S348" s="76"/>
      <c r="T348" s="76"/>
      <c r="U348" s="76" t="s">
        <v>2032</v>
      </c>
      <c r="V348" s="76"/>
      <c r="W348" s="76"/>
      <c r="X348" s="76"/>
    </row>
    <row r="349" ht="18.0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 t="s">
        <v>2033</v>
      </c>
      <c r="L349" s="76"/>
      <c r="M349" s="76" t="s">
        <v>2034</v>
      </c>
      <c r="N349" s="76"/>
      <c r="O349" s="76"/>
      <c r="P349" s="76"/>
      <c r="Q349" s="76"/>
      <c r="R349" s="76"/>
      <c r="S349" s="76"/>
      <c r="T349" s="76"/>
      <c r="U349" s="76" t="s">
        <v>2035</v>
      </c>
      <c r="V349" s="76"/>
      <c r="W349" s="76"/>
      <c r="X349" s="76"/>
    </row>
    <row r="350" ht="18.0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 t="s">
        <v>2036</v>
      </c>
      <c r="L350" s="76"/>
      <c r="M350" s="76" t="s">
        <v>2037</v>
      </c>
      <c r="N350" s="76"/>
      <c r="O350" s="76"/>
      <c r="P350" s="76"/>
      <c r="Q350" s="76"/>
      <c r="R350" s="76"/>
      <c r="S350" s="76"/>
      <c r="T350" s="76"/>
      <c r="U350" s="76" t="s">
        <v>2038</v>
      </c>
      <c r="V350" s="76"/>
      <c r="W350" s="76"/>
      <c r="X350" s="76"/>
    </row>
    <row r="351" ht="18.0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 t="s">
        <v>2039</v>
      </c>
      <c r="L351" s="76"/>
      <c r="M351" s="76" t="s">
        <v>2040</v>
      </c>
      <c r="N351" s="76"/>
      <c r="O351" s="76"/>
      <c r="P351" s="76"/>
      <c r="Q351" s="76"/>
      <c r="R351" s="76"/>
      <c r="S351" s="76"/>
      <c r="T351" s="76"/>
      <c r="U351" s="76" t="s">
        <v>2041</v>
      </c>
      <c r="V351" s="76"/>
      <c r="W351" s="76"/>
      <c r="X351" s="76"/>
    </row>
    <row r="352" ht="18.0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 t="s">
        <v>2042</v>
      </c>
      <c r="L352" s="76"/>
      <c r="M352" s="76" t="s">
        <v>2043</v>
      </c>
      <c r="N352" s="76"/>
      <c r="O352" s="76"/>
      <c r="P352" s="76"/>
      <c r="Q352" s="76"/>
      <c r="R352" s="76"/>
      <c r="S352" s="76"/>
      <c r="T352" s="76"/>
      <c r="U352" s="76" t="s">
        <v>2044</v>
      </c>
      <c r="V352" s="76"/>
      <c r="W352" s="76"/>
      <c r="X352" s="76"/>
    </row>
    <row r="353" ht="18.0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 t="s">
        <v>2045</v>
      </c>
      <c r="L353" s="76"/>
      <c r="M353" s="76" t="s">
        <v>2046</v>
      </c>
      <c r="N353" s="76"/>
      <c r="O353" s="76"/>
      <c r="P353" s="76"/>
      <c r="Q353" s="76"/>
      <c r="R353" s="76"/>
      <c r="S353" s="76"/>
      <c r="T353" s="76"/>
      <c r="U353" s="76" t="s">
        <v>2047</v>
      </c>
      <c r="V353" s="76"/>
      <c r="W353" s="76"/>
      <c r="X353" s="76"/>
    </row>
    <row r="354" ht="18.0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 t="s">
        <v>2048</v>
      </c>
      <c r="L354" s="76"/>
      <c r="M354" s="76" t="s">
        <v>2049</v>
      </c>
      <c r="N354" s="76"/>
      <c r="O354" s="76"/>
      <c r="P354" s="76"/>
      <c r="Q354" s="76"/>
      <c r="R354" s="76"/>
      <c r="S354" s="76"/>
      <c r="T354" s="76"/>
      <c r="U354" s="76" t="s">
        <v>2050</v>
      </c>
      <c r="V354" s="76"/>
      <c r="W354" s="76"/>
      <c r="X354" s="76"/>
    </row>
    <row r="355" ht="18.0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 t="s">
        <v>2051</v>
      </c>
      <c r="L355" s="76"/>
      <c r="M355" s="76" t="s">
        <v>2052</v>
      </c>
      <c r="N355" s="76"/>
      <c r="O355" s="76"/>
      <c r="P355" s="76"/>
      <c r="Q355" s="76"/>
      <c r="R355" s="76"/>
      <c r="S355" s="76"/>
      <c r="T355" s="76"/>
      <c r="U355" s="76" t="s">
        <v>2053</v>
      </c>
      <c r="V355" s="76"/>
      <c r="W355" s="76"/>
      <c r="X355" s="76"/>
    </row>
    <row r="356" ht="18.0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 t="s">
        <v>2054</v>
      </c>
      <c r="L356" s="76"/>
      <c r="M356" s="76" t="s">
        <v>2055</v>
      </c>
      <c r="N356" s="76"/>
      <c r="O356" s="76"/>
      <c r="P356" s="76"/>
      <c r="Q356" s="76"/>
      <c r="R356" s="76"/>
      <c r="S356" s="76"/>
      <c r="T356" s="76"/>
      <c r="U356" s="76" t="s">
        <v>2056</v>
      </c>
      <c r="V356" s="76"/>
      <c r="W356" s="76"/>
      <c r="X356" s="76"/>
    </row>
    <row r="357" ht="18.0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 t="s">
        <v>2057</v>
      </c>
      <c r="L357" s="76"/>
      <c r="M357" s="76" t="s">
        <v>2058</v>
      </c>
      <c r="N357" s="76"/>
      <c r="O357" s="76"/>
      <c r="P357" s="76"/>
      <c r="Q357" s="76"/>
      <c r="R357" s="76"/>
      <c r="S357" s="76"/>
      <c r="T357" s="76"/>
      <c r="U357" s="76" t="s">
        <v>2059</v>
      </c>
      <c r="V357" s="76"/>
      <c r="W357" s="76"/>
      <c r="X357" s="76"/>
    </row>
    <row r="358" ht="18.0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 t="s">
        <v>2060</v>
      </c>
      <c r="L358" s="76"/>
      <c r="M358" s="76" t="s">
        <v>2061</v>
      </c>
      <c r="N358" s="76"/>
      <c r="O358" s="76"/>
      <c r="P358" s="76"/>
      <c r="Q358" s="76"/>
      <c r="R358" s="76"/>
      <c r="S358" s="76"/>
      <c r="T358" s="76"/>
      <c r="U358" s="76" t="s">
        <v>2062</v>
      </c>
      <c r="V358" s="76"/>
      <c r="W358" s="76"/>
      <c r="X358" s="76"/>
    </row>
    <row r="359" ht="18.0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 t="s">
        <v>2063</v>
      </c>
      <c r="L359" s="76"/>
      <c r="M359" s="76" t="s">
        <v>2064</v>
      </c>
      <c r="N359" s="76"/>
      <c r="O359" s="76"/>
      <c r="P359" s="76"/>
      <c r="Q359" s="76"/>
      <c r="R359" s="76"/>
      <c r="S359" s="76"/>
      <c r="T359" s="76"/>
      <c r="U359" s="76" t="s">
        <v>2065</v>
      </c>
      <c r="V359" s="76"/>
      <c r="W359" s="76"/>
      <c r="X359" s="76"/>
    </row>
    <row r="360" ht="18.0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 t="s">
        <v>2066</v>
      </c>
      <c r="L360" s="76"/>
      <c r="M360" s="76" t="s">
        <v>2067</v>
      </c>
      <c r="N360" s="76"/>
      <c r="O360" s="76"/>
      <c r="P360" s="76"/>
      <c r="Q360" s="76"/>
      <c r="R360" s="76"/>
      <c r="S360" s="76"/>
      <c r="T360" s="76"/>
      <c r="U360" s="76" t="s">
        <v>2068</v>
      </c>
      <c r="V360" s="76"/>
      <c r="W360" s="76"/>
      <c r="X360" s="76"/>
    </row>
    <row r="361" ht="18.0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 t="s">
        <v>2069</v>
      </c>
      <c r="L361" s="76"/>
      <c r="M361" s="76" t="s">
        <v>2070</v>
      </c>
      <c r="N361" s="76"/>
      <c r="O361" s="76"/>
      <c r="P361" s="76"/>
      <c r="Q361" s="76"/>
      <c r="R361" s="76"/>
      <c r="S361" s="76"/>
      <c r="T361" s="76"/>
      <c r="U361" s="76" t="s">
        <v>2071</v>
      </c>
      <c r="V361" s="76"/>
      <c r="W361" s="76"/>
      <c r="X361" s="76"/>
    </row>
    <row r="362" ht="18.0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 t="s">
        <v>2072</v>
      </c>
      <c r="L362" s="76"/>
      <c r="M362" s="76" t="s">
        <v>2073</v>
      </c>
      <c r="N362" s="76"/>
      <c r="O362" s="76"/>
      <c r="P362" s="76"/>
      <c r="Q362" s="76"/>
      <c r="R362" s="76"/>
      <c r="S362" s="76"/>
      <c r="T362" s="76"/>
      <c r="U362" s="76" t="s">
        <v>2074</v>
      </c>
      <c r="V362" s="76"/>
      <c r="W362" s="76"/>
      <c r="X362" s="76"/>
    </row>
    <row r="363" ht="18.0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 t="s">
        <v>2075</v>
      </c>
      <c r="L363" s="76"/>
      <c r="M363" s="76" t="s">
        <v>2076</v>
      </c>
      <c r="N363" s="76"/>
      <c r="O363" s="76"/>
      <c r="P363" s="76"/>
      <c r="Q363" s="76"/>
      <c r="R363" s="76"/>
      <c r="S363" s="76"/>
      <c r="T363" s="76"/>
      <c r="U363" s="76" t="s">
        <v>2077</v>
      </c>
      <c r="V363" s="76"/>
      <c r="W363" s="76"/>
      <c r="X363" s="76"/>
    </row>
    <row r="364" ht="18.0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 t="s">
        <v>2078</v>
      </c>
      <c r="L364" s="76"/>
      <c r="M364" s="76" t="s">
        <v>2079</v>
      </c>
      <c r="N364" s="76"/>
      <c r="O364" s="76"/>
      <c r="P364" s="76"/>
      <c r="Q364" s="76"/>
      <c r="R364" s="76"/>
      <c r="S364" s="76"/>
      <c r="T364" s="76"/>
      <c r="U364" s="76" t="s">
        <v>2080</v>
      </c>
      <c r="V364" s="76"/>
      <c r="W364" s="76"/>
      <c r="X364" s="76"/>
    </row>
    <row r="365" ht="18.0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 t="s">
        <v>2081</v>
      </c>
      <c r="L365" s="76"/>
      <c r="M365" s="76" t="s">
        <v>2082</v>
      </c>
      <c r="N365" s="76"/>
      <c r="O365" s="76"/>
      <c r="P365" s="76"/>
      <c r="Q365" s="76"/>
      <c r="R365" s="76"/>
      <c r="S365" s="76"/>
      <c r="T365" s="76"/>
      <c r="U365" s="76" t="s">
        <v>125</v>
      </c>
      <c r="V365" s="76"/>
      <c r="W365" s="76"/>
      <c r="X365" s="76"/>
    </row>
    <row r="366" ht="18.0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 t="s">
        <v>2083</v>
      </c>
      <c r="L366" s="76"/>
      <c r="M366" s="76" t="s">
        <v>2084</v>
      </c>
      <c r="N366" s="76"/>
      <c r="O366" s="76"/>
      <c r="P366" s="76"/>
      <c r="Q366" s="76"/>
      <c r="R366" s="76"/>
      <c r="S366" s="76"/>
      <c r="T366" s="76"/>
      <c r="U366" s="76" t="s">
        <v>2085</v>
      </c>
      <c r="V366" s="76"/>
      <c r="W366" s="76"/>
      <c r="X366" s="76"/>
    </row>
    <row r="367" ht="18.0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 t="s">
        <v>2086</v>
      </c>
      <c r="L367" s="76"/>
      <c r="M367" s="76" t="s">
        <v>2087</v>
      </c>
      <c r="N367" s="76"/>
      <c r="O367" s="76"/>
      <c r="P367" s="76"/>
      <c r="Q367" s="76"/>
      <c r="R367" s="76"/>
      <c r="S367" s="76"/>
      <c r="T367" s="76"/>
      <c r="U367" s="76" t="s">
        <v>2088</v>
      </c>
      <c r="V367" s="76"/>
      <c r="W367" s="76"/>
      <c r="X367" s="76"/>
    </row>
    <row r="368" ht="18.0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 t="s">
        <v>2089</v>
      </c>
      <c r="L368" s="76"/>
      <c r="M368" s="76" t="s">
        <v>2090</v>
      </c>
      <c r="N368" s="76"/>
      <c r="O368" s="76"/>
      <c r="P368" s="76"/>
      <c r="Q368" s="76"/>
      <c r="R368" s="76"/>
      <c r="S368" s="76"/>
      <c r="T368" s="76"/>
      <c r="U368" s="76" t="s">
        <v>2091</v>
      </c>
      <c r="V368" s="76"/>
      <c r="W368" s="76"/>
      <c r="X368" s="76"/>
    </row>
    <row r="369" ht="18.0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 t="s">
        <v>2092</v>
      </c>
      <c r="L369" s="76"/>
      <c r="M369" s="76" t="s">
        <v>2093</v>
      </c>
      <c r="N369" s="76"/>
      <c r="O369" s="76"/>
      <c r="P369" s="76"/>
      <c r="Q369" s="76"/>
      <c r="R369" s="76"/>
      <c r="S369" s="76"/>
      <c r="T369" s="76"/>
      <c r="U369" s="76" t="s">
        <v>2094</v>
      </c>
      <c r="V369" s="76"/>
      <c r="W369" s="76"/>
      <c r="X369" s="76"/>
    </row>
    <row r="370" ht="18.0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 t="s">
        <v>214</v>
      </c>
      <c r="L370" s="76"/>
      <c r="M370" s="76" t="s">
        <v>2095</v>
      </c>
      <c r="N370" s="76"/>
      <c r="O370" s="76"/>
      <c r="P370" s="76"/>
      <c r="Q370" s="76"/>
      <c r="R370" s="76"/>
      <c r="S370" s="76"/>
      <c r="T370" s="76"/>
      <c r="U370" s="76" t="s">
        <v>2096</v>
      </c>
      <c r="V370" s="76"/>
      <c r="W370" s="76"/>
      <c r="X370" s="76"/>
    </row>
    <row r="371" ht="18.0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 t="s">
        <v>2097</v>
      </c>
      <c r="L371" s="76"/>
      <c r="M371" s="76" t="s">
        <v>2098</v>
      </c>
      <c r="N371" s="76"/>
      <c r="O371" s="76"/>
      <c r="P371" s="76"/>
      <c r="Q371" s="76"/>
      <c r="R371" s="76"/>
      <c r="S371" s="76"/>
      <c r="T371" s="76"/>
      <c r="U371" s="76" t="s">
        <v>2099</v>
      </c>
      <c r="V371" s="76"/>
      <c r="W371" s="76"/>
      <c r="X371" s="76"/>
    </row>
    <row r="372" ht="18.0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 t="s">
        <v>82</v>
      </c>
      <c r="L372" s="76"/>
      <c r="M372" s="76" t="s">
        <v>2100</v>
      </c>
      <c r="N372" s="76"/>
      <c r="O372" s="76"/>
      <c r="P372" s="76"/>
      <c r="Q372" s="76"/>
      <c r="R372" s="76"/>
      <c r="S372" s="76"/>
      <c r="T372" s="76"/>
      <c r="U372" s="76" t="s">
        <v>2101</v>
      </c>
      <c r="V372" s="76"/>
      <c r="W372" s="76"/>
      <c r="X372" s="76"/>
    </row>
    <row r="373" ht="18.0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 t="s">
        <v>388</v>
      </c>
      <c r="L373" s="76"/>
      <c r="M373" s="76" t="s">
        <v>2102</v>
      </c>
      <c r="N373" s="76"/>
      <c r="O373" s="76"/>
      <c r="P373" s="76"/>
      <c r="Q373" s="76"/>
      <c r="R373" s="76"/>
      <c r="S373" s="76"/>
      <c r="T373" s="76"/>
      <c r="U373" s="76" t="s">
        <v>2103</v>
      </c>
      <c r="V373" s="76"/>
      <c r="W373" s="76"/>
      <c r="X373" s="76"/>
    </row>
    <row r="374" ht="18.0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 t="s">
        <v>521</v>
      </c>
      <c r="L374" s="76"/>
      <c r="M374" s="76" t="s">
        <v>2104</v>
      </c>
      <c r="N374" s="76"/>
      <c r="O374" s="76"/>
      <c r="P374" s="76"/>
      <c r="Q374" s="76"/>
      <c r="R374" s="76"/>
      <c r="S374" s="76"/>
      <c r="T374" s="76"/>
      <c r="U374" s="76" t="s">
        <v>2105</v>
      </c>
      <c r="V374" s="76"/>
      <c r="W374" s="76"/>
      <c r="X374" s="76"/>
    </row>
    <row r="375" ht="18.0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 t="s">
        <v>2106</v>
      </c>
      <c r="L375" s="76"/>
      <c r="M375" s="76" t="s">
        <v>2107</v>
      </c>
      <c r="N375" s="76"/>
      <c r="O375" s="76"/>
      <c r="P375" s="76"/>
      <c r="Q375" s="76"/>
      <c r="R375" s="76"/>
      <c r="S375" s="76"/>
      <c r="T375" s="76"/>
      <c r="U375" s="76" t="s">
        <v>2108</v>
      </c>
      <c r="V375" s="76"/>
      <c r="W375" s="76"/>
      <c r="X375" s="76"/>
    </row>
    <row r="376" ht="18.0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 t="s">
        <v>2109</v>
      </c>
      <c r="L376" s="76"/>
      <c r="M376" s="76" t="s">
        <v>2110</v>
      </c>
      <c r="N376" s="76"/>
      <c r="O376" s="76"/>
      <c r="P376" s="76"/>
      <c r="Q376" s="76"/>
      <c r="R376" s="76"/>
      <c r="S376" s="76"/>
      <c r="T376" s="76"/>
      <c r="U376" s="76" t="s">
        <v>2111</v>
      </c>
      <c r="V376" s="76"/>
      <c r="W376" s="76"/>
      <c r="X376" s="76"/>
    </row>
    <row r="377" ht="18.0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 t="s">
        <v>2112</v>
      </c>
      <c r="L377" s="76"/>
      <c r="M377" s="76" t="s">
        <v>2113</v>
      </c>
      <c r="N377" s="76"/>
      <c r="O377" s="76"/>
      <c r="P377" s="76"/>
      <c r="Q377" s="76"/>
      <c r="R377" s="76"/>
      <c r="S377" s="76"/>
      <c r="T377" s="76"/>
      <c r="U377" s="76" t="s">
        <v>2114</v>
      </c>
      <c r="V377" s="76"/>
      <c r="W377" s="76"/>
      <c r="X377" s="76"/>
    </row>
    <row r="378" ht="18.0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 t="s">
        <v>2115</v>
      </c>
      <c r="L378" s="76"/>
      <c r="M378" s="76" t="s">
        <v>2116</v>
      </c>
      <c r="N378" s="76"/>
      <c r="O378" s="76"/>
      <c r="P378" s="76"/>
      <c r="Q378" s="76"/>
      <c r="R378" s="76"/>
      <c r="S378" s="76"/>
      <c r="T378" s="76"/>
      <c r="U378" s="76" t="s">
        <v>2117</v>
      </c>
      <c r="V378" s="76"/>
      <c r="W378" s="76"/>
      <c r="X378" s="76"/>
    </row>
    <row r="379" ht="18.0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 t="s">
        <v>2118</v>
      </c>
      <c r="L379" s="76"/>
      <c r="M379" s="76" t="s">
        <v>2119</v>
      </c>
      <c r="N379" s="76"/>
      <c r="O379" s="76"/>
      <c r="P379" s="76"/>
      <c r="Q379" s="76"/>
      <c r="R379" s="76"/>
      <c r="S379" s="76"/>
      <c r="T379" s="76"/>
      <c r="U379" s="76" t="s">
        <v>2120</v>
      </c>
      <c r="V379" s="76"/>
      <c r="W379" s="76"/>
      <c r="X379" s="76"/>
    </row>
    <row r="380" ht="18.0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 t="s">
        <v>176</v>
      </c>
      <c r="L380" s="76"/>
      <c r="M380" s="76" t="s">
        <v>2121</v>
      </c>
      <c r="N380" s="76"/>
      <c r="O380" s="76"/>
      <c r="P380" s="76"/>
      <c r="Q380" s="76"/>
      <c r="R380" s="76"/>
      <c r="S380" s="76"/>
      <c r="T380" s="76"/>
      <c r="U380" s="76" t="s">
        <v>2122</v>
      </c>
      <c r="V380" s="76"/>
      <c r="W380" s="76"/>
      <c r="X380" s="76"/>
    </row>
    <row r="381" ht="18.0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 t="s">
        <v>2123</v>
      </c>
      <c r="L381" s="76"/>
      <c r="M381" s="76" t="s">
        <v>2124</v>
      </c>
      <c r="N381" s="76"/>
      <c r="O381" s="76"/>
      <c r="P381" s="76"/>
      <c r="Q381" s="76"/>
      <c r="R381" s="76"/>
      <c r="S381" s="76"/>
      <c r="T381" s="76"/>
      <c r="U381" s="76" t="s">
        <v>2125</v>
      </c>
      <c r="V381" s="76"/>
      <c r="W381" s="76"/>
      <c r="X381" s="76"/>
    </row>
    <row r="382" ht="18.0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 t="s">
        <v>2126</v>
      </c>
      <c r="L382" s="76"/>
      <c r="M382" s="76" t="s">
        <v>2127</v>
      </c>
      <c r="N382" s="76"/>
      <c r="O382" s="76"/>
      <c r="P382" s="76"/>
      <c r="Q382" s="76"/>
      <c r="R382" s="76"/>
      <c r="S382" s="76"/>
      <c r="T382" s="76"/>
      <c r="U382" s="76" t="s">
        <v>2128</v>
      </c>
      <c r="V382" s="76"/>
      <c r="W382" s="76"/>
      <c r="X382" s="76"/>
    </row>
    <row r="383" ht="18.0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 t="s">
        <v>137</v>
      </c>
      <c r="L383" s="76"/>
      <c r="M383" s="76" t="s">
        <v>2129</v>
      </c>
      <c r="N383" s="76"/>
      <c r="O383" s="76"/>
      <c r="P383" s="76"/>
      <c r="Q383" s="76"/>
      <c r="R383" s="76"/>
      <c r="S383" s="76"/>
      <c r="T383" s="76"/>
      <c r="U383" s="76" t="s">
        <v>2130</v>
      </c>
      <c r="V383" s="76"/>
      <c r="W383" s="76"/>
      <c r="X383" s="76"/>
    </row>
    <row r="384" ht="18.0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 t="s">
        <v>599</v>
      </c>
      <c r="L384" s="76"/>
      <c r="M384" s="76" t="s">
        <v>2131</v>
      </c>
      <c r="N384" s="76"/>
      <c r="O384" s="76"/>
      <c r="P384" s="76"/>
      <c r="Q384" s="76"/>
      <c r="R384" s="76"/>
      <c r="S384" s="76"/>
      <c r="T384" s="76"/>
      <c r="U384" s="76" t="s">
        <v>2132</v>
      </c>
      <c r="V384" s="76"/>
      <c r="W384" s="76"/>
      <c r="X384" s="76"/>
    </row>
    <row r="385" ht="18.0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 t="s">
        <v>311</v>
      </c>
      <c r="L385" s="76"/>
      <c r="M385" s="76" t="s">
        <v>2133</v>
      </c>
      <c r="N385" s="76"/>
      <c r="O385" s="76"/>
      <c r="P385" s="76"/>
      <c r="Q385" s="76"/>
      <c r="R385" s="76"/>
      <c r="S385" s="76"/>
      <c r="T385" s="76"/>
      <c r="U385" s="76" t="s">
        <v>2134</v>
      </c>
      <c r="V385" s="76"/>
      <c r="W385" s="76"/>
      <c r="X385" s="76"/>
    </row>
    <row r="386" ht="18.0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 t="s">
        <v>2135</v>
      </c>
      <c r="L386" s="76"/>
      <c r="M386" s="76" t="s">
        <v>2136</v>
      </c>
      <c r="N386" s="76"/>
      <c r="O386" s="76"/>
      <c r="P386" s="76"/>
      <c r="Q386" s="76"/>
      <c r="R386" s="76"/>
      <c r="S386" s="76"/>
      <c r="T386" s="76"/>
      <c r="U386" s="76" t="s">
        <v>2137</v>
      </c>
      <c r="V386" s="76"/>
      <c r="W386" s="76"/>
      <c r="X386" s="76"/>
    </row>
    <row r="387" ht="18.0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 t="s">
        <v>740</v>
      </c>
      <c r="L387" s="76"/>
      <c r="M387" s="76" t="s">
        <v>2138</v>
      </c>
      <c r="N387" s="76"/>
      <c r="O387" s="76"/>
      <c r="P387" s="76"/>
      <c r="Q387" s="76"/>
      <c r="R387" s="76"/>
      <c r="S387" s="76"/>
      <c r="T387" s="76"/>
      <c r="U387" s="76" t="s">
        <v>2139</v>
      </c>
      <c r="V387" s="76"/>
      <c r="W387" s="76"/>
      <c r="X387" s="76"/>
    </row>
    <row r="388" ht="18.0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 t="s">
        <v>260</v>
      </c>
      <c r="L388" s="76"/>
      <c r="M388" s="76" t="s">
        <v>2140</v>
      </c>
      <c r="N388" s="76"/>
      <c r="O388" s="76"/>
      <c r="P388" s="76"/>
      <c r="Q388" s="76"/>
      <c r="R388" s="76"/>
      <c r="S388" s="76"/>
      <c r="T388" s="76"/>
      <c r="U388" s="76" t="s">
        <v>2141</v>
      </c>
      <c r="V388" s="76"/>
      <c r="W388" s="76"/>
      <c r="X388" s="76"/>
    </row>
    <row r="389" ht="18.0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 t="s">
        <v>2142</v>
      </c>
      <c r="L389" s="76"/>
      <c r="M389" s="76" t="s">
        <v>2143</v>
      </c>
      <c r="N389" s="76"/>
      <c r="O389" s="76"/>
      <c r="P389" s="76"/>
      <c r="Q389" s="76"/>
      <c r="R389" s="76"/>
      <c r="S389" s="76"/>
      <c r="T389" s="76"/>
      <c r="U389" s="76" t="s">
        <v>2144</v>
      </c>
      <c r="V389" s="76"/>
      <c r="W389" s="76"/>
      <c r="X389" s="76"/>
    </row>
    <row r="390" ht="18.0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 t="s">
        <v>2145</v>
      </c>
      <c r="L390" s="76"/>
      <c r="M390" s="76" t="s">
        <v>2146</v>
      </c>
      <c r="N390" s="76"/>
      <c r="O390" s="76"/>
      <c r="P390" s="76"/>
      <c r="Q390" s="76"/>
      <c r="R390" s="76"/>
      <c r="S390" s="76"/>
      <c r="T390" s="76"/>
      <c r="U390" s="76" t="s">
        <v>2147</v>
      </c>
      <c r="V390" s="76"/>
      <c r="W390" s="76"/>
      <c r="X390" s="76"/>
    </row>
    <row r="391" ht="18.0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 t="s">
        <v>2148</v>
      </c>
      <c r="L391" s="76"/>
      <c r="M391" s="76" t="s">
        <v>2149</v>
      </c>
      <c r="N391" s="76"/>
      <c r="O391" s="76"/>
      <c r="P391" s="76"/>
      <c r="Q391" s="76"/>
      <c r="R391" s="76"/>
      <c r="S391" s="76"/>
      <c r="T391" s="76"/>
      <c r="U391" s="76" t="s">
        <v>2150</v>
      </c>
      <c r="V391" s="76"/>
      <c r="W391" s="76"/>
      <c r="X391" s="76"/>
    </row>
    <row r="392" ht="18.0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 t="s">
        <v>497</v>
      </c>
      <c r="L392" s="76"/>
      <c r="M392" s="76" t="s">
        <v>2151</v>
      </c>
      <c r="N392" s="76"/>
      <c r="O392" s="76"/>
      <c r="P392" s="76"/>
      <c r="Q392" s="76"/>
      <c r="R392" s="76"/>
      <c r="S392" s="76"/>
      <c r="T392" s="76"/>
      <c r="U392" s="76" t="s">
        <v>2152</v>
      </c>
      <c r="V392" s="76"/>
      <c r="W392" s="76"/>
      <c r="X392" s="76"/>
    </row>
    <row r="393" ht="18.0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 t="s">
        <v>533</v>
      </c>
      <c r="L393" s="76"/>
      <c r="M393" s="76" t="s">
        <v>2153</v>
      </c>
      <c r="N393" s="76"/>
      <c r="O393" s="76"/>
      <c r="P393" s="76"/>
      <c r="Q393" s="76"/>
      <c r="R393" s="76"/>
      <c r="S393" s="76"/>
      <c r="T393" s="76"/>
      <c r="U393" s="76" t="s">
        <v>2154</v>
      </c>
      <c r="V393" s="76"/>
      <c r="W393" s="76"/>
      <c r="X393" s="76"/>
    </row>
    <row r="394" ht="18.0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 t="s">
        <v>2155</v>
      </c>
      <c r="L394" s="76"/>
      <c r="M394" s="76" t="s">
        <v>2156</v>
      </c>
      <c r="N394" s="76"/>
      <c r="O394" s="76"/>
      <c r="P394" s="76"/>
      <c r="Q394" s="76"/>
      <c r="R394" s="76"/>
      <c r="S394" s="76"/>
      <c r="T394" s="76"/>
      <c r="U394" s="76" t="s">
        <v>2157</v>
      </c>
      <c r="V394" s="76"/>
      <c r="W394" s="76"/>
      <c r="X394" s="76"/>
    </row>
    <row r="395" ht="18.0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 t="s">
        <v>156</v>
      </c>
      <c r="L395" s="76"/>
      <c r="M395" s="76" t="s">
        <v>2158</v>
      </c>
      <c r="N395" s="76"/>
      <c r="O395" s="76"/>
      <c r="P395" s="76"/>
      <c r="Q395" s="76"/>
      <c r="R395" s="76"/>
      <c r="S395" s="76"/>
      <c r="T395" s="76"/>
      <c r="U395" s="76" t="s">
        <v>2159</v>
      </c>
      <c r="V395" s="76"/>
      <c r="W395" s="76"/>
      <c r="X395" s="76"/>
    </row>
    <row r="396" ht="18.0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 t="s">
        <v>676</v>
      </c>
      <c r="L396" s="76"/>
      <c r="M396" s="76" t="s">
        <v>2160</v>
      </c>
      <c r="N396" s="76"/>
      <c r="O396" s="76"/>
      <c r="P396" s="76"/>
      <c r="Q396" s="76"/>
      <c r="R396" s="76"/>
      <c r="S396" s="76"/>
      <c r="T396" s="76"/>
      <c r="U396" s="76" t="s">
        <v>2161</v>
      </c>
      <c r="V396" s="76"/>
      <c r="W396" s="76"/>
      <c r="X396" s="76"/>
    </row>
    <row r="397" ht="18.0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 t="s">
        <v>665</v>
      </c>
      <c r="L397" s="76"/>
      <c r="M397" s="76" t="s">
        <v>2162</v>
      </c>
      <c r="N397" s="76"/>
      <c r="O397" s="76"/>
      <c r="P397" s="76"/>
      <c r="Q397" s="76"/>
      <c r="R397" s="76"/>
      <c r="S397" s="76"/>
      <c r="T397" s="76"/>
      <c r="U397" s="76" t="s">
        <v>2163</v>
      </c>
      <c r="V397" s="76"/>
      <c r="W397" s="76"/>
      <c r="X397" s="76"/>
    </row>
    <row r="398" ht="18.0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 t="s">
        <v>327</v>
      </c>
      <c r="L398" s="76"/>
      <c r="M398" s="76" t="s">
        <v>2164</v>
      </c>
      <c r="N398" s="76"/>
      <c r="O398" s="76"/>
      <c r="P398" s="76"/>
      <c r="Q398" s="76"/>
      <c r="R398" s="76"/>
      <c r="S398" s="76"/>
      <c r="T398" s="76"/>
      <c r="U398" s="76" t="s">
        <v>2165</v>
      </c>
      <c r="V398" s="76"/>
      <c r="W398" s="76"/>
      <c r="X398" s="76"/>
    </row>
    <row r="399" ht="18.0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 t="s">
        <v>2166</v>
      </c>
      <c r="L399" s="76"/>
      <c r="M399" s="76" t="s">
        <v>2167</v>
      </c>
      <c r="N399" s="76"/>
      <c r="O399" s="76"/>
      <c r="P399" s="76"/>
      <c r="Q399" s="76"/>
      <c r="R399" s="76"/>
      <c r="S399" s="76"/>
      <c r="T399" s="76"/>
      <c r="U399" s="76" t="s">
        <v>2168</v>
      </c>
      <c r="V399" s="76"/>
      <c r="W399" s="76"/>
      <c r="X399" s="76"/>
    </row>
    <row r="400" ht="18.0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 t="s">
        <v>556</v>
      </c>
      <c r="L400" s="76"/>
      <c r="M400" s="76" t="s">
        <v>2169</v>
      </c>
      <c r="N400" s="76"/>
      <c r="O400" s="76"/>
      <c r="P400" s="76"/>
      <c r="Q400" s="76"/>
      <c r="R400" s="76"/>
      <c r="S400" s="76"/>
      <c r="T400" s="76"/>
      <c r="U400" s="76" t="s">
        <v>2170</v>
      </c>
      <c r="V400" s="76"/>
      <c r="W400" s="76"/>
      <c r="X400" s="76"/>
    </row>
    <row r="401" ht="18.0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 t="s">
        <v>609</v>
      </c>
      <c r="L401" s="76"/>
      <c r="M401" s="76" t="s">
        <v>2171</v>
      </c>
      <c r="N401" s="76"/>
      <c r="O401" s="76"/>
      <c r="P401" s="76"/>
      <c r="Q401" s="76"/>
      <c r="R401" s="76"/>
      <c r="S401" s="76"/>
      <c r="T401" s="76"/>
      <c r="U401" s="76" t="s">
        <v>2172</v>
      </c>
      <c r="V401" s="76"/>
      <c r="W401" s="76"/>
      <c r="X401" s="76"/>
    </row>
    <row r="402" ht="18.0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 t="s">
        <v>291</v>
      </c>
      <c r="L402" s="76"/>
      <c r="M402" s="76" t="s">
        <v>2173</v>
      </c>
      <c r="N402" s="76"/>
      <c r="O402" s="76"/>
      <c r="P402" s="76"/>
      <c r="Q402" s="76"/>
      <c r="R402" s="76"/>
      <c r="S402" s="76"/>
      <c r="T402" s="76"/>
      <c r="U402" s="76" t="s">
        <v>2174</v>
      </c>
      <c r="V402" s="76"/>
      <c r="W402" s="76"/>
      <c r="X402" s="76"/>
    </row>
    <row r="403" ht="18.0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 t="s">
        <v>2175</v>
      </c>
      <c r="L403" s="76"/>
      <c r="M403" s="76" t="s">
        <v>2176</v>
      </c>
      <c r="N403" s="76"/>
      <c r="O403" s="76"/>
      <c r="P403" s="76"/>
      <c r="Q403" s="76"/>
      <c r="R403" s="76"/>
      <c r="S403" s="76"/>
      <c r="T403" s="76"/>
      <c r="U403" s="76" t="s">
        <v>2177</v>
      </c>
      <c r="V403" s="76"/>
      <c r="W403" s="76"/>
      <c r="X403" s="76"/>
    </row>
    <row r="404" ht="18.0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 t="s">
        <v>752</v>
      </c>
      <c r="L404" s="76"/>
      <c r="M404" s="76" t="s">
        <v>2178</v>
      </c>
      <c r="N404" s="76"/>
      <c r="O404" s="76"/>
      <c r="P404" s="76"/>
      <c r="Q404" s="76"/>
      <c r="R404" s="76"/>
      <c r="S404" s="76"/>
      <c r="T404" s="76"/>
      <c r="U404" s="76" t="s">
        <v>2179</v>
      </c>
      <c r="V404" s="76"/>
      <c r="W404" s="76"/>
      <c r="X404" s="76"/>
    </row>
    <row r="405" ht="18.0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 t="s">
        <v>2180</v>
      </c>
      <c r="L405" s="76"/>
      <c r="M405" s="76" t="s">
        <v>2181</v>
      </c>
      <c r="N405" s="76"/>
      <c r="O405" s="76"/>
      <c r="P405" s="76"/>
      <c r="Q405" s="76"/>
      <c r="R405" s="76"/>
      <c r="S405" s="76"/>
      <c r="T405" s="76"/>
      <c r="U405" s="76" t="s">
        <v>2182</v>
      </c>
      <c r="V405" s="76"/>
      <c r="W405" s="76"/>
      <c r="X405" s="76"/>
    </row>
    <row r="406" ht="18.0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 t="s">
        <v>730</v>
      </c>
      <c r="L406" s="76"/>
      <c r="M406" s="76" t="s">
        <v>2183</v>
      </c>
      <c r="N406" s="76"/>
      <c r="O406" s="76"/>
      <c r="P406" s="76"/>
      <c r="Q406" s="76"/>
      <c r="R406" s="76"/>
      <c r="S406" s="76"/>
      <c r="T406" s="76"/>
      <c r="U406" s="76" t="s">
        <v>2184</v>
      </c>
      <c r="V406" s="76"/>
      <c r="W406" s="76"/>
      <c r="X406" s="76"/>
    </row>
    <row r="407" ht="18.0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 t="s">
        <v>2185</v>
      </c>
      <c r="L407" s="76"/>
      <c r="M407" s="76" t="s">
        <v>2186</v>
      </c>
      <c r="N407" s="76"/>
      <c r="O407" s="76"/>
      <c r="P407" s="76"/>
      <c r="Q407" s="76"/>
      <c r="R407" s="76"/>
      <c r="S407" s="76"/>
      <c r="T407" s="76"/>
      <c r="U407" s="76" t="s">
        <v>2187</v>
      </c>
      <c r="V407" s="76"/>
      <c r="W407" s="76"/>
      <c r="X407" s="76"/>
    </row>
    <row r="408" ht="18.0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 t="s">
        <v>443</v>
      </c>
      <c r="L408" s="76"/>
      <c r="M408" s="76" t="s">
        <v>2188</v>
      </c>
      <c r="N408" s="76"/>
      <c r="O408" s="76"/>
      <c r="P408" s="76"/>
      <c r="Q408" s="76"/>
      <c r="R408" s="76"/>
      <c r="S408" s="76"/>
      <c r="T408" s="76"/>
      <c r="U408" s="76" t="s">
        <v>2189</v>
      </c>
      <c r="V408" s="76"/>
      <c r="W408" s="76"/>
      <c r="X408" s="76"/>
    </row>
    <row r="409" ht="18.0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 t="s">
        <v>2190</v>
      </c>
      <c r="L409" s="76"/>
      <c r="M409" s="76" t="s">
        <v>2191</v>
      </c>
      <c r="N409" s="76"/>
      <c r="O409" s="76"/>
      <c r="P409" s="76"/>
      <c r="Q409" s="76"/>
      <c r="R409" s="76"/>
      <c r="S409" s="76"/>
      <c r="T409" s="76"/>
      <c r="U409" s="76" t="s">
        <v>2193</v>
      </c>
      <c r="V409" s="76"/>
      <c r="W409" s="76"/>
      <c r="X409" s="76"/>
    </row>
    <row r="410" ht="18.0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 t="s">
        <v>358</v>
      </c>
      <c r="L410" s="76"/>
      <c r="M410" s="76" t="s">
        <v>2195</v>
      </c>
      <c r="N410" s="76"/>
      <c r="O410" s="76"/>
      <c r="P410" s="76"/>
      <c r="Q410" s="76"/>
      <c r="R410" s="76"/>
      <c r="S410" s="76"/>
      <c r="T410" s="76"/>
      <c r="U410" s="76" t="s">
        <v>2196</v>
      </c>
      <c r="V410" s="76"/>
      <c r="W410" s="76"/>
      <c r="X410" s="76"/>
    </row>
    <row r="411" ht="18.0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 t="s">
        <v>194</v>
      </c>
      <c r="L411" s="76"/>
      <c r="M411" s="76" t="s">
        <v>2197</v>
      </c>
      <c r="N411" s="76"/>
      <c r="O411" s="76"/>
      <c r="P411" s="76"/>
      <c r="Q411" s="76"/>
      <c r="R411" s="76"/>
      <c r="S411" s="76"/>
      <c r="T411" s="76"/>
      <c r="U411" s="76" t="s">
        <v>2198</v>
      </c>
      <c r="V411" s="76"/>
      <c r="W411" s="76"/>
      <c r="X411" s="76"/>
    </row>
    <row r="412" ht="18.0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 t="s">
        <v>2199</v>
      </c>
      <c r="L412" s="76"/>
      <c r="M412" s="76" t="s">
        <v>2200</v>
      </c>
      <c r="N412" s="76"/>
      <c r="O412" s="76"/>
      <c r="P412" s="76"/>
      <c r="Q412" s="76"/>
      <c r="R412" s="76"/>
      <c r="S412" s="76"/>
      <c r="T412" s="76"/>
      <c r="U412" s="76" t="s">
        <v>2201</v>
      </c>
      <c r="V412" s="76"/>
      <c r="W412" s="76"/>
      <c r="X412" s="76"/>
    </row>
    <row r="413" ht="18.0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 t="s">
        <v>2202</v>
      </c>
      <c r="L413" s="76"/>
      <c r="M413" s="76" t="s">
        <v>2203</v>
      </c>
      <c r="N413" s="76"/>
      <c r="O413" s="76"/>
      <c r="P413" s="76"/>
      <c r="Q413" s="76"/>
      <c r="R413" s="76"/>
      <c r="S413" s="76"/>
      <c r="T413" s="76"/>
      <c r="U413" s="76" t="s">
        <v>2204</v>
      </c>
      <c r="V413" s="76"/>
      <c r="W413" s="76"/>
      <c r="X413" s="76"/>
    </row>
    <row r="414" ht="18.0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 t="s">
        <v>233</v>
      </c>
      <c r="L414" s="76"/>
      <c r="M414" s="76" t="s">
        <v>2206</v>
      </c>
      <c r="N414" s="76"/>
      <c r="O414" s="76"/>
      <c r="P414" s="76"/>
      <c r="Q414" s="76"/>
      <c r="R414" s="76"/>
      <c r="S414" s="76"/>
      <c r="T414" s="76"/>
      <c r="U414" s="76" t="s">
        <v>2207</v>
      </c>
      <c r="V414" s="76"/>
      <c r="W414" s="76"/>
      <c r="X414" s="76"/>
    </row>
    <row r="415" ht="18.0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 t="s">
        <v>429</v>
      </c>
      <c r="L415" s="76"/>
      <c r="M415" s="76" t="s">
        <v>2210</v>
      </c>
      <c r="N415" s="76"/>
      <c r="O415" s="76"/>
      <c r="P415" s="76"/>
      <c r="Q415" s="76"/>
      <c r="R415" s="76"/>
      <c r="S415" s="76"/>
      <c r="T415" s="76"/>
      <c r="U415" s="76" t="s">
        <v>2211</v>
      </c>
      <c r="V415" s="76"/>
      <c r="W415" s="76"/>
      <c r="X415" s="76"/>
    </row>
    <row r="416" ht="18.0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 t="s">
        <v>62</v>
      </c>
      <c r="L416" s="76"/>
      <c r="M416" s="76" t="s">
        <v>2212</v>
      </c>
      <c r="N416" s="76"/>
      <c r="O416" s="76"/>
      <c r="P416" s="76"/>
      <c r="Q416" s="76"/>
      <c r="R416" s="76"/>
      <c r="S416" s="76"/>
      <c r="T416" s="76"/>
      <c r="U416" s="76" t="s">
        <v>2213</v>
      </c>
      <c r="V416" s="76"/>
      <c r="W416" s="76"/>
      <c r="X416" s="76"/>
    </row>
    <row r="417" ht="18.0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 t="s">
        <v>2214</v>
      </c>
      <c r="L417" s="76"/>
      <c r="M417" s="76" t="s">
        <v>2215</v>
      </c>
      <c r="N417" s="76"/>
      <c r="O417" s="76"/>
      <c r="P417" s="76"/>
      <c r="Q417" s="76"/>
      <c r="R417" s="76"/>
      <c r="S417" s="76"/>
      <c r="T417" s="76"/>
      <c r="U417" s="76" t="s">
        <v>2216</v>
      </c>
      <c r="V417" s="76"/>
      <c r="W417" s="76"/>
      <c r="X417" s="76"/>
    </row>
    <row r="418" ht="18.0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 t="s">
        <v>2217</v>
      </c>
      <c r="L418" s="76"/>
      <c r="M418" s="76" t="s">
        <v>2218</v>
      </c>
      <c r="N418" s="76"/>
      <c r="O418" s="76"/>
      <c r="P418" s="76"/>
      <c r="Q418" s="76"/>
      <c r="R418" s="76"/>
      <c r="S418" s="76"/>
      <c r="T418" s="76"/>
      <c r="U418" s="76" t="s">
        <v>2219</v>
      </c>
      <c r="V418" s="76"/>
      <c r="W418" s="76"/>
      <c r="X418" s="76"/>
    </row>
    <row r="419" ht="18.0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 t="s">
        <v>415</v>
      </c>
      <c r="L419" s="76"/>
      <c r="M419" s="76" t="s">
        <v>2220</v>
      </c>
      <c r="N419" s="76"/>
      <c r="O419" s="76"/>
      <c r="P419" s="76"/>
      <c r="Q419" s="76"/>
      <c r="R419" s="76"/>
      <c r="S419" s="76"/>
      <c r="T419" s="76"/>
      <c r="U419" s="76" t="s">
        <v>2221</v>
      </c>
      <c r="V419" s="76"/>
      <c r="W419" s="76"/>
      <c r="X419" s="76"/>
    </row>
    <row r="420" ht="18.0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 t="s">
        <v>2222</v>
      </c>
      <c r="L420" s="76"/>
      <c r="M420" s="76" t="s">
        <v>2223</v>
      </c>
      <c r="N420" s="76"/>
      <c r="O420" s="76"/>
      <c r="P420" s="76"/>
      <c r="Q420" s="76"/>
      <c r="R420" s="76"/>
      <c r="S420" s="76"/>
      <c r="T420" s="76"/>
      <c r="U420" s="76" t="s">
        <v>2224</v>
      </c>
      <c r="V420" s="76"/>
      <c r="W420" s="76"/>
      <c r="X420" s="76"/>
    </row>
    <row r="421" ht="18.0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 t="s">
        <v>2225</v>
      </c>
      <c r="L421" s="76"/>
      <c r="M421" s="76" t="s">
        <v>2226</v>
      </c>
      <c r="N421" s="76"/>
      <c r="O421" s="76"/>
      <c r="P421" s="76"/>
      <c r="Q421" s="76"/>
      <c r="R421" s="76"/>
      <c r="S421" s="76"/>
      <c r="T421" s="76"/>
      <c r="U421" s="76" t="s">
        <v>2227</v>
      </c>
      <c r="V421" s="76"/>
      <c r="W421" s="76"/>
      <c r="X421" s="76"/>
    </row>
    <row r="422" ht="18.0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 t="s">
        <v>2228</v>
      </c>
      <c r="L422" s="76"/>
      <c r="M422" s="76" t="s">
        <v>2229</v>
      </c>
      <c r="N422" s="76"/>
      <c r="O422" s="76"/>
      <c r="P422" s="76"/>
      <c r="Q422" s="76"/>
      <c r="R422" s="76"/>
      <c r="S422" s="76"/>
      <c r="T422" s="76"/>
      <c r="U422" s="76" t="s">
        <v>2230</v>
      </c>
      <c r="V422" s="76"/>
      <c r="W422" s="76"/>
      <c r="X422" s="76"/>
    </row>
    <row r="423" ht="18.0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 t="s">
        <v>620</v>
      </c>
      <c r="L423" s="76"/>
      <c r="M423" s="76" t="s">
        <v>2231</v>
      </c>
      <c r="N423" s="76"/>
      <c r="O423" s="76"/>
      <c r="P423" s="76"/>
      <c r="Q423" s="76"/>
      <c r="R423" s="76"/>
      <c r="S423" s="76"/>
      <c r="T423" s="76"/>
      <c r="U423" s="76" t="s">
        <v>2232</v>
      </c>
      <c r="V423" s="76"/>
      <c r="W423" s="76"/>
      <c r="X423" s="76"/>
    </row>
    <row r="424" ht="18.0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 t="s">
        <v>2233</v>
      </c>
      <c r="L424" s="76"/>
      <c r="M424" s="76" t="s">
        <v>2234</v>
      </c>
      <c r="N424" s="76"/>
      <c r="O424" s="76"/>
      <c r="P424" s="76"/>
      <c r="Q424" s="76"/>
      <c r="R424" s="76"/>
      <c r="S424" s="76"/>
      <c r="T424" s="76"/>
      <c r="U424" s="76" t="s">
        <v>2235</v>
      </c>
      <c r="V424" s="76"/>
      <c r="W424" s="76"/>
      <c r="X424" s="76"/>
    </row>
    <row r="425" ht="18.0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 t="s">
        <v>653</v>
      </c>
      <c r="L425" s="76"/>
      <c r="M425" s="76" t="s">
        <v>2236</v>
      </c>
      <c r="N425" s="76"/>
      <c r="O425" s="76"/>
      <c r="P425" s="76"/>
      <c r="Q425" s="76"/>
      <c r="R425" s="76"/>
      <c r="S425" s="76"/>
      <c r="T425" s="76"/>
      <c r="U425" s="76" t="s">
        <v>2237</v>
      </c>
      <c r="V425" s="76"/>
      <c r="W425" s="76"/>
      <c r="X425" s="76"/>
    </row>
    <row r="426" ht="18.0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 t="s">
        <v>774</v>
      </c>
      <c r="L426" s="76"/>
      <c r="M426" s="76" t="s">
        <v>2238</v>
      </c>
      <c r="N426" s="76"/>
      <c r="O426" s="76"/>
      <c r="P426" s="76"/>
      <c r="Q426" s="76"/>
      <c r="R426" s="76"/>
      <c r="S426" s="76"/>
      <c r="T426" s="76"/>
      <c r="U426" s="76" t="s">
        <v>2239</v>
      </c>
      <c r="V426" s="76"/>
      <c r="W426" s="76"/>
      <c r="X426" s="76"/>
    </row>
    <row r="427" ht="18.0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 t="s">
        <v>100</v>
      </c>
      <c r="L427" s="76"/>
      <c r="M427" s="76" t="s">
        <v>2240</v>
      </c>
      <c r="N427" s="76"/>
      <c r="O427" s="76"/>
      <c r="P427" s="76"/>
      <c r="Q427" s="76"/>
      <c r="R427" s="76"/>
      <c r="S427" s="76"/>
      <c r="T427" s="76"/>
      <c r="U427" s="76" t="s">
        <v>2241</v>
      </c>
      <c r="V427" s="76"/>
      <c r="W427" s="76"/>
      <c r="X427" s="76"/>
    </row>
    <row r="428" ht="18.0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 t="s">
        <v>2242</v>
      </c>
      <c r="L428" s="76"/>
      <c r="M428" s="76" t="s">
        <v>2243</v>
      </c>
      <c r="N428" s="76"/>
      <c r="O428" s="76"/>
      <c r="P428" s="76"/>
      <c r="Q428" s="76"/>
      <c r="R428" s="76"/>
      <c r="S428" s="76"/>
      <c r="T428" s="76"/>
      <c r="U428" s="76" t="s">
        <v>2244</v>
      </c>
      <c r="V428" s="76"/>
      <c r="W428" s="76"/>
      <c r="X428" s="76"/>
    </row>
    <row r="429" ht="18.0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 t="s">
        <v>544</v>
      </c>
      <c r="L429" s="76"/>
      <c r="M429" s="76" t="s">
        <v>2245</v>
      </c>
      <c r="N429" s="76"/>
      <c r="O429" s="76"/>
      <c r="P429" s="76"/>
      <c r="Q429" s="76"/>
      <c r="R429" s="76"/>
      <c r="S429" s="76"/>
      <c r="T429" s="76"/>
      <c r="U429" s="76" t="s">
        <v>2246</v>
      </c>
      <c r="V429" s="76"/>
      <c r="W429" s="76"/>
      <c r="X429" s="76"/>
    </row>
    <row r="430" ht="18.0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 t="s">
        <v>2247</v>
      </c>
      <c r="L430" s="76"/>
      <c r="M430" s="76" t="s">
        <v>2248</v>
      </c>
      <c r="N430" s="76"/>
      <c r="O430" s="76"/>
      <c r="P430" s="76"/>
      <c r="Q430" s="76"/>
      <c r="R430" s="76"/>
      <c r="S430" s="76"/>
      <c r="T430" s="76"/>
      <c r="U430" s="76" t="s">
        <v>2249</v>
      </c>
      <c r="V430" s="76"/>
      <c r="W430" s="76"/>
      <c r="X430" s="76"/>
    </row>
    <row r="431" ht="18.0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 t="s">
        <v>2250</v>
      </c>
      <c r="L431" s="76"/>
      <c r="M431" s="76" t="s">
        <v>2251</v>
      </c>
      <c r="N431" s="76"/>
      <c r="O431" s="76"/>
      <c r="P431" s="76"/>
      <c r="Q431" s="76"/>
      <c r="R431" s="76"/>
      <c r="S431" s="76"/>
      <c r="T431" s="76"/>
      <c r="U431" s="76" t="s">
        <v>2252</v>
      </c>
      <c r="V431" s="76"/>
      <c r="W431" s="76"/>
      <c r="X431" s="76"/>
    </row>
    <row r="432" ht="18.0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 t="s">
        <v>698</v>
      </c>
      <c r="L432" s="76"/>
      <c r="M432" s="76" t="s">
        <v>2253</v>
      </c>
      <c r="N432" s="76"/>
      <c r="O432" s="76"/>
      <c r="P432" s="76"/>
      <c r="Q432" s="76"/>
      <c r="R432" s="76"/>
      <c r="S432" s="76"/>
      <c r="T432" s="76"/>
      <c r="U432" s="76" t="s">
        <v>2254</v>
      </c>
      <c r="V432" s="76"/>
      <c r="W432" s="76"/>
      <c r="X432" s="76"/>
    </row>
    <row r="433" ht="18.0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 t="s">
        <v>2255</v>
      </c>
      <c r="L433" s="76"/>
      <c r="M433" s="76" t="s">
        <v>2256</v>
      </c>
      <c r="N433" s="76"/>
      <c r="O433" s="76"/>
      <c r="P433" s="76"/>
      <c r="Q433" s="76"/>
      <c r="R433" s="76"/>
      <c r="S433" s="76"/>
      <c r="T433" s="76"/>
      <c r="U433" s="76" t="s">
        <v>2257</v>
      </c>
      <c r="V433" s="76"/>
      <c r="W433" s="76"/>
      <c r="X433" s="76"/>
    </row>
    <row r="434" ht="18.0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 t="s">
        <v>2258</v>
      </c>
      <c r="L434" s="76"/>
      <c r="M434" s="76" t="s">
        <v>2259</v>
      </c>
      <c r="N434" s="76"/>
      <c r="O434" s="76"/>
      <c r="P434" s="76"/>
      <c r="Q434" s="76"/>
      <c r="R434" s="76"/>
      <c r="S434" s="76"/>
      <c r="T434" s="76"/>
      <c r="U434" s="76" t="s">
        <v>2260</v>
      </c>
      <c r="V434" s="76"/>
      <c r="W434" s="76"/>
      <c r="X434" s="76"/>
    </row>
    <row r="435" ht="18.0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 t="s">
        <v>589</v>
      </c>
      <c r="L435" s="76"/>
      <c r="M435" s="76" t="s">
        <v>2261</v>
      </c>
      <c r="N435" s="76"/>
      <c r="O435" s="76"/>
      <c r="P435" s="76"/>
      <c r="Q435" s="76"/>
      <c r="R435" s="76"/>
      <c r="S435" s="76"/>
      <c r="T435" s="76"/>
      <c r="U435" s="76" t="s">
        <v>2262</v>
      </c>
      <c r="V435" s="76"/>
      <c r="W435" s="76"/>
      <c r="X435" s="76"/>
    </row>
    <row r="436" ht="18.0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 t="s">
        <v>373</v>
      </c>
      <c r="L436" s="76"/>
      <c r="M436" s="76" t="s">
        <v>2263</v>
      </c>
      <c r="N436" s="76"/>
      <c r="O436" s="76"/>
      <c r="P436" s="76"/>
      <c r="Q436" s="76"/>
      <c r="R436" s="76"/>
      <c r="S436" s="76"/>
      <c r="T436" s="76"/>
      <c r="U436" s="76" t="s">
        <v>2264</v>
      </c>
      <c r="V436" s="76"/>
      <c r="W436" s="76"/>
      <c r="X436" s="76"/>
    </row>
    <row r="437" ht="18.0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 t="s">
        <v>470</v>
      </c>
      <c r="L437" s="76"/>
      <c r="M437" s="76" t="s">
        <v>2265</v>
      </c>
      <c r="N437" s="76"/>
      <c r="O437" s="76"/>
      <c r="P437" s="76"/>
      <c r="Q437" s="76"/>
      <c r="R437" s="76"/>
      <c r="S437" s="76"/>
      <c r="T437" s="76"/>
      <c r="U437" s="76" t="s">
        <v>2266</v>
      </c>
      <c r="V437" s="76"/>
      <c r="W437" s="76"/>
      <c r="X437" s="76"/>
    </row>
    <row r="438" ht="18.0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 t="s">
        <v>2267</v>
      </c>
      <c r="L438" s="76"/>
      <c r="M438" s="76" t="s">
        <v>2268</v>
      </c>
      <c r="N438" s="76"/>
      <c r="O438" s="76"/>
      <c r="P438" s="76"/>
      <c r="Q438" s="76"/>
      <c r="R438" s="76"/>
      <c r="S438" s="76"/>
      <c r="T438" s="76"/>
      <c r="U438" s="76" t="s">
        <v>2269</v>
      </c>
      <c r="V438" s="76"/>
      <c r="W438" s="76"/>
      <c r="X438" s="76"/>
    </row>
    <row r="439" ht="18.0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 t="s">
        <v>2270</v>
      </c>
      <c r="L439" s="76"/>
      <c r="M439" s="76" t="s">
        <v>2271</v>
      </c>
      <c r="N439" s="76"/>
      <c r="O439" s="76"/>
      <c r="P439" s="76"/>
      <c r="Q439" s="76"/>
      <c r="R439" s="76"/>
      <c r="S439" s="76"/>
      <c r="T439" s="76"/>
      <c r="U439" s="76" t="s">
        <v>2272</v>
      </c>
      <c r="V439" s="76"/>
      <c r="W439" s="76"/>
      <c r="X439" s="76"/>
    </row>
    <row r="440" ht="18.0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 t="s">
        <v>2273</v>
      </c>
      <c r="L440" s="76"/>
      <c r="M440" s="76" t="s">
        <v>2274</v>
      </c>
      <c r="N440" s="76"/>
      <c r="O440" s="76"/>
      <c r="P440" s="76"/>
      <c r="Q440" s="76"/>
      <c r="R440" s="76"/>
      <c r="S440" s="76"/>
      <c r="T440" s="76"/>
      <c r="U440" s="76" t="s">
        <v>2275</v>
      </c>
      <c r="V440" s="76"/>
      <c r="W440" s="76"/>
      <c r="X440" s="76"/>
    </row>
    <row r="441" ht="18.0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 t="s">
        <v>641</v>
      </c>
      <c r="L441" s="76"/>
      <c r="M441" s="76" t="s">
        <v>2276</v>
      </c>
      <c r="N441" s="76"/>
      <c r="O441" s="76"/>
      <c r="P441" s="76"/>
      <c r="Q441" s="76"/>
      <c r="R441" s="76"/>
      <c r="S441" s="76"/>
      <c r="T441" s="76"/>
      <c r="U441" s="76" t="s">
        <v>2277</v>
      </c>
      <c r="V441" s="76"/>
      <c r="W441" s="76"/>
      <c r="X441" s="76"/>
    </row>
    <row r="442" ht="18.0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 t="s">
        <v>509</v>
      </c>
      <c r="L442" s="76"/>
      <c r="M442" s="76" t="s">
        <v>2278</v>
      </c>
      <c r="N442" s="76"/>
      <c r="O442" s="76"/>
      <c r="P442" s="76"/>
      <c r="Q442" s="76"/>
      <c r="R442" s="76"/>
      <c r="S442" s="76"/>
      <c r="T442" s="76"/>
      <c r="U442" s="76" t="s">
        <v>2279</v>
      </c>
      <c r="V442" s="76"/>
      <c r="W442" s="76"/>
      <c r="X442" s="76"/>
    </row>
    <row r="443" ht="18.0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 t="s">
        <v>2280</v>
      </c>
      <c r="L443" s="76"/>
      <c r="M443" s="76" t="s">
        <v>2281</v>
      </c>
      <c r="N443" s="76"/>
      <c r="O443" s="76"/>
      <c r="P443" s="76"/>
      <c r="Q443" s="76"/>
      <c r="R443" s="76"/>
      <c r="S443" s="76"/>
      <c r="T443" s="76"/>
      <c r="U443" s="76" t="s">
        <v>2282</v>
      </c>
      <c r="V443" s="76"/>
      <c r="W443" s="76"/>
      <c r="X443" s="76"/>
    </row>
    <row r="444" ht="18.0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 t="s">
        <v>484</v>
      </c>
      <c r="L444" s="76"/>
      <c r="M444" s="76" t="s">
        <v>2284</v>
      </c>
      <c r="N444" s="76"/>
      <c r="O444" s="76"/>
      <c r="P444" s="76"/>
      <c r="Q444" s="76"/>
      <c r="R444" s="76"/>
      <c r="S444" s="76"/>
      <c r="T444" s="76"/>
      <c r="U444" s="76" t="s">
        <v>2285</v>
      </c>
      <c r="V444" s="76"/>
      <c r="W444" s="76"/>
      <c r="X444" s="76"/>
    </row>
    <row r="445" ht="18.0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 t="s">
        <v>577</v>
      </c>
      <c r="L445" s="76"/>
      <c r="M445" s="76" t="s">
        <v>2287</v>
      </c>
      <c r="N445" s="76"/>
      <c r="O445" s="76"/>
      <c r="P445" s="76"/>
      <c r="Q445" s="76"/>
      <c r="R445" s="76"/>
      <c r="S445" s="76"/>
      <c r="T445" s="76"/>
      <c r="U445" s="76" t="s">
        <v>2288</v>
      </c>
      <c r="V445" s="76"/>
      <c r="W445" s="76"/>
      <c r="X445" s="76"/>
    </row>
    <row r="446" ht="18.0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 t="s">
        <v>2289</v>
      </c>
      <c r="L446" s="76"/>
      <c r="M446" s="76" t="s">
        <v>2290</v>
      </c>
      <c r="N446" s="76"/>
      <c r="O446" s="76"/>
      <c r="P446" s="76"/>
      <c r="Q446" s="76"/>
      <c r="R446" s="76"/>
      <c r="S446" s="76"/>
      <c r="T446" s="76"/>
      <c r="U446" s="76" t="s">
        <v>2291</v>
      </c>
      <c r="V446" s="76"/>
      <c r="W446" s="76"/>
      <c r="X446" s="76"/>
    </row>
    <row r="447" ht="18.0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 t="s">
        <v>2292</v>
      </c>
      <c r="L447" s="76"/>
      <c r="M447" s="76" t="s">
        <v>2293</v>
      </c>
      <c r="N447" s="76"/>
      <c r="O447" s="76"/>
      <c r="P447" s="76"/>
      <c r="Q447" s="76"/>
      <c r="R447" s="76"/>
      <c r="S447" s="76"/>
      <c r="T447" s="76"/>
      <c r="U447" s="76" t="s">
        <v>2294</v>
      </c>
      <c r="V447" s="76"/>
      <c r="W447" s="76"/>
      <c r="X447" s="76"/>
    </row>
    <row r="448" ht="18.0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 t="s">
        <v>2296</v>
      </c>
      <c r="L448" s="76"/>
      <c r="M448" s="76" t="s">
        <v>2297</v>
      </c>
      <c r="N448" s="76"/>
      <c r="O448" s="76"/>
      <c r="P448" s="76"/>
      <c r="Q448" s="76"/>
      <c r="R448" s="76"/>
      <c r="S448" s="76"/>
      <c r="T448" s="76"/>
      <c r="U448" s="76" t="s">
        <v>2299</v>
      </c>
      <c r="V448" s="76"/>
      <c r="W448" s="76"/>
      <c r="X448" s="76"/>
    </row>
    <row r="449" ht="18.0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 t="s">
        <v>2300</v>
      </c>
      <c r="L449" s="76"/>
      <c r="M449" s="76" t="s">
        <v>2301</v>
      </c>
      <c r="N449" s="76"/>
      <c r="O449" s="76"/>
      <c r="P449" s="76"/>
      <c r="Q449" s="76"/>
      <c r="R449" s="76"/>
      <c r="S449" s="76"/>
      <c r="T449" s="76"/>
      <c r="U449" s="76" t="s">
        <v>2302</v>
      </c>
      <c r="V449" s="76"/>
      <c r="W449" s="76"/>
      <c r="X449" s="76"/>
    </row>
    <row r="450" ht="18.0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 t="s">
        <v>2303</v>
      </c>
      <c r="L450" s="76"/>
      <c r="M450" s="76" t="s">
        <v>2304</v>
      </c>
      <c r="N450" s="76"/>
      <c r="O450" s="76"/>
      <c r="P450" s="76"/>
      <c r="Q450" s="76"/>
      <c r="R450" s="76"/>
      <c r="S450" s="76"/>
      <c r="T450" s="76"/>
      <c r="U450" s="76" t="s">
        <v>2306</v>
      </c>
      <c r="V450" s="76"/>
      <c r="W450" s="76"/>
      <c r="X450" s="76"/>
    </row>
    <row r="451" ht="18.0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 t="s">
        <v>2308</v>
      </c>
      <c r="L451" s="76"/>
      <c r="M451" s="76" t="s">
        <v>2309</v>
      </c>
      <c r="N451" s="76"/>
      <c r="O451" s="76"/>
      <c r="P451" s="76"/>
      <c r="Q451" s="76"/>
      <c r="R451" s="76"/>
      <c r="S451" s="76"/>
      <c r="T451" s="76"/>
      <c r="U451" s="76" t="s">
        <v>2312</v>
      </c>
      <c r="V451" s="76"/>
      <c r="W451" s="76"/>
      <c r="X451" s="76"/>
    </row>
    <row r="452" ht="18.0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 t="s">
        <v>2314</v>
      </c>
      <c r="L452" s="76"/>
      <c r="M452" s="76" t="s">
        <v>2316</v>
      </c>
      <c r="N452" s="76"/>
      <c r="O452" s="76"/>
      <c r="P452" s="76"/>
      <c r="Q452" s="76"/>
      <c r="R452" s="76"/>
      <c r="S452" s="76"/>
      <c r="T452" s="76"/>
      <c r="U452" s="76" t="s">
        <v>2317</v>
      </c>
      <c r="V452" s="76"/>
      <c r="W452" s="76"/>
      <c r="X452" s="76"/>
    </row>
    <row r="453" ht="18.0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 t="s">
        <v>2319</v>
      </c>
      <c r="L453" s="76"/>
      <c r="M453" s="76" t="s">
        <v>2321</v>
      </c>
      <c r="N453" s="76"/>
      <c r="O453" s="76"/>
      <c r="P453" s="76"/>
      <c r="Q453" s="76"/>
      <c r="R453" s="76"/>
      <c r="S453" s="76"/>
      <c r="T453" s="76"/>
      <c r="U453" s="76" t="s">
        <v>2324</v>
      </c>
      <c r="V453" s="76"/>
      <c r="W453" s="76"/>
      <c r="X453" s="76"/>
    </row>
    <row r="454" ht="18.0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 t="s">
        <v>2328</v>
      </c>
      <c r="L454" s="76"/>
      <c r="M454" s="76" t="s">
        <v>2329</v>
      </c>
      <c r="N454" s="76"/>
      <c r="O454" s="76"/>
      <c r="P454" s="76"/>
      <c r="Q454" s="76"/>
      <c r="R454" s="76"/>
      <c r="S454" s="76"/>
      <c r="T454" s="76"/>
      <c r="U454" s="76" t="s">
        <v>2331</v>
      </c>
      <c r="V454" s="76"/>
      <c r="W454" s="76"/>
      <c r="X454" s="76"/>
    </row>
    <row r="455" ht="18.0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 t="s">
        <v>2337</v>
      </c>
      <c r="L455" s="76"/>
      <c r="M455" s="76" t="s">
        <v>2339</v>
      </c>
      <c r="N455" s="76"/>
      <c r="O455" s="76"/>
      <c r="P455" s="76"/>
      <c r="Q455" s="76"/>
      <c r="R455" s="76"/>
      <c r="S455" s="76"/>
      <c r="T455" s="76"/>
      <c r="U455" s="76" t="s">
        <v>2342</v>
      </c>
      <c r="V455" s="76"/>
      <c r="W455" s="76"/>
      <c r="X455" s="76"/>
    </row>
    <row r="456" ht="18.0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 t="s">
        <v>2348</v>
      </c>
      <c r="L456" s="76"/>
      <c r="M456" s="76" t="s">
        <v>2351</v>
      </c>
      <c r="N456" s="76"/>
      <c r="O456" s="76"/>
      <c r="P456" s="76"/>
      <c r="Q456" s="76"/>
      <c r="R456" s="76"/>
      <c r="S456" s="76"/>
      <c r="T456" s="76"/>
      <c r="U456" s="76" t="s">
        <v>2355</v>
      </c>
      <c r="V456" s="76"/>
      <c r="W456" s="76"/>
      <c r="X456" s="76"/>
    </row>
    <row r="457" ht="18.0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 t="s">
        <v>2358</v>
      </c>
      <c r="L457" s="76"/>
      <c r="M457" s="76" t="s">
        <v>2359</v>
      </c>
      <c r="N457" s="76"/>
      <c r="O457" s="76"/>
      <c r="P457" s="76"/>
      <c r="Q457" s="76"/>
      <c r="R457" s="76"/>
      <c r="S457" s="76"/>
      <c r="T457" s="76"/>
      <c r="U457" s="76" t="s">
        <v>2360</v>
      </c>
      <c r="V457" s="76"/>
      <c r="W457" s="76"/>
      <c r="X457" s="76"/>
    </row>
    <row r="458" ht="18.0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 t="s">
        <v>2361</v>
      </c>
      <c r="L458" s="76"/>
      <c r="M458" s="76" t="s">
        <v>2363</v>
      </c>
      <c r="N458" s="76"/>
      <c r="O458" s="76"/>
      <c r="P458" s="76"/>
      <c r="Q458" s="76"/>
      <c r="R458" s="76"/>
      <c r="S458" s="76"/>
      <c r="T458" s="76"/>
      <c r="U458" s="76" t="s">
        <v>2366</v>
      </c>
      <c r="V458" s="76"/>
      <c r="W458" s="76"/>
      <c r="X458" s="76"/>
    </row>
    <row r="459" ht="18.0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 t="s">
        <v>2371</v>
      </c>
      <c r="L459" s="76"/>
      <c r="M459" s="76" t="s">
        <v>2373</v>
      </c>
      <c r="N459" s="76"/>
      <c r="O459" s="76"/>
      <c r="P459" s="76"/>
      <c r="Q459" s="76"/>
      <c r="R459" s="76"/>
      <c r="S459" s="76"/>
      <c r="T459" s="76"/>
      <c r="U459" s="76" t="s">
        <v>2375</v>
      </c>
      <c r="V459" s="76"/>
      <c r="W459" s="76"/>
      <c r="X459" s="76"/>
    </row>
    <row r="460" ht="18.0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 t="s">
        <v>2382</v>
      </c>
      <c r="L460" s="76"/>
      <c r="M460" s="76" t="s">
        <v>2384</v>
      </c>
      <c r="N460" s="76"/>
      <c r="O460" s="76"/>
      <c r="P460" s="76"/>
      <c r="Q460" s="76"/>
      <c r="R460" s="76"/>
      <c r="S460" s="76"/>
      <c r="T460" s="76"/>
      <c r="U460" s="76" t="s">
        <v>2385</v>
      </c>
      <c r="V460" s="76"/>
      <c r="W460" s="76"/>
      <c r="X460" s="76"/>
    </row>
    <row r="461" ht="18.0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 t="s">
        <v>2388</v>
      </c>
      <c r="L461" s="76"/>
      <c r="M461" s="76" t="s">
        <v>2389</v>
      </c>
      <c r="N461" s="76"/>
      <c r="O461" s="76"/>
      <c r="P461" s="76"/>
      <c r="Q461" s="76"/>
      <c r="R461" s="76"/>
      <c r="S461" s="76"/>
      <c r="T461" s="76"/>
      <c r="U461" s="76" t="s">
        <v>2390</v>
      </c>
      <c r="V461" s="76"/>
      <c r="W461" s="76"/>
      <c r="X461" s="76"/>
    </row>
    <row r="462" ht="18.0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 t="s">
        <v>2391</v>
      </c>
      <c r="L462" s="76"/>
      <c r="M462" s="76" t="s">
        <v>2392</v>
      </c>
      <c r="N462" s="76"/>
      <c r="O462" s="76"/>
      <c r="P462" s="76"/>
      <c r="Q462" s="76"/>
      <c r="R462" s="76"/>
      <c r="S462" s="76"/>
      <c r="T462" s="76"/>
      <c r="U462" s="76" t="s">
        <v>2393</v>
      </c>
      <c r="V462" s="76"/>
      <c r="W462" s="76"/>
      <c r="X462" s="76"/>
    </row>
    <row r="463" ht="18.0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 t="s">
        <v>2397</v>
      </c>
      <c r="L463" s="76"/>
      <c r="M463" s="76" t="s">
        <v>2398</v>
      </c>
      <c r="N463" s="76"/>
      <c r="O463" s="76"/>
      <c r="P463" s="76"/>
      <c r="Q463" s="76"/>
      <c r="R463" s="76"/>
      <c r="S463" s="76"/>
      <c r="T463" s="76"/>
      <c r="U463" s="76" t="s">
        <v>2401</v>
      </c>
      <c r="V463" s="76"/>
      <c r="W463" s="76"/>
      <c r="X463" s="76"/>
    </row>
    <row r="464" ht="18.0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 t="s">
        <v>2405</v>
      </c>
      <c r="L464" s="76"/>
      <c r="M464" s="76" t="s">
        <v>2406</v>
      </c>
      <c r="N464" s="76"/>
      <c r="O464" s="76"/>
      <c r="P464" s="76"/>
      <c r="Q464" s="76"/>
      <c r="R464" s="76"/>
      <c r="S464" s="76"/>
      <c r="T464" s="76"/>
      <c r="U464" s="76" t="s">
        <v>2408</v>
      </c>
      <c r="V464" s="76"/>
      <c r="W464" s="76"/>
      <c r="X464" s="76"/>
    </row>
    <row r="465" ht="18.0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 t="s">
        <v>2409</v>
      </c>
      <c r="L465" s="76"/>
      <c r="M465" s="76" t="s">
        <v>2411</v>
      </c>
      <c r="N465" s="76"/>
      <c r="O465" s="76"/>
      <c r="P465" s="76"/>
      <c r="Q465" s="76"/>
      <c r="R465" s="76"/>
      <c r="S465" s="76"/>
      <c r="T465" s="76"/>
      <c r="U465" s="76" t="s">
        <v>2412</v>
      </c>
      <c r="V465" s="76"/>
      <c r="W465" s="76"/>
      <c r="X465" s="76"/>
    </row>
    <row r="466" ht="18.0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 t="s">
        <v>2413</v>
      </c>
      <c r="L466" s="76"/>
      <c r="M466" s="76" t="s">
        <v>2414</v>
      </c>
      <c r="N466" s="76"/>
      <c r="O466" s="76"/>
      <c r="P466" s="76"/>
      <c r="Q466" s="76"/>
      <c r="R466" s="76"/>
      <c r="S466" s="76"/>
      <c r="T466" s="76"/>
      <c r="U466" s="76" t="s">
        <v>2415</v>
      </c>
      <c r="V466" s="76"/>
      <c r="W466" s="76"/>
      <c r="X466" s="76"/>
    </row>
    <row r="467" ht="18.0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 t="s">
        <v>2417</v>
      </c>
      <c r="L467" s="76"/>
      <c r="M467" s="76" t="s">
        <v>2418</v>
      </c>
      <c r="N467" s="76"/>
      <c r="O467" s="76"/>
      <c r="P467" s="76"/>
      <c r="Q467" s="76"/>
      <c r="R467" s="76"/>
      <c r="S467" s="76"/>
      <c r="T467" s="76"/>
      <c r="U467" s="76" t="s">
        <v>2419</v>
      </c>
      <c r="V467" s="76"/>
      <c r="W467" s="76"/>
      <c r="X467" s="76"/>
    </row>
    <row r="468" ht="18.0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 t="s">
        <v>2420</v>
      </c>
      <c r="L468" s="76"/>
      <c r="M468" s="76" t="s">
        <v>2422</v>
      </c>
      <c r="N468" s="76"/>
      <c r="O468" s="76"/>
      <c r="P468" s="76"/>
      <c r="Q468" s="76"/>
      <c r="R468" s="76"/>
      <c r="S468" s="76"/>
      <c r="T468" s="76"/>
      <c r="U468" s="76" t="s">
        <v>2423</v>
      </c>
      <c r="V468" s="76"/>
      <c r="W468" s="76"/>
      <c r="X468" s="76"/>
    </row>
    <row r="469" ht="18.0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 t="s">
        <v>2425</v>
      </c>
      <c r="L469" s="76"/>
      <c r="M469" s="76" t="s">
        <v>2426</v>
      </c>
      <c r="N469" s="76"/>
      <c r="O469" s="76"/>
      <c r="P469" s="76"/>
      <c r="Q469" s="76"/>
      <c r="R469" s="76"/>
      <c r="S469" s="76"/>
      <c r="T469" s="76"/>
      <c r="U469" s="76" t="s">
        <v>2427</v>
      </c>
      <c r="V469" s="76"/>
      <c r="W469" s="76"/>
      <c r="X469" s="76"/>
    </row>
    <row r="470" ht="18.0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 t="s">
        <v>2429</v>
      </c>
      <c r="L470" s="76"/>
      <c r="M470" s="76" t="s">
        <v>2430</v>
      </c>
      <c r="N470" s="76"/>
      <c r="O470" s="76"/>
      <c r="P470" s="76"/>
      <c r="Q470" s="76"/>
      <c r="R470" s="76"/>
      <c r="S470" s="76"/>
      <c r="T470" s="76"/>
      <c r="U470" s="76" t="s">
        <v>2431</v>
      </c>
      <c r="V470" s="76"/>
      <c r="W470" s="76"/>
      <c r="X470" s="76"/>
    </row>
    <row r="471" ht="18.0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 t="s">
        <v>2433</v>
      </c>
      <c r="L471" s="76"/>
      <c r="M471" s="76" t="s">
        <v>2434</v>
      </c>
      <c r="N471" s="76"/>
      <c r="O471" s="76"/>
      <c r="P471" s="76"/>
      <c r="Q471" s="76"/>
      <c r="R471" s="76"/>
      <c r="S471" s="76"/>
      <c r="T471" s="76"/>
      <c r="U471" s="76" t="s">
        <v>2435</v>
      </c>
      <c r="V471" s="76"/>
      <c r="W471" s="76"/>
      <c r="X471" s="76"/>
    </row>
    <row r="472" ht="18.0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 t="s">
        <v>2438</v>
      </c>
      <c r="L472" s="76"/>
      <c r="M472" s="76" t="s">
        <v>2439</v>
      </c>
      <c r="N472" s="76"/>
      <c r="O472" s="76"/>
      <c r="P472" s="76"/>
      <c r="Q472" s="76"/>
      <c r="R472" s="76"/>
      <c r="S472" s="76"/>
      <c r="T472" s="76"/>
      <c r="U472" s="76" t="s">
        <v>2441</v>
      </c>
      <c r="V472" s="76"/>
      <c r="W472" s="76"/>
      <c r="X472" s="76"/>
    </row>
    <row r="473" ht="18.0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 t="s">
        <v>2442</v>
      </c>
      <c r="L473" s="76"/>
      <c r="M473" s="76" t="s">
        <v>2443</v>
      </c>
      <c r="N473" s="76"/>
      <c r="O473" s="76"/>
      <c r="P473" s="76"/>
      <c r="Q473" s="76"/>
      <c r="R473" s="76"/>
      <c r="S473" s="76"/>
      <c r="T473" s="76"/>
      <c r="U473" s="76" t="s">
        <v>2444</v>
      </c>
      <c r="V473" s="76"/>
      <c r="W473" s="76"/>
      <c r="X473" s="76"/>
    </row>
    <row r="474" ht="18.0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 t="s">
        <v>2447</v>
      </c>
      <c r="L474" s="76"/>
      <c r="M474" s="76" t="s">
        <v>2448</v>
      </c>
      <c r="N474" s="76"/>
      <c r="O474" s="76"/>
      <c r="P474" s="76"/>
      <c r="Q474" s="76"/>
      <c r="R474" s="76"/>
      <c r="S474" s="76"/>
      <c r="T474" s="76"/>
      <c r="U474" s="76" t="s">
        <v>2449</v>
      </c>
      <c r="V474" s="76"/>
      <c r="W474" s="76"/>
      <c r="X474" s="76"/>
    </row>
    <row r="475" ht="18.0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 t="s">
        <v>2452</v>
      </c>
      <c r="L475" s="76"/>
      <c r="M475" s="76" t="s">
        <v>2453</v>
      </c>
      <c r="N475" s="76"/>
      <c r="O475" s="76"/>
      <c r="P475" s="76"/>
      <c r="Q475" s="76"/>
      <c r="R475" s="76"/>
      <c r="S475" s="76"/>
      <c r="T475" s="76"/>
      <c r="U475" s="76" t="s">
        <v>2455</v>
      </c>
      <c r="V475" s="76"/>
      <c r="W475" s="76"/>
      <c r="X475" s="76"/>
    </row>
    <row r="476" ht="18.0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 t="s">
        <v>2457</v>
      </c>
      <c r="L476" s="76"/>
      <c r="M476" s="76" t="s">
        <v>2458</v>
      </c>
      <c r="N476" s="76"/>
      <c r="O476" s="76"/>
      <c r="P476" s="76"/>
      <c r="Q476" s="76"/>
      <c r="R476" s="76"/>
      <c r="S476" s="76"/>
      <c r="T476" s="76"/>
      <c r="U476" s="76" t="s">
        <v>2461</v>
      </c>
      <c r="V476" s="76"/>
      <c r="W476" s="76"/>
      <c r="X476" s="76"/>
    </row>
    <row r="477" ht="18.0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 t="s">
        <v>2466</v>
      </c>
      <c r="L477" s="76"/>
      <c r="M477" s="76" t="s">
        <v>2468</v>
      </c>
      <c r="N477" s="76"/>
      <c r="O477" s="76"/>
      <c r="P477" s="76"/>
      <c r="Q477" s="76"/>
      <c r="R477" s="76"/>
      <c r="S477" s="76"/>
      <c r="T477" s="76"/>
      <c r="U477" s="76" t="s">
        <v>2471</v>
      </c>
      <c r="V477" s="76"/>
      <c r="W477" s="76"/>
      <c r="X477" s="76"/>
    </row>
    <row r="478" ht="18.0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 t="s">
        <v>2474</v>
      </c>
      <c r="L478" s="76"/>
      <c r="M478" s="76" t="s">
        <v>2476</v>
      </c>
      <c r="N478" s="76"/>
      <c r="O478" s="76"/>
      <c r="P478" s="76"/>
      <c r="Q478" s="76"/>
      <c r="R478" s="76"/>
      <c r="S478" s="76"/>
      <c r="T478" s="76"/>
      <c r="U478" s="76" t="s">
        <v>2478</v>
      </c>
      <c r="V478" s="76"/>
      <c r="W478" s="76"/>
      <c r="X478" s="76"/>
    </row>
    <row r="479" ht="18.0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 t="s">
        <v>2481</v>
      </c>
      <c r="L479" s="76"/>
      <c r="M479" s="76" t="s">
        <v>2482</v>
      </c>
      <c r="N479" s="76"/>
      <c r="O479" s="76"/>
      <c r="P479" s="76"/>
      <c r="Q479" s="76"/>
      <c r="R479" s="76"/>
      <c r="S479" s="76"/>
      <c r="T479" s="76"/>
      <c r="U479" s="76" t="s">
        <v>2483</v>
      </c>
      <c r="V479" s="76"/>
      <c r="W479" s="76"/>
      <c r="X479" s="76"/>
    </row>
    <row r="480" ht="18.0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 t="s">
        <v>2487</v>
      </c>
      <c r="L480" s="76"/>
      <c r="M480" s="76" t="s">
        <v>2489</v>
      </c>
      <c r="N480" s="76"/>
      <c r="O480" s="76"/>
      <c r="P480" s="76"/>
      <c r="Q480" s="76"/>
      <c r="R480" s="76"/>
      <c r="S480" s="76"/>
      <c r="T480" s="76"/>
      <c r="U480" s="76" t="s">
        <v>2490</v>
      </c>
      <c r="V480" s="76"/>
      <c r="W480" s="76"/>
      <c r="X480" s="76"/>
    </row>
    <row r="481" ht="18.0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 t="s">
        <v>2496</v>
      </c>
      <c r="L481" s="76"/>
      <c r="M481" s="76" t="s">
        <v>2497</v>
      </c>
      <c r="N481" s="76"/>
      <c r="O481" s="76"/>
      <c r="P481" s="76"/>
      <c r="Q481" s="76"/>
      <c r="R481" s="76"/>
      <c r="S481" s="76"/>
      <c r="T481" s="76"/>
      <c r="U481" s="76" t="s">
        <v>2499</v>
      </c>
      <c r="V481" s="76"/>
      <c r="W481" s="76"/>
      <c r="X481" s="76"/>
    </row>
    <row r="482" ht="18.0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 t="s">
        <v>2501</v>
      </c>
      <c r="L482" s="76"/>
      <c r="M482" s="76" t="s">
        <v>2502</v>
      </c>
      <c r="N482" s="76"/>
      <c r="O482" s="76"/>
      <c r="P482" s="76"/>
      <c r="Q482" s="76"/>
      <c r="R482" s="76"/>
      <c r="S482" s="76"/>
      <c r="T482" s="76"/>
      <c r="U482" s="76" t="s">
        <v>2506</v>
      </c>
      <c r="V482" s="76"/>
      <c r="W482" s="76"/>
      <c r="X482" s="76"/>
    </row>
    <row r="483" ht="18.0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 t="s">
        <v>2513</v>
      </c>
      <c r="L483" s="76"/>
      <c r="M483" s="76" t="s">
        <v>2515</v>
      </c>
      <c r="N483" s="76"/>
      <c r="O483" s="76"/>
      <c r="P483" s="76"/>
      <c r="Q483" s="76"/>
      <c r="R483" s="76"/>
      <c r="S483" s="76"/>
      <c r="T483" s="76"/>
      <c r="U483" s="76" t="s">
        <v>2517</v>
      </c>
      <c r="V483" s="76"/>
      <c r="W483" s="76"/>
      <c r="X483" s="76"/>
    </row>
    <row r="484" ht="18.0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 t="s">
        <v>2522</v>
      </c>
      <c r="L484" s="76"/>
      <c r="M484" s="76" t="s">
        <v>2525</v>
      </c>
      <c r="N484" s="76"/>
      <c r="O484" s="76"/>
      <c r="P484" s="76"/>
      <c r="Q484" s="76"/>
      <c r="R484" s="76"/>
      <c r="S484" s="76"/>
      <c r="T484" s="76"/>
      <c r="U484" s="76" t="s">
        <v>2529</v>
      </c>
      <c r="V484" s="76"/>
      <c r="W484" s="76"/>
      <c r="X484" s="76"/>
    </row>
    <row r="485" ht="18.0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 t="s">
        <v>2533</v>
      </c>
      <c r="L485" s="76"/>
      <c r="M485" s="76" t="s">
        <v>2535</v>
      </c>
      <c r="N485" s="76"/>
      <c r="O485" s="76"/>
      <c r="P485" s="76"/>
      <c r="Q485" s="76"/>
      <c r="R485" s="76"/>
      <c r="S485" s="76"/>
      <c r="T485" s="76"/>
      <c r="U485" s="76" t="s">
        <v>2537</v>
      </c>
      <c r="V485" s="76"/>
      <c r="W485" s="76"/>
      <c r="X485" s="76"/>
    </row>
    <row r="486" ht="18.0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 t="s">
        <v>2539</v>
      </c>
      <c r="L486" s="76"/>
      <c r="M486" s="76" t="s">
        <v>2541</v>
      </c>
      <c r="N486" s="76"/>
      <c r="O486" s="76"/>
      <c r="P486" s="76"/>
      <c r="Q486" s="76"/>
      <c r="R486" s="76"/>
      <c r="S486" s="76"/>
      <c r="T486" s="76"/>
      <c r="U486" s="76" t="s">
        <v>2544</v>
      </c>
      <c r="V486" s="76"/>
      <c r="W486" s="76"/>
      <c r="X486" s="76"/>
    </row>
    <row r="487" ht="18.0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 t="s">
        <v>189</v>
      </c>
      <c r="L487" s="76"/>
      <c r="M487" s="76" t="s">
        <v>2548</v>
      </c>
      <c r="N487" s="76"/>
      <c r="O487" s="76"/>
      <c r="P487" s="76"/>
      <c r="Q487" s="76"/>
      <c r="R487" s="76"/>
      <c r="S487" s="76"/>
      <c r="T487" s="76"/>
      <c r="U487" s="76" t="s">
        <v>2551</v>
      </c>
      <c r="V487" s="76"/>
      <c r="W487" s="76"/>
      <c r="X487" s="76"/>
    </row>
    <row r="488" ht="18.0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 t="s">
        <v>2554</v>
      </c>
      <c r="L488" s="76"/>
      <c r="M488" s="76" t="s">
        <v>2555</v>
      </c>
      <c r="N488" s="76"/>
      <c r="O488" s="76"/>
      <c r="P488" s="76"/>
      <c r="Q488" s="76"/>
      <c r="R488" s="76"/>
      <c r="S488" s="76"/>
      <c r="T488" s="76"/>
      <c r="U488" s="76" t="s">
        <v>2557</v>
      </c>
      <c r="V488" s="76"/>
      <c r="W488" s="76"/>
      <c r="X488" s="76"/>
    </row>
    <row r="489" ht="18.0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 t="s">
        <v>2558</v>
      </c>
      <c r="L489" s="76"/>
      <c r="M489" s="76" t="s">
        <v>2559</v>
      </c>
      <c r="N489" s="76"/>
      <c r="O489" s="76"/>
      <c r="P489" s="76"/>
      <c r="Q489" s="76"/>
      <c r="R489" s="76"/>
      <c r="S489" s="76"/>
      <c r="T489" s="76"/>
      <c r="U489" s="76" t="s">
        <v>2560</v>
      </c>
      <c r="V489" s="76"/>
      <c r="W489" s="76"/>
      <c r="X489" s="76"/>
    </row>
    <row r="490" ht="18.0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 t="s">
        <v>627</v>
      </c>
      <c r="L490" s="76"/>
      <c r="M490" s="76" t="s">
        <v>2561</v>
      </c>
      <c r="N490" s="76"/>
      <c r="O490" s="76"/>
      <c r="P490" s="76"/>
      <c r="Q490" s="76"/>
      <c r="R490" s="76"/>
      <c r="S490" s="76"/>
      <c r="T490" s="76"/>
      <c r="U490" s="76" t="s">
        <v>2562</v>
      </c>
      <c r="V490" s="76"/>
      <c r="W490" s="76"/>
      <c r="X490" s="76"/>
    </row>
    <row r="491" ht="18.0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 t="s">
        <v>2564</v>
      </c>
      <c r="L491" s="76"/>
      <c r="M491" s="76" t="s">
        <v>2565</v>
      </c>
      <c r="N491" s="76"/>
      <c r="O491" s="76"/>
      <c r="P491" s="76"/>
      <c r="Q491" s="76"/>
      <c r="R491" s="76"/>
      <c r="S491" s="76"/>
      <c r="T491" s="76"/>
      <c r="U491" s="76" t="s">
        <v>2566</v>
      </c>
      <c r="V491" s="76"/>
      <c r="W491" s="76"/>
      <c r="X491" s="76"/>
    </row>
    <row r="492" ht="18.0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 t="s">
        <v>2567</v>
      </c>
      <c r="L492" s="76"/>
      <c r="M492" s="76" t="s">
        <v>2568</v>
      </c>
      <c r="N492" s="76"/>
      <c r="O492" s="76"/>
      <c r="P492" s="76"/>
      <c r="Q492" s="76"/>
      <c r="R492" s="76"/>
      <c r="S492" s="76"/>
      <c r="T492" s="76"/>
      <c r="U492" s="76" t="s">
        <v>2569</v>
      </c>
      <c r="V492" s="76"/>
      <c r="W492" s="76"/>
      <c r="X492" s="76"/>
    </row>
    <row r="493" ht="18.0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 t="s">
        <v>2570</v>
      </c>
      <c r="L493" s="76"/>
      <c r="M493" s="76" t="s">
        <v>2572</v>
      </c>
      <c r="N493" s="76"/>
      <c r="O493" s="76"/>
      <c r="P493" s="76"/>
      <c r="Q493" s="76"/>
      <c r="R493" s="76"/>
      <c r="S493" s="76"/>
      <c r="T493" s="76"/>
      <c r="U493" s="76" t="s">
        <v>2574</v>
      </c>
      <c r="V493" s="76"/>
      <c r="W493" s="76"/>
      <c r="X493" s="76"/>
    </row>
    <row r="494" ht="18.0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 t="s">
        <v>2578</v>
      </c>
      <c r="L494" s="76"/>
      <c r="M494" s="76" t="s">
        <v>2580</v>
      </c>
      <c r="N494" s="76"/>
      <c r="O494" s="76"/>
      <c r="P494" s="76"/>
      <c r="Q494" s="76"/>
      <c r="R494" s="76"/>
      <c r="S494" s="76"/>
      <c r="T494" s="76"/>
      <c r="U494" s="76" t="s">
        <v>2585</v>
      </c>
      <c r="V494" s="76"/>
      <c r="W494" s="76"/>
      <c r="X494" s="76"/>
    </row>
    <row r="495" ht="18.0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 t="s">
        <v>2587</v>
      </c>
      <c r="L495" s="76"/>
      <c r="M495" s="76" t="s">
        <v>2588</v>
      </c>
      <c r="N495" s="76"/>
      <c r="O495" s="76"/>
      <c r="P495" s="76"/>
      <c r="Q495" s="76"/>
      <c r="R495" s="76"/>
      <c r="S495" s="76"/>
      <c r="T495" s="76"/>
      <c r="U495" s="76" t="s">
        <v>2590</v>
      </c>
      <c r="V495" s="76"/>
      <c r="W495" s="76"/>
      <c r="X495" s="76"/>
    </row>
    <row r="496" ht="18.0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 t="s">
        <v>2591</v>
      </c>
      <c r="L496" s="76"/>
      <c r="M496" s="76" t="s">
        <v>2593</v>
      </c>
      <c r="N496" s="76"/>
      <c r="O496" s="76"/>
      <c r="P496" s="76"/>
      <c r="Q496" s="76"/>
      <c r="R496" s="76"/>
      <c r="S496" s="76"/>
      <c r="T496" s="76"/>
      <c r="U496" s="76" t="s">
        <v>2594</v>
      </c>
      <c r="V496" s="76"/>
      <c r="W496" s="76"/>
      <c r="X496" s="76"/>
    </row>
    <row r="497" ht="18.0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 t="s">
        <v>2596</v>
      </c>
      <c r="L497" s="76"/>
      <c r="M497" s="76" t="s">
        <v>2597</v>
      </c>
      <c r="N497" s="76"/>
      <c r="O497" s="76"/>
      <c r="P497" s="76"/>
      <c r="Q497" s="76"/>
      <c r="R497" s="76"/>
      <c r="S497" s="76"/>
      <c r="T497" s="76"/>
      <c r="U497" s="76" t="s">
        <v>2599</v>
      </c>
      <c r="V497" s="76"/>
      <c r="W497" s="76"/>
      <c r="X497" s="76"/>
    </row>
    <row r="498" ht="18.0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 t="s">
        <v>2601</v>
      </c>
      <c r="L498" s="76"/>
      <c r="M498" s="76" t="s">
        <v>2602</v>
      </c>
      <c r="N498" s="76"/>
      <c r="O498" s="76"/>
      <c r="P498" s="76"/>
      <c r="Q498" s="76"/>
      <c r="R498" s="76"/>
      <c r="S498" s="76"/>
      <c r="T498" s="76"/>
      <c r="U498" s="76" t="s">
        <v>2603</v>
      </c>
      <c r="V498" s="76"/>
      <c r="W498" s="76"/>
      <c r="X498" s="76"/>
    </row>
    <row r="499" ht="18.0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 t="s">
        <v>2604</v>
      </c>
      <c r="L499" s="76"/>
      <c r="M499" s="76" t="s">
        <v>2605</v>
      </c>
      <c r="N499" s="76"/>
      <c r="O499" s="76"/>
      <c r="P499" s="76"/>
      <c r="Q499" s="76"/>
      <c r="R499" s="76"/>
      <c r="S499" s="76"/>
      <c r="T499" s="76"/>
      <c r="U499" s="76" t="s">
        <v>2606</v>
      </c>
      <c r="V499" s="76"/>
      <c r="W499" s="76"/>
      <c r="X499" s="76"/>
    </row>
    <row r="500" ht="18.0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 t="s">
        <v>2607</v>
      </c>
      <c r="L500" s="76"/>
      <c r="M500" s="76" t="s">
        <v>2608</v>
      </c>
      <c r="N500" s="76"/>
      <c r="O500" s="76"/>
      <c r="P500" s="76"/>
      <c r="Q500" s="76"/>
      <c r="R500" s="76"/>
      <c r="S500" s="76"/>
      <c r="T500" s="76"/>
      <c r="U500" s="76" t="s">
        <v>2609</v>
      </c>
      <c r="V500" s="76"/>
      <c r="W500" s="76"/>
      <c r="X500" s="76"/>
    </row>
    <row r="501" ht="18.0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 t="s">
        <v>2613</v>
      </c>
      <c r="L501" s="76"/>
      <c r="M501" s="76" t="s">
        <v>2615</v>
      </c>
      <c r="N501" s="76"/>
      <c r="O501" s="76"/>
      <c r="P501" s="76"/>
      <c r="Q501" s="76"/>
      <c r="R501" s="76"/>
      <c r="S501" s="76"/>
      <c r="T501" s="76"/>
      <c r="U501" s="76" t="s">
        <v>2616</v>
      </c>
      <c r="V501" s="76"/>
      <c r="W501" s="76"/>
      <c r="X501" s="76"/>
    </row>
    <row r="502" ht="18.0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 t="s">
        <v>2617</v>
      </c>
      <c r="L502" s="76"/>
      <c r="M502" s="76" t="s">
        <v>2618</v>
      </c>
      <c r="N502" s="76"/>
      <c r="O502" s="76"/>
      <c r="P502" s="76"/>
      <c r="Q502" s="76"/>
      <c r="R502" s="76"/>
      <c r="S502" s="76"/>
      <c r="T502" s="76"/>
      <c r="U502" s="76" t="s">
        <v>2619</v>
      </c>
      <c r="V502" s="76"/>
      <c r="W502" s="76"/>
      <c r="X502" s="76"/>
    </row>
    <row r="503" ht="18.0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 t="s">
        <v>2620</v>
      </c>
      <c r="L503" s="76"/>
      <c r="M503" s="76" t="s">
        <v>2621</v>
      </c>
      <c r="N503" s="76"/>
      <c r="O503" s="76"/>
      <c r="P503" s="76"/>
      <c r="Q503" s="76"/>
      <c r="R503" s="76"/>
      <c r="S503" s="76"/>
      <c r="T503" s="76"/>
      <c r="U503" s="76" t="s">
        <v>2622</v>
      </c>
      <c r="V503" s="76"/>
      <c r="W503" s="76"/>
      <c r="X503" s="76"/>
    </row>
    <row r="504" ht="18.0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 t="s">
        <v>2623</v>
      </c>
      <c r="L504" s="76"/>
      <c r="M504" s="76" t="s">
        <v>2624</v>
      </c>
      <c r="N504" s="76"/>
      <c r="O504" s="76"/>
      <c r="P504" s="76"/>
      <c r="Q504" s="76"/>
      <c r="R504" s="76"/>
      <c r="S504" s="76"/>
      <c r="T504" s="76"/>
      <c r="U504" s="76" t="s">
        <v>2625</v>
      </c>
      <c r="V504" s="76"/>
      <c r="W504" s="76"/>
      <c r="X504" s="76"/>
    </row>
    <row r="505" ht="18.0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 t="s">
        <v>2626</v>
      </c>
      <c r="L505" s="76"/>
      <c r="M505" s="76" t="s">
        <v>2627</v>
      </c>
      <c r="N505" s="76"/>
      <c r="O505" s="76"/>
      <c r="P505" s="76"/>
      <c r="Q505" s="76"/>
      <c r="R505" s="76"/>
      <c r="S505" s="76"/>
      <c r="T505" s="76"/>
      <c r="U505" s="76" t="s">
        <v>2628</v>
      </c>
      <c r="V505" s="76"/>
      <c r="W505" s="76"/>
      <c r="X505" s="76"/>
    </row>
    <row r="506" ht="18.0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 t="s">
        <v>2629</v>
      </c>
      <c r="L506" s="76"/>
      <c r="M506" s="76" t="s">
        <v>2630</v>
      </c>
      <c r="N506" s="76"/>
      <c r="O506" s="76"/>
      <c r="P506" s="76"/>
      <c r="Q506" s="76"/>
      <c r="R506" s="76"/>
      <c r="S506" s="76"/>
      <c r="T506" s="76"/>
      <c r="U506" s="76" t="s">
        <v>2631</v>
      </c>
      <c r="V506" s="76"/>
      <c r="W506" s="76"/>
      <c r="X506" s="76"/>
    </row>
    <row r="507" ht="18.0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 t="s">
        <v>2632</v>
      </c>
      <c r="L507" s="76"/>
      <c r="M507" s="76" t="s">
        <v>2633</v>
      </c>
      <c r="N507" s="76"/>
      <c r="O507" s="76"/>
      <c r="P507" s="76"/>
      <c r="Q507" s="76"/>
      <c r="R507" s="76"/>
      <c r="S507" s="76"/>
      <c r="T507" s="76"/>
      <c r="U507" s="76" t="s">
        <v>2634</v>
      </c>
      <c r="V507" s="76"/>
      <c r="W507" s="76"/>
      <c r="X507" s="76"/>
    </row>
    <row r="508" ht="18.0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 t="s">
        <v>2635</v>
      </c>
      <c r="L508" s="76"/>
      <c r="M508" s="76" t="s">
        <v>2636</v>
      </c>
      <c r="N508" s="76"/>
      <c r="O508" s="76"/>
      <c r="P508" s="76"/>
      <c r="Q508" s="76"/>
      <c r="R508" s="76"/>
      <c r="S508" s="76"/>
      <c r="T508" s="76"/>
      <c r="U508" s="76" t="s">
        <v>2637</v>
      </c>
      <c r="V508" s="76"/>
      <c r="W508" s="76"/>
      <c r="X508" s="76"/>
    </row>
    <row r="509" ht="18.0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 t="s">
        <v>2638</v>
      </c>
      <c r="L509" s="76"/>
      <c r="M509" s="76" t="s">
        <v>2639</v>
      </c>
      <c r="N509" s="76"/>
      <c r="O509" s="76"/>
      <c r="P509" s="76"/>
      <c r="Q509" s="76"/>
      <c r="R509" s="76"/>
      <c r="S509" s="76"/>
      <c r="T509" s="76"/>
      <c r="U509" s="76" t="s">
        <v>2640</v>
      </c>
      <c r="V509" s="76"/>
      <c r="W509" s="76"/>
      <c r="X509" s="76"/>
    </row>
    <row r="510" ht="18.0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 t="s">
        <v>2641</v>
      </c>
      <c r="L510" s="76"/>
      <c r="M510" s="76" t="s">
        <v>2642</v>
      </c>
      <c r="N510" s="76"/>
      <c r="O510" s="76"/>
      <c r="P510" s="76"/>
      <c r="Q510" s="76"/>
      <c r="R510" s="76"/>
      <c r="S510" s="76"/>
      <c r="T510" s="76"/>
      <c r="U510" s="76" t="s">
        <v>2643</v>
      </c>
      <c r="V510" s="76"/>
      <c r="W510" s="76"/>
      <c r="X510" s="76"/>
    </row>
    <row r="511" ht="18.0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 t="s">
        <v>2644</v>
      </c>
      <c r="L511" s="76"/>
      <c r="M511" s="76" t="s">
        <v>2645</v>
      </c>
      <c r="N511" s="76"/>
      <c r="O511" s="76"/>
      <c r="P511" s="76"/>
      <c r="Q511" s="76"/>
      <c r="R511" s="76"/>
      <c r="S511" s="76"/>
      <c r="T511" s="76"/>
      <c r="U511" s="76" t="s">
        <v>2646</v>
      </c>
      <c r="V511" s="76"/>
      <c r="W511" s="76"/>
      <c r="X511" s="76"/>
    </row>
    <row r="512" ht="18.0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 t="s">
        <v>2647</v>
      </c>
      <c r="L512" s="76"/>
      <c r="M512" s="76" t="s">
        <v>2648</v>
      </c>
      <c r="N512" s="76"/>
      <c r="O512" s="76"/>
      <c r="P512" s="76"/>
      <c r="Q512" s="76"/>
      <c r="R512" s="76"/>
      <c r="S512" s="76"/>
      <c r="T512" s="76"/>
      <c r="U512" s="76" t="s">
        <v>2649</v>
      </c>
      <c r="V512" s="76"/>
      <c r="W512" s="76"/>
      <c r="X512" s="76"/>
    </row>
    <row r="513" ht="18.0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 t="s">
        <v>2650</v>
      </c>
      <c r="L513" s="76"/>
      <c r="M513" s="76" t="s">
        <v>2651</v>
      </c>
      <c r="N513" s="76"/>
      <c r="O513" s="76"/>
      <c r="P513" s="76"/>
      <c r="Q513" s="76"/>
      <c r="R513" s="76"/>
      <c r="S513" s="76"/>
      <c r="T513" s="76"/>
      <c r="U513" s="76" t="s">
        <v>2652</v>
      </c>
      <c r="V513" s="76"/>
      <c r="W513" s="76"/>
      <c r="X513" s="76"/>
    </row>
    <row r="514" ht="18.0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 t="s">
        <v>2653</v>
      </c>
      <c r="L514" s="76"/>
      <c r="M514" s="76" t="s">
        <v>2654</v>
      </c>
      <c r="N514" s="76"/>
      <c r="O514" s="76"/>
      <c r="P514" s="76"/>
      <c r="Q514" s="76"/>
      <c r="R514" s="76"/>
      <c r="S514" s="76"/>
      <c r="T514" s="76"/>
      <c r="U514" s="76" t="s">
        <v>2655</v>
      </c>
      <c r="V514" s="76"/>
      <c r="W514" s="76"/>
      <c r="X514" s="76"/>
    </row>
    <row r="515" ht="18.0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 t="s">
        <v>2656</v>
      </c>
      <c r="L515" s="76"/>
      <c r="M515" s="76" t="s">
        <v>2657</v>
      </c>
      <c r="N515" s="76"/>
      <c r="O515" s="76"/>
      <c r="P515" s="76"/>
      <c r="Q515" s="76"/>
      <c r="R515" s="76"/>
      <c r="S515" s="76"/>
      <c r="T515" s="76"/>
      <c r="U515" s="76" t="s">
        <v>2658</v>
      </c>
      <c r="V515" s="76"/>
      <c r="W515" s="76"/>
      <c r="X515" s="76"/>
    </row>
    <row r="516" ht="18.0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 t="s">
        <v>2659</v>
      </c>
      <c r="L516" s="76"/>
      <c r="M516" s="76" t="s">
        <v>2660</v>
      </c>
      <c r="N516" s="76"/>
      <c r="O516" s="76"/>
      <c r="P516" s="76"/>
      <c r="Q516" s="76"/>
      <c r="R516" s="76"/>
      <c r="S516" s="76"/>
      <c r="T516" s="76"/>
      <c r="U516" s="76" t="s">
        <v>2661</v>
      </c>
      <c r="V516" s="76"/>
      <c r="W516" s="76"/>
      <c r="X516" s="76"/>
    </row>
    <row r="517" ht="18.0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 t="s">
        <v>2662</v>
      </c>
      <c r="L517" s="76"/>
      <c r="M517" s="76" t="s">
        <v>2663</v>
      </c>
      <c r="N517" s="76"/>
      <c r="O517" s="76"/>
      <c r="P517" s="76"/>
      <c r="Q517" s="76"/>
      <c r="R517" s="76"/>
      <c r="S517" s="76"/>
      <c r="T517" s="76"/>
      <c r="U517" s="76" t="s">
        <v>2665</v>
      </c>
      <c r="V517" s="76"/>
      <c r="W517" s="76"/>
      <c r="X517" s="76"/>
    </row>
    <row r="518" ht="18.0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 t="s">
        <v>2666</v>
      </c>
      <c r="L518" s="76"/>
      <c r="M518" s="76" t="s">
        <v>2667</v>
      </c>
      <c r="N518" s="76"/>
      <c r="O518" s="76"/>
      <c r="P518" s="76"/>
      <c r="Q518" s="76"/>
      <c r="R518" s="76"/>
      <c r="S518" s="76"/>
      <c r="T518" s="76"/>
      <c r="U518" s="76" t="s">
        <v>2669</v>
      </c>
      <c r="V518" s="76"/>
      <c r="W518" s="76"/>
      <c r="X518" s="76"/>
    </row>
    <row r="519" ht="18.0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 t="s">
        <v>2671</v>
      </c>
      <c r="L519" s="76"/>
      <c r="M519" s="76" t="s">
        <v>2672</v>
      </c>
      <c r="N519" s="76"/>
      <c r="O519" s="76"/>
      <c r="P519" s="76"/>
      <c r="Q519" s="76"/>
      <c r="R519" s="76"/>
      <c r="S519" s="76"/>
      <c r="T519" s="76"/>
      <c r="U519" s="76" t="s">
        <v>2674</v>
      </c>
      <c r="V519" s="76"/>
      <c r="W519" s="76"/>
      <c r="X519" s="76"/>
    </row>
    <row r="520" ht="18.0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 t="s">
        <v>2675</v>
      </c>
      <c r="L520" s="76"/>
      <c r="M520" s="76" t="s">
        <v>2676</v>
      </c>
      <c r="N520" s="76"/>
      <c r="O520" s="76"/>
      <c r="P520" s="76"/>
      <c r="Q520" s="76"/>
      <c r="R520" s="76"/>
      <c r="S520" s="76"/>
      <c r="T520" s="76"/>
      <c r="U520" s="76" t="s">
        <v>2677</v>
      </c>
      <c r="V520" s="76"/>
      <c r="W520" s="76"/>
      <c r="X520" s="76"/>
    </row>
    <row r="521" ht="18.0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 t="s">
        <v>2679</v>
      </c>
      <c r="L521" s="76"/>
      <c r="M521" s="76" t="s">
        <v>2680</v>
      </c>
      <c r="N521" s="76"/>
      <c r="O521" s="76"/>
      <c r="P521" s="76"/>
      <c r="Q521" s="76"/>
      <c r="R521" s="76"/>
      <c r="S521" s="76"/>
      <c r="T521" s="76"/>
      <c r="U521" s="76" t="s">
        <v>2681</v>
      </c>
      <c r="V521" s="76"/>
      <c r="W521" s="76"/>
      <c r="X521" s="76"/>
    </row>
    <row r="522" ht="18.0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 t="s">
        <v>2684</v>
      </c>
      <c r="L522" s="76"/>
      <c r="M522" s="76" t="s">
        <v>2686</v>
      </c>
      <c r="N522" s="76"/>
      <c r="O522" s="76"/>
      <c r="P522" s="76"/>
      <c r="Q522" s="76"/>
      <c r="R522" s="76"/>
      <c r="S522" s="76"/>
      <c r="T522" s="76"/>
      <c r="U522" s="76" t="s">
        <v>2689</v>
      </c>
      <c r="V522" s="76"/>
      <c r="W522" s="76"/>
      <c r="X522" s="76"/>
    </row>
    <row r="523" ht="18.0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 t="s">
        <v>2693</v>
      </c>
      <c r="L523" s="76"/>
      <c r="M523" s="76" t="s">
        <v>2695</v>
      </c>
      <c r="N523" s="76"/>
      <c r="O523" s="76"/>
      <c r="P523" s="76"/>
      <c r="Q523" s="76"/>
      <c r="R523" s="76"/>
      <c r="S523" s="76"/>
      <c r="T523" s="76"/>
      <c r="U523" s="76" t="s">
        <v>2699</v>
      </c>
      <c r="V523" s="76"/>
      <c r="W523" s="76"/>
      <c r="X523" s="76"/>
    </row>
    <row r="524" ht="18.0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 t="s">
        <v>2704</v>
      </c>
      <c r="L524" s="76"/>
      <c r="M524" s="76" t="s">
        <v>2706</v>
      </c>
      <c r="N524" s="76"/>
      <c r="O524" s="76"/>
      <c r="P524" s="76"/>
      <c r="Q524" s="76"/>
      <c r="R524" s="76"/>
      <c r="S524" s="76"/>
      <c r="T524" s="76"/>
      <c r="U524" s="76" t="s">
        <v>2709</v>
      </c>
      <c r="V524" s="76"/>
      <c r="W524" s="76"/>
      <c r="X524" s="76"/>
    </row>
    <row r="525" ht="18.0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 t="s">
        <v>2714</v>
      </c>
      <c r="L525" s="76"/>
      <c r="M525" s="76" t="s">
        <v>2716</v>
      </c>
      <c r="N525" s="76"/>
      <c r="O525" s="76"/>
      <c r="P525" s="76"/>
      <c r="Q525" s="76"/>
      <c r="R525" s="76"/>
      <c r="S525" s="76"/>
      <c r="T525" s="76"/>
      <c r="U525" s="76" t="s">
        <v>2721</v>
      </c>
      <c r="V525" s="76"/>
      <c r="W525" s="76"/>
      <c r="X525" s="76"/>
    </row>
    <row r="526" ht="18.0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 t="s">
        <v>2728</v>
      </c>
      <c r="L526" s="76"/>
      <c r="M526" s="76" t="s">
        <v>2729</v>
      </c>
      <c r="N526" s="76"/>
      <c r="O526" s="76"/>
      <c r="P526" s="76"/>
      <c r="Q526" s="76"/>
      <c r="R526" s="76"/>
      <c r="S526" s="76"/>
      <c r="T526" s="76"/>
      <c r="U526" s="76" t="s">
        <v>2732</v>
      </c>
      <c r="V526" s="76"/>
      <c r="W526" s="76"/>
      <c r="X526" s="76"/>
    </row>
    <row r="527" ht="18.0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 t="s">
        <v>2736</v>
      </c>
      <c r="L527" s="76"/>
      <c r="M527" s="76" t="s">
        <v>2738</v>
      </c>
      <c r="N527" s="76"/>
      <c r="O527" s="76"/>
      <c r="P527" s="76"/>
      <c r="Q527" s="76"/>
      <c r="R527" s="76"/>
      <c r="S527" s="76"/>
      <c r="T527" s="76"/>
      <c r="U527" s="76" t="s">
        <v>2740</v>
      </c>
      <c r="V527" s="76"/>
      <c r="W527" s="76"/>
      <c r="X527" s="76"/>
    </row>
    <row r="528" ht="18.0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 t="s">
        <v>2745</v>
      </c>
      <c r="L528" s="76"/>
      <c r="M528" s="76" t="s">
        <v>2746</v>
      </c>
      <c r="N528" s="76"/>
      <c r="O528" s="76"/>
      <c r="P528" s="76"/>
      <c r="Q528" s="76"/>
      <c r="R528" s="76"/>
      <c r="S528" s="76"/>
      <c r="T528" s="76"/>
      <c r="U528" s="76" t="s">
        <v>2747</v>
      </c>
      <c r="V528" s="76"/>
      <c r="W528" s="76"/>
      <c r="X528" s="76"/>
    </row>
    <row r="529" ht="18.0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 t="s">
        <v>2748</v>
      </c>
      <c r="L529" s="76"/>
      <c r="M529" s="76" t="s">
        <v>2749</v>
      </c>
      <c r="N529" s="76"/>
      <c r="O529" s="76"/>
      <c r="P529" s="76"/>
      <c r="Q529" s="76"/>
      <c r="R529" s="76"/>
      <c r="S529" s="76"/>
      <c r="T529" s="76"/>
      <c r="U529" s="76" t="s">
        <v>2750</v>
      </c>
      <c r="V529" s="76"/>
      <c r="W529" s="76"/>
      <c r="X529" s="76"/>
    </row>
    <row r="530" ht="18.0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 t="s">
        <v>2751</v>
      </c>
      <c r="L530" s="76"/>
      <c r="M530" s="76" t="s">
        <v>2752</v>
      </c>
      <c r="N530" s="76"/>
      <c r="O530" s="76"/>
      <c r="P530" s="76"/>
      <c r="Q530" s="76"/>
      <c r="R530" s="76"/>
      <c r="S530" s="76"/>
      <c r="T530" s="76"/>
      <c r="U530" s="76" t="s">
        <v>2753</v>
      </c>
      <c r="V530" s="76"/>
      <c r="W530" s="76"/>
      <c r="X530" s="76"/>
    </row>
    <row r="531" ht="18.0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 t="s">
        <v>2754</v>
      </c>
      <c r="L531" s="76"/>
      <c r="M531" s="76" t="s">
        <v>2755</v>
      </c>
      <c r="N531" s="76"/>
      <c r="O531" s="76"/>
      <c r="P531" s="76"/>
      <c r="Q531" s="76"/>
      <c r="R531" s="76"/>
      <c r="S531" s="76"/>
      <c r="T531" s="76"/>
      <c r="U531" s="76" t="s">
        <v>2757</v>
      </c>
      <c r="V531" s="76"/>
      <c r="W531" s="76"/>
      <c r="X531" s="76"/>
    </row>
    <row r="532" ht="18.0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 t="s">
        <v>2758</v>
      </c>
      <c r="L532" s="76"/>
      <c r="M532" s="76" t="s">
        <v>2759</v>
      </c>
      <c r="N532" s="76"/>
      <c r="O532" s="76"/>
      <c r="P532" s="76"/>
      <c r="Q532" s="76"/>
      <c r="R532" s="76"/>
      <c r="S532" s="76"/>
      <c r="T532" s="76"/>
      <c r="U532" s="76" t="s">
        <v>2760</v>
      </c>
      <c r="V532" s="76"/>
      <c r="W532" s="76"/>
      <c r="X532" s="76"/>
    </row>
    <row r="533" ht="18.0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 t="s">
        <v>2761</v>
      </c>
      <c r="L533" s="76"/>
      <c r="M533" s="76" t="s">
        <v>2762</v>
      </c>
      <c r="N533" s="76"/>
      <c r="O533" s="76"/>
      <c r="P533" s="76"/>
      <c r="Q533" s="76"/>
      <c r="R533" s="76"/>
      <c r="S533" s="76"/>
      <c r="T533" s="76"/>
      <c r="U533" s="76" t="s">
        <v>2763</v>
      </c>
      <c r="V533" s="76"/>
      <c r="W533" s="76"/>
      <c r="X533" s="76"/>
    </row>
    <row r="534" ht="18.0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 t="s">
        <v>2764</v>
      </c>
      <c r="L534" s="76"/>
      <c r="M534" s="76" t="s">
        <v>2765</v>
      </c>
      <c r="N534" s="76"/>
      <c r="O534" s="76"/>
      <c r="P534" s="76"/>
      <c r="Q534" s="76"/>
      <c r="R534" s="76"/>
      <c r="S534" s="76"/>
      <c r="T534" s="76"/>
      <c r="U534" s="76" t="s">
        <v>2766</v>
      </c>
      <c r="V534" s="76"/>
      <c r="W534" s="76"/>
      <c r="X534" s="76"/>
    </row>
    <row r="535" ht="18.0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 t="s">
        <v>2767</v>
      </c>
      <c r="L535" s="76"/>
      <c r="M535" s="76" t="s">
        <v>2769</v>
      </c>
      <c r="N535" s="76"/>
      <c r="O535" s="76"/>
      <c r="P535" s="76"/>
      <c r="Q535" s="76"/>
      <c r="R535" s="76"/>
      <c r="S535" s="76"/>
      <c r="T535" s="76"/>
      <c r="U535" s="76" t="s">
        <v>2770</v>
      </c>
      <c r="V535" s="76"/>
      <c r="W535" s="76"/>
      <c r="X535" s="76"/>
    </row>
    <row r="536" ht="18.0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 t="s">
        <v>2771</v>
      </c>
      <c r="L536" s="76"/>
      <c r="M536" s="76" t="s">
        <v>2772</v>
      </c>
      <c r="N536" s="76"/>
      <c r="O536" s="76"/>
      <c r="P536" s="76"/>
      <c r="Q536" s="76"/>
      <c r="R536" s="76"/>
      <c r="S536" s="76"/>
      <c r="T536" s="76"/>
      <c r="U536" s="76" t="s">
        <v>2773</v>
      </c>
      <c r="V536" s="76"/>
      <c r="W536" s="76"/>
      <c r="X536" s="76"/>
    </row>
    <row r="537" ht="18.0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 t="s">
        <v>2776</v>
      </c>
      <c r="L537" s="76"/>
      <c r="M537" s="76" t="s">
        <v>2777</v>
      </c>
      <c r="N537" s="76"/>
      <c r="O537" s="76"/>
      <c r="P537" s="76"/>
      <c r="Q537" s="76"/>
      <c r="R537" s="76"/>
      <c r="S537" s="76"/>
      <c r="T537" s="76"/>
      <c r="U537" s="76" t="s">
        <v>2778</v>
      </c>
      <c r="V537" s="76"/>
      <c r="W537" s="76"/>
      <c r="X537" s="76"/>
    </row>
    <row r="538" ht="18.0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 t="s">
        <v>2779</v>
      </c>
      <c r="L538" s="76"/>
      <c r="M538" s="76" t="s">
        <v>2780</v>
      </c>
      <c r="N538" s="76"/>
      <c r="O538" s="76"/>
      <c r="P538" s="76"/>
      <c r="Q538" s="76"/>
      <c r="R538" s="76"/>
      <c r="S538" s="76"/>
      <c r="T538" s="76"/>
      <c r="U538" s="76" t="s">
        <v>2781</v>
      </c>
      <c r="V538" s="76"/>
      <c r="W538" s="76"/>
      <c r="X538" s="76"/>
    </row>
    <row r="539" ht="18.0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 t="s">
        <v>2783</v>
      </c>
      <c r="L539" s="76"/>
      <c r="M539" s="76" t="s">
        <v>2785</v>
      </c>
      <c r="N539" s="76"/>
      <c r="O539" s="76"/>
      <c r="P539" s="76"/>
      <c r="Q539" s="76"/>
      <c r="R539" s="76"/>
      <c r="S539" s="76"/>
      <c r="T539" s="76"/>
      <c r="U539" s="76" t="s">
        <v>2787</v>
      </c>
      <c r="V539" s="76"/>
      <c r="W539" s="76"/>
      <c r="X539" s="76"/>
    </row>
    <row r="540" ht="18.0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 t="s">
        <v>2789</v>
      </c>
      <c r="L540" s="76"/>
      <c r="M540" s="76" t="s">
        <v>2790</v>
      </c>
      <c r="N540" s="76"/>
      <c r="O540" s="76"/>
      <c r="P540" s="76"/>
      <c r="Q540" s="76"/>
      <c r="R540" s="76"/>
      <c r="S540" s="76"/>
      <c r="T540" s="76"/>
      <c r="U540" s="76" t="s">
        <v>2791</v>
      </c>
      <c r="V540" s="76"/>
      <c r="W540" s="76"/>
      <c r="X540" s="76"/>
    </row>
    <row r="541" ht="18.0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 t="s">
        <v>2793</v>
      </c>
      <c r="L541" s="76"/>
      <c r="M541" s="76" t="s">
        <v>2795</v>
      </c>
      <c r="N541" s="76"/>
      <c r="O541" s="76"/>
      <c r="P541" s="76"/>
      <c r="Q541" s="76"/>
      <c r="R541" s="76"/>
      <c r="S541" s="76"/>
      <c r="T541" s="76"/>
      <c r="U541" s="76" t="s">
        <v>2796</v>
      </c>
      <c r="V541" s="76"/>
      <c r="W541" s="76"/>
      <c r="X541" s="76"/>
    </row>
    <row r="542" ht="18.0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 t="s">
        <v>2797</v>
      </c>
      <c r="L542" s="76"/>
      <c r="M542" s="76" t="s">
        <v>2798</v>
      </c>
      <c r="N542" s="76"/>
      <c r="O542" s="76"/>
      <c r="P542" s="76"/>
      <c r="Q542" s="76"/>
      <c r="R542" s="76"/>
      <c r="S542" s="76"/>
      <c r="T542" s="76"/>
      <c r="U542" s="76" t="s">
        <v>2799</v>
      </c>
      <c r="V542" s="76"/>
      <c r="W542" s="76"/>
      <c r="X542" s="76"/>
    </row>
    <row r="543" ht="18.0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 t="s">
        <v>2801</v>
      </c>
      <c r="L543" s="76"/>
      <c r="M543" s="76" t="s">
        <v>2802</v>
      </c>
      <c r="N543" s="76"/>
      <c r="O543" s="76"/>
      <c r="P543" s="76"/>
      <c r="Q543" s="76"/>
      <c r="R543" s="76"/>
      <c r="S543" s="76"/>
      <c r="T543" s="76"/>
      <c r="U543" s="76" t="s">
        <v>2803</v>
      </c>
      <c r="V543" s="76"/>
      <c r="W543" s="76"/>
      <c r="X543" s="76"/>
    </row>
    <row r="544" ht="18.0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 t="s">
        <v>2804</v>
      </c>
      <c r="L544" s="76"/>
      <c r="M544" s="76" t="s">
        <v>2805</v>
      </c>
      <c r="N544" s="76"/>
      <c r="O544" s="76"/>
      <c r="P544" s="76"/>
      <c r="Q544" s="76"/>
      <c r="R544" s="76"/>
      <c r="S544" s="76"/>
      <c r="T544" s="76"/>
      <c r="U544" s="76" t="s">
        <v>2806</v>
      </c>
      <c r="V544" s="76"/>
      <c r="W544" s="76"/>
      <c r="X544" s="76"/>
    </row>
    <row r="545" ht="18.0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 t="s">
        <v>2807</v>
      </c>
      <c r="L545" s="76"/>
      <c r="M545" s="76" t="s">
        <v>2808</v>
      </c>
      <c r="N545" s="76"/>
      <c r="O545" s="76"/>
      <c r="P545" s="76"/>
      <c r="Q545" s="76"/>
      <c r="R545" s="76"/>
      <c r="S545" s="76"/>
      <c r="T545" s="76"/>
      <c r="U545" s="76" t="s">
        <v>2809</v>
      </c>
      <c r="V545" s="76"/>
      <c r="W545" s="76"/>
      <c r="X545" s="76"/>
    </row>
    <row r="546" ht="18.0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 t="s">
        <v>2810</v>
      </c>
      <c r="L546" s="76"/>
      <c r="M546" s="76" t="s">
        <v>2811</v>
      </c>
      <c r="N546" s="76"/>
      <c r="O546" s="76"/>
      <c r="P546" s="76"/>
      <c r="Q546" s="76"/>
      <c r="R546" s="76"/>
      <c r="S546" s="76"/>
      <c r="T546" s="76"/>
      <c r="U546" s="76" t="s">
        <v>2812</v>
      </c>
      <c r="V546" s="76"/>
      <c r="W546" s="76"/>
      <c r="X546" s="76"/>
    </row>
    <row r="547" ht="18.0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 t="s">
        <v>2813</v>
      </c>
      <c r="L547" s="76"/>
      <c r="M547" s="76" t="s">
        <v>2814</v>
      </c>
      <c r="N547" s="76"/>
      <c r="O547" s="76"/>
      <c r="P547" s="76"/>
      <c r="Q547" s="76"/>
      <c r="R547" s="76"/>
      <c r="S547" s="76"/>
      <c r="T547" s="76"/>
      <c r="U547" s="76" t="s">
        <v>2815</v>
      </c>
      <c r="V547" s="76"/>
      <c r="W547" s="76"/>
      <c r="X547" s="76"/>
    </row>
    <row r="548" ht="18.0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 t="s">
        <v>2816</v>
      </c>
      <c r="L548" s="76"/>
      <c r="M548" s="76" t="s">
        <v>2817</v>
      </c>
      <c r="N548" s="76"/>
      <c r="O548" s="76"/>
      <c r="P548" s="76"/>
      <c r="Q548" s="76"/>
      <c r="R548" s="76"/>
      <c r="S548" s="76"/>
      <c r="T548" s="76"/>
      <c r="U548" s="76" t="s">
        <v>2818</v>
      </c>
      <c r="V548" s="76"/>
      <c r="W548" s="76"/>
      <c r="X548" s="76"/>
    </row>
    <row r="549" ht="18.0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 t="s">
        <v>2819</v>
      </c>
      <c r="L549" s="76"/>
      <c r="M549" s="76" t="s">
        <v>2820</v>
      </c>
      <c r="N549" s="76"/>
      <c r="O549" s="76"/>
      <c r="P549" s="76"/>
      <c r="Q549" s="76"/>
      <c r="R549" s="76"/>
      <c r="S549" s="76"/>
      <c r="T549" s="76"/>
      <c r="U549" s="76" t="s">
        <v>2821</v>
      </c>
      <c r="V549" s="76"/>
      <c r="W549" s="76"/>
      <c r="X549" s="76"/>
    </row>
    <row r="550" ht="18.0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 t="s">
        <v>2822</v>
      </c>
      <c r="L550" s="76"/>
      <c r="M550" s="76" t="s">
        <v>2823</v>
      </c>
      <c r="N550" s="76"/>
      <c r="O550" s="76"/>
      <c r="P550" s="76"/>
      <c r="Q550" s="76"/>
      <c r="R550" s="76"/>
      <c r="S550" s="76"/>
      <c r="T550" s="76"/>
      <c r="U550" s="76" t="s">
        <v>2824</v>
      </c>
      <c r="V550" s="76"/>
      <c r="W550" s="76"/>
      <c r="X550" s="76"/>
    </row>
    <row r="551" ht="18.0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 t="s">
        <v>2825</v>
      </c>
      <c r="L551" s="76"/>
      <c r="M551" s="76" t="s">
        <v>2826</v>
      </c>
      <c r="N551" s="76"/>
      <c r="O551" s="76"/>
      <c r="P551" s="76"/>
      <c r="Q551" s="76"/>
      <c r="R551" s="76"/>
      <c r="S551" s="76"/>
      <c r="T551" s="76"/>
      <c r="U551" s="76" t="s">
        <v>2827</v>
      </c>
      <c r="V551" s="76"/>
      <c r="W551" s="76"/>
      <c r="X551" s="76"/>
    </row>
    <row r="552" ht="18.0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 t="s">
        <v>2828</v>
      </c>
      <c r="L552" s="76"/>
      <c r="M552" s="76" t="s">
        <v>2829</v>
      </c>
      <c r="N552" s="76"/>
      <c r="O552" s="76"/>
      <c r="P552" s="76"/>
      <c r="Q552" s="76"/>
      <c r="R552" s="76"/>
      <c r="S552" s="76"/>
      <c r="T552" s="76"/>
      <c r="U552" s="76" t="s">
        <v>2830</v>
      </c>
      <c r="V552" s="76"/>
      <c r="W552" s="76"/>
      <c r="X552" s="76"/>
    </row>
    <row r="553" ht="18.0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 t="s">
        <v>2831</v>
      </c>
      <c r="L553" s="76"/>
      <c r="M553" s="76" t="s">
        <v>2832</v>
      </c>
      <c r="N553" s="76"/>
      <c r="O553" s="76"/>
      <c r="P553" s="76"/>
      <c r="Q553" s="76"/>
      <c r="R553" s="76"/>
      <c r="S553" s="76"/>
      <c r="T553" s="76"/>
      <c r="U553" s="76" t="s">
        <v>2833</v>
      </c>
      <c r="V553" s="76"/>
      <c r="W553" s="76"/>
      <c r="X553" s="76"/>
    </row>
    <row r="554" ht="18.0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 t="s">
        <v>2834</v>
      </c>
      <c r="L554" s="76"/>
      <c r="M554" s="76" t="s">
        <v>2835</v>
      </c>
      <c r="N554" s="76"/>
      <c r="O554" s="76"/>
      <c r="P554" s="76"/>
      <c r="Q554" s="76"/>
      <c r="R554" s="76"/>
      <c r="S554" s="76"/>
      <c r="T554" s="76"/>
      <c r="U554" s="76" t="s">
        <v>2836</v>
      </c>
      <c r="V554" s="76"/>
      <c r="W554" s="76"/>
      <c r="X554" s="76"/>
    </row>
    <row r="555" ht="18.0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 t="s">
        <v>2837</v>
      </c>
      <c r="L555" s="76"/>
      <c r="M555" s="76" t="s">
        <v>2838</v>
      </c>
      <c r="N555" s="76"/>
      <c r="O555" s="76"/>
      <c r="P555" s="76"/>
      <c r="Q555" s="76"/>
      <c r="R555" s="76"/>
      <c r="S555" s="76"/>
      <c r="T555" s="76"/>
      <c r="U555" s="76" t="s">
        <v>2839</v>
      </c>
      <c r="V555" s="76"/>
      <c r="W555" s="76"/>
      <c r="X555" s="76"/>
    </row>
    <row r="556" ht="18.0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 t="s">
        <v>2840</v>
      </c>
      <c r="L556" s="76"/>
      <c r="M556" s="76" t="s">
        <v>2841</v>
      </c>
      <c r="N556" s="76"/>
      <c r="O556" s="76"/>
      <c r="P556" s="76"/>
      <c r="Q556" s="76"/>
      <c r="R556" s="76"/>
      <c r="S556" s="76"/>
      <c r="T556" s="76"/>
      <c r="U556" s="76" t="s">
        <v>2842</v>
      </c>
      <c r="V556" s="76"/>
      <c r="W556" s="76"/>
      <c r="X556" s="76"/>
    </row>
    <row r="557" ht="18.0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 t="s">
        <v>2843</v>
      </c>
      <c r="L557" s="76"/>
      <c r="M557" s="76" t="s">
        <v>2844</v>
      </c>
      <c r="N557" s="76"/>
      <c r="O557" s="76"/>
      <c r="P557" s="76"/>
      <c r="Q557" s="76"/>
      <c r="R557" s="76"/>
      <c r="S557" s="76"/>
      <c r="T557" s="76"/>
      <c r="U557" s="76" t="s">
        <v>2845</v>
      </c>
      <c r="V557" s="76"/>
      <c r="W557" s="76"/>
      <c r="X557" s="76"/>
    </row>
    <row r="558" ht="18.0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 t="s">
        <v>2846</v>
      </c>
      <c r="L558" s="76"/>
      <c r="M558" s="76" t="s">
        <v>2847</v>
      </c>
      <c r="N558" s="76"/>
      <c r="O558" s="76"/>
      <c r="P558" s="76"/>
      <c r="Q558" s="76"/>
      <c r="R558" s="76"/>
      <c r="S558" s="76"/>
      <c r="T558" s="76"/>
      <c r="U558" s="76" t="s">
        <v>2848</v>
      </c>
      <c r="V558" s="76"/>
      <c r="W558" s="76"/>
      <c r="X558" s="76"/>
    </row>
    <row r="559" ht="18.0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 t="s">
        <v>2849</v>
      </c>
      <c r="L559" s="76"/>
      <c r="M559" s="76" t="s">
        <v>2850</v>
      </c>
      <c r="N559" s="76"/>
      <c r="O559" s="76"/>
      <c r="P559" s="76"/>
      <c r="Q559" s="76"/>
      <c r="R559" s="76"/>
      <c r="S559" s="76"/>
      <c r="T559" s="76"/>
      <c r="U559" s="76" t="s">
        <v>2851</v>
      </c>
      <c r="V559" s="76"/>
      <c r="W559" s="76"/>
      <c r="X559" s="76"/>
    </row>
    <row r="560" ht="18.0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 t="s">
        <v>2852</v>
      </c>
      <c r="L560" s="76"/>
      <c r="M560" s="76" t="s">
        <v>2853</v>
      </c>
      <c r="N560" s="76"/>
      <c r="O560" s="76"/>
      <c r="P560" s="76"/>
      <c r="Q560" s="76"/>
      <c r="R560" s="76"/>
      <c r="S560" s="76"/>
      <c r="T560" s="76"/>
      <c r="U560" s="76" t="s">
        <v>2854</v>
      </c>
      <c r="V560" s="76"/>
      <c r="W560" s="76"/>
      <c r="X560" s="76"/>
    </row>
    <row r="561" ht="18.0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 t="s">
        <v>2855</v>
      </c>
      <c r="L561" s="76"/>
      <c r="M561" s="76" t="s">
        <v>2856</v>
      </c>
      <c r="N561" s="76"/>
      <c r="O561" s="76"/>
      <c r="P561" s="76"/>
      <c r="Q561" s="76"/>
      <c r="R561" s="76"/>
      <c r="S561" s="76"/>
      <c r="T561" s="76"/>
      <c r="U561" s="76" t="s">
        <v>2857</v>
      </c>
      <c r="V561" s="76"/>
      <c r="W561" s="76"/>
      <c r="X561" s="76"/>
    </row>
    <row r="562" ht="18.0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 t="s">
        <v>2858</v>
      </c>
      <c r="L562" s="76"/>
      <c r="M562" s="76" t="s">
        <v>2859</v>
      </c>
      <c r="N562" s="76"/>
      <c r="O562" s="76"/>
      <c r="P562" s="76"/>
      <c r="Q562" s="76"/>
      <c r="R562" s="76"/>
      <c r="S562" s="76"/>
      <c r="T562" s="76"/>
      <c r="U562" s="76" t="s">
        <v>2860</v>
      </c>
      <c r="V562" s="76"/>
      <c r="W562" s="76"/>
      <c r="X562" s="76"/>
    </row>
    <row r="563" ht="18.0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 t="s">
        <v>2861</v>
      </c>
      <c r="L563" s="76"/>
      <c r="M563" s="76" t="s">
        <v>2862</v>
      </c>
      <c r="N563" s="76"/>
      <c r="O563" s="76"/>
      <c r="P563" s="76"/>
      <c r="Q563" s="76"/>
      <c r="R563" s="76"/>
      <c r="S563" s="76"/>
      <c r="T563" s="76"/>
      <c r="U563" s="76" t="s">
        <v>2863</v>
      </c>
      <c r="V563" s="76"/>
      <c r="W563" s="76"/>
      <c r="X563" s="76"/>
    </row>
    <row r="564" ht="18.0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 t="s">
        <v>2864</v>
      </c>
      <c r="L564" s="76"/>
      <c r="M564" s="76" t="s">
        <v>2865</v>
      </c>
      <c r="N564" s="76"/>
      <c r="O564" s="76"/>
      <c r="P564" s="76"/>
      <c r="Q564" s="76"/>
      <c r="R564" s="76"/>
      <c r="S564" s="76"/>
      <c r="T564" s="76"/>
      <c r="U564" s="76" t="s">
        <v>2866</v>
      </c>
      <c r="V564" s="76"/>
      <c r="W564" s="76"/>
      <c r="X564" s="76"/>
    </row>
    <row r="565" ht="18.0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 t="s">
        <v>2867</v>
      </c>
      <c r="L565" s="76"/>
      <c r="M565" s="76" t="s">
        <v>2868</v>
      </c>
      <c r="N565" s="76"/>
      <c r="O565" s="76"/>
      <c r="P565" s="76"/>
      <c r="Q565" s="76"/>
      <c r="R565" s="76"/>
      <c r="S565" s="76"/>
      <c r="T565" s="76"/>
      <c r="U565" s="76" t="s">
        <v>2869</v>
      </c>
      <c r="V565" s="76"/>
      <c r="W565" s="76"/>
      <c r="X565" s="76"/>
    </row>
    <row r="566" ht="18.0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 t="s">
        <v>2870</v>
      </c>
      <c r="L566" s="76"/>
      <c r="M566" s="76" t="s">
        <v>2871</v>
      </c>
      <c r="N566" s="76"/>
      <c r="O566" s="76"/>
      <c r="P566" s="76"/>
      <c r="Q566" s="76"/>
      <c r="R566" s="76"/>
      <c r="S566" s="76"/>
      <c r="T566" s="76"/>
      <c r="U566" s="76" t="s">
        <v>2872</v>
      </c>
      <c r="V566" s="76"/>
      <c r="W566" s="76"/>
      <c r="X566" s="76"/>
    </row>
    <row r="567" ht="18.0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 t="s">
        <v>2873</v>
      </c>
      <c r="L567" s="76"/>
      <c r="M567" s="76" t="s">
        <v>2874</v>
      </c>
      <c r="N567" s="76"/>
      <c r="O567" s="76"/>
      <c r="P567" s="76"/>
      <c r="Q567" s="76"/>
      <c r="R567" s="76"/>
      <c r="S567" s="76"/>
      <c r="T567" s="76"/>
      <c r="U567" s="76" t="s">
        <v>2875</v>
      </c>
      <c r="V567" s="76"/>
      <c r="W567" s="76"/>
      <c r="X567" s="76"/>
    </row>
    <row r="568" ht="18.0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 t="s">
        <v>2876</v>
      </c>
      <c r="L568" s="76"/>
      <c r="M568" s="76" t="s">
        <v>2877</v>
      </c>
      <c r="N568" s="76"/>
      <c r="O568" s="76"/>
      <c r="P568" s="76"/>
      <c r="Q568" s="76"/>
      <c r="R568" s="76"/>
      <c r="S568" s="76"/>
      <c r="T568" s="76"/>
      <c r="U568" s="76" t="s">
        <v>2878</v>
      </c>
      <c r="V568" s="76"/>
      <c r="W568" s="76"/>
      <c r="X568" s="76"/>
    </row>
    <row r="569" ht="18.0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 t="s">
        <v>2879</v>
      </c>
      <c r="L569" s="76"/>
      <c r="M569" s="76" t="s">
        <v>2880</v>
      </c>
      <c r="N569" s="76"/>
      <c r="O569" s="76"/>
      <c r="P569" s="76"/>
      <c r="Q569" s="76"/>
      <c r="R569" s="76"/>
      <c r="S569" s="76"/>
      <c r="T569" s="76"/>
      <c r="U569" s="76" t="s">
        <v>2881</v>
      </c>
      <c r="V569" s="76"/>
      <c r="W569" s="76"/>
      <c r="X569" s="76"/>
    </row>
    <row r="570" ht="18.0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 t="s">
        <v>2882</v>
      </c>
      <c r="L570" s="76"/>
      <c r="M570" s="76" t="s">
        <v>2883</v>
      </c>
      <c r="N570" s="76"/>
      <c r="O570" s="76"/>
      <c r="P570" s="76"/>
      <c r="Q570" s="76"/>
      <c r="R570" s="76"/>
      <c r="S570" s="76"/>
      <c r="T570" s="76"/>
      <c r="U570" s="76" t="s">
        <v>2884</v>
      </c>
      <c r="V570" s="76"/>
      <c r="W570" s="76"/>
      <c r="X570" s="76"/>
    </row>
    <row r="571" ht="18.0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 t="s">
        <v>2885</v>
      </c>
      <c r="L571" s="76"/>
      <c r="M571" s="76" t="s">
        <v>2886</v>
      </c>
      <c r="N571" s="76"/>
      <c r="O571" s="76"/>
      <c r="P571" s="76"/>
      <c r="Q571" s="76"/>
      <c r="R571" s="76"/>
      <c r="S571" s="76"/>
      <c r="T571" s="76"/>
      <c r="U571" s="76" t="s">
        <v>2887</v>
      </c>
      <c r="V571" s="76"/>
      <c r="W571" s="76"/>
      <c r="X571" s="76"/>
    </row>
    <row r="572" ht="18.0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 t="s">
        <v>2889</v>
      </c>
      <c r="L572" s="76"/>
      <c r="M572" s="76" t="s">
        <v>2890</v>
      </c>
      <c r="N572" s="76"/>
      <c r="O572" s="76"/>
      <c r="P572" s="76"/>
      <c r="Q572" s="76"/>
      <c r="R572" s="76"/>
      <c r="S572" s="76"/>
      <c r="T572" s="76"/>
      <c r="U572" s="76" t="s">
        <v>2891</v>
      </c>
      <c r="V572" s="76"/>
      <c r="W572" s="76"/>
      <c r="X572" s="76"/>
    </row>
    <row r="573" ht="18.0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 t="s">
        <v>2892</v>
      </c>
      <c r="L573" s="76"/>
      <c r="M573" s="76" t="s">
        <v>2893</v>
      </c>
      <c r="N573" s="76"/>
      <c r="O573" s="76"/>
      <c r="P573" s="76"/>
      <c r="Q573" s="76"/>
      <c r="R573" s="76"/>
      <c r="S573" s="76"/>
      <c r="T573" s="76"/>
      <c r="U573" s="76" t="s">
        <v>2894</v>
      </c>
      <c r="V573" s="76"/>
      <c r="W573" s="76"/>
      <c r="X573" s="76"/>
    </row>
    <row r="574" ht="18.0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 t="s">
        <v>2895</v>
      </c>
      <c r="L574" s="76"/>
      <c r="M574" s="76" t="s">
        <v>2896</v>
      </c>
      <c r="N574" s="76"/>
      <c r="O574" s="76"/>
      <c r="P574" s="76"/>
      <c r="Q574" s="76"/>
      <c r="R574" s="76"/>
      <c r="S574" s="76"/>
      <c r="T574" s="76"/>
      <c r="U574" s="76" t="s">
        <v>2897</v>
      </c>
      <c r="V574" s="76"/>
      <c r="W574" s="76"/>
      <c r="X574" s="76"/>
    </row>
    <row r="575" ht="18.0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 t="s">
        <v>2898</v>
      </c>
      <c r="L575" s="76"/>
      <c r="M575" s="76" t="s">
        <v>2899</v>
      </c>
      <c r="N575" s="76"/>
      <c r="O575" s="76"/>
      <c r="P575" s="76"/>
      <c r="Q575" s="76"/>
      <c r="R575" s="76"/>
      <c r="S575" s="76"/>
      <c r="T575" s="76"/>
      <c r="U575" s="76" t="s">
        <v>2900</v>
      </c>
      <c r="V575" s="76"/>
      <c r="W575" s="76"/>
      <c r="X575" s="76"/>
    </row>
    <row r="576" ht="18.0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 t="s">
        <v>2901</v>
      </c>
      <c r="L576" s="76"/>
      <c r="M576" s="76" t="s">
        <v>2902</v>
      </c>
      <c r="N576" s="76"/>
      <c r="O576" s="76"/>
      <c r="P576" s="76"/>
      <c r="Q576" s="76"/>
      <c r="R576" s="76"/>
      <c r="S576" s="76"/>
      <c r="T576" s="76"/>
      <c r="U576" s="76" t="s">
        <v>2903</v>
      </c>
      <c r="V576" s="76"/>
      <c r="W576" s="76"/>
      <c r="X576" s="76"/>
    </row>
    <row r="577" ht="18.0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 t="s">
        <v>2904</v>
      </c>
      <c r="L577" s="76"/>
      <c r="M577" s="76" t="s">
        <v>2905</v>
      </c>
      <c r="N577" s="76"/>
      <c r="O577" s="76"/>
      <c r="P577" s="76"/>
      <c r="Q577" s="76"/>
      <c r="R577" s="76"/>
      <c r="S577" s="76"/>
      <c r="T577" s="76"/>
      <c r="U577" s="76" t="s">
        <v>2906</v>
      </c>
      <c r="V577" s="76"/>
      <c r="W577" s="76"/>
      <c r="X577" s="76"/>
    </row>
    <row r="578" ht="18.0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 t="s">
        <v>2907</v>
      </c>
      <c r="L578" s="76"/>
      <c r="M578" s="76" t="s">
        <v>2908</v>
      </c>
      <c r="N578" s="76"/>
      <c r="O578" s="76"/>
      <c r="P578" s="76"/>
      <c r="Q578" s="76"/>
      <c r="R578" s="76"/>
      <c r="S578" s="76"/>
      <c r="T578" s="76"/>
      <c r="U578" s="76" t="s">
        <v>2909</v>
      </c>
      <c r="V578" s="76"/>
      <c r="W578" s="76"/>
      <c r="X578" s="76"/>
    </row>
    <row r="579" ht="18.0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 t="s">
        <v>2910</v>
      </c>
      <c r="L579" s="76"/>
      <c r="M579" s="76" t="s">
        <v>2911</v>
      </c>
      <c r="N579" s="76"/>
      <c r="O579" s="76"/>
      <c r="P579" s="76"/>
      <c r="Q579" s="76"/>
      <c r="R579" s="76"/>
      <c r="S579" s="76"/>
      <c r="T579" s="76"/>
      <c r="U579" s="76" t="s">
        <v>2912</v>
      </c>
      <c r="V579" s="76"/>
      <c r="W579" s="76"/>
      <c r="X579" s="76"/>
    </row>
    <row r="580" ht="18.0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 t="s">
        <v>2913</v>
      </c>
      <c r="L580" s="76"/>
      <c r="M580" s="76" t="s">
        <v>2914</v>
      </c>
      <c r="N580" s="76"/>
      <c r="O580" s="76"/>
      <c r="P580" s="76"/>
      <c r="Q580" s="76"/>
      <c r="R580" s="76"/>
      <c r="S580" s="76"/>
      <c r="T580" s="76"/>
      <c r="U580" s="76" t="s">
        <v>2915</v>
      </c>
      <c r="V580" s="76"/>
      <c r="W580" s="76"/>
      <c r="X580" s="76"/>
    </row>
    <row r="581" ht="18.0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 t="s">
        <v>2916</v>
      </c>
      <c r="L581" s="76"/>
      <c r="M581" s="76" t="s">
        <v>2917</v>
      </c>
      <c r="N581" s="76"/>
      <c r="O581" s="76"/>
      <c r="P581" s="76"/>
      <c r="Q581" s="76"/>
      <c r="R581" s="76"/>
      <c r="S581" s="76"/>
      <c r="T581" s="76"/>
      <c r="U581" s="76" t="s">
        <v>2918</v>
      </c>
      <c r="V581" s="76"/>
      <c r="W581" s="76"/>
      <c r="X581" s="76"/>
    </row>
    <row r="582" ht="18.0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 t="s">
        <v>2919</v>
      </c>
      <c r="L582" s="76"/>
      <c r="M582" s="76" t="s">
        <v>2920</v>
      </c>
      <c r="N582" s="76"/>
      <c r="O582" s="76"/>
      <c r="P582" s="76"/>
      <c r="Q582" s="76"/>
      <c r="R582" s="76"/>
      <c r="S582" s="76"/>
      <c r="T582" s="76"/>
      <c r="U582" s="76" t="s">
        <v>2921</v>
      </c>
      <c r="V582" s="76"/>
      <c r="W582" s="76"/>
      <c r="X582" s="76"/>
    </row>
    <row r="583" ht="18.0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 t="s">
        <v>2922</v>
      </c>
      <c r="L583" s="76"/>
      <c r="M583" s="76" t="s">
        <v>2923</v>
      </c>
      <c r="N583" s="76"/>
      <c r="O583" s="76"/>
      <c r="P583" s="76"/>
      <c r="Q583" s="76"/>
      <c r="R583" s="76"/>
      <c r="S583" s="76"/>
      <c r="T583" s="76"/>
      <c r="U583" s="76" t="s">
        <v>2924</v>
      </c>
      <c r="V583" s="76"/>
      <c r="W583" s="76"/>
      <c r="X583" s="76"/>
    </row>
    <row r="584" ht="18.0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 t="s">
        <v>2925</v>
      </c>
      <c r="L584" s="76"/>
      <c r="M584" s="76" t="s">
        <v>2926</v>
      </c>
      <c r="N584" s="76"/>
      <c r="O584" s="76"/>
      <c r="P584" s="76"/>
      <c r="Q584" s="76"/>
      <c r="R584" s="76"/>
      <c r="S584" s="76"/>
      <c r="T584" s="76"/>
      <c r="U584" s="76" t="s">
        <v>2927</v>
      </c>
      <c r="V584" s="76"/>
      <c r="W584" s="76"/>
      <c r="X584" s="76"/>
    </row>
    <row r="585" ht="18.0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 t="s">
        <v>2928</v>
      </c>
      <c r="L585" s="76"/>
      <c r="M585" s="76" t="s">
        <v>2929</v>
      </c>
      <c r="N585" s="76"/>
      <c r="O585" s="76"/>
      <c r="P585" s="76"/>
      <c r="Q585" s="76"/>
      <c r="R585" s="76"/>
      <c r="S585" s="76"/>
      <c r="T585" s="76"/>
      <c r="U585" s="76" t="s">
        <v>2930</v>
      </c>
      <c r="V585" s="76"/>
      <c r="W585" s="76"/>
      <c r="X585" s="76"/>
    </row>
    <row r="586" ht="18.0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 t="s">
        <v>2931</v>
      </c>
      <c r="L586" s="76"/>
      <c r="M586" s="76" t="s">
        <v>2932</v>
      </c>
      <c r="N586" s="76"/>
      <c r="O586" s="76"/>
      <c r="P586" s="76"/>
      <c r="Q586" s="76"/>
      <c r="R586" s="76"/>
      <c r="S586" s="76"/>
      <c r="T586" s="76"/>
      <c r="U586" s="76" t="s">
        <v>2933</v>
      </c>
      <c r="V586" s="76"/>
      <c r="W586" s="76"/>
      <c r="X586" s="76"/>
    </row>
    <row r="587" ht="18.0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 t="s">
        <v>2934</v>
      </c>
      <c r="L587" s="76"/>
      <c r="M587" s="76" t="s">
        <v>2935</v>
      </c>
      <c r="N587" s="76"/>
      <c r="O587" s="76"/>
      <c r="P587" s="76"/>
      <c r="Q587" s="76"/>
      <c r="R587" s="76"/>
      <c r="S587" s="76"/>
      <c r="T587" s="76"/>
      <c r="U587" s="76" t="s">
        <v>2936</v>
      </c>
      <c r="V587" s="76"/>
      <c r="W587" s="76"/>
      <c r="X587" s="76"/>
    </row>
    <row r="588" ht="18.0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 t="s">
        <v>2937</v>
      </c>
      <c r="L588" s="76"/>
      <c r="M588" s="76" t="s">
        <v>2938</v>
      </c>
      <c r="N588" s="76"/>
      <c r="O588" s="76"/>
      <c r="P588" s="76"/>
      <c r="Q588" s="76"/>
      <c r="R588" s="76"/>
      <c r="S588" s="76"/>
      <c r="T588" s="76"/>
      <c r="U588" s="76" t="s">
        <v>2939</v>
      </c>
      <c r="V588" s="76"/>
      <c r="W588" s="76"/>
      <c r="X588" s="76"/>
    </row>
    <row r="589" ht="18.0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 t="s">
        <v>2940</v>
      </c>
      <c r="L589" s="76"/>
      <c r="M589" s="76" t="s">
        <v>2941</v>
      </c>
      <c r="N589" s="76"/>
      <c r="O589" s="76"/>
      <c r="P589" s="76"/>
      <c r="Q589" s="76"/>
      <c r="R589" s="76"/>
      <c r="S589" s="76"/>
      <c r="T589" s="76"/>
      <c r="U589" s="76" t="s">
        <v>2942</v>
      </c>
      <c r="V589" s="76"/>
      <c r="W589" s="76"/>
      <c r="X589" s="76"/>
    </row>
    <row r="590" ht="18.0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 t="s">
        <v>2944</v>
      </c>
      <c r="L590" s="76"/>
      <c r="M590" s="76" t="s">
        <v>2945</v>
      </c>
      <c r="N590" s="76"/>
      <c r="O590" s="76"/>
      <c r="P590" s="76"/>
      <c r="Q590" s="76"/>
      <c r="R590" s="76"/>
      <c r="S590" s="76"/>
      <c r="T590" s="76"/>
      <c r="U590" s="76" t="s">
        <v>2946</v>
      </c>
      <c r="V590" s="76"/>
      <c r="W590" s="76"/>
      <c r="X590" s="76"/>
    </row>
    <row r="591" ht="18.0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 t="s">
        <v>2947</v>
      </c>
      <c r="L591" s="76"/>
      <c r="M591" s="76" t="s">
        <v>2948</v>
      </c>
      <c r="N591" s="76"/>
      <c r="O591" s="76"/>
      <c r="P591" s="76"/>
      <c r="Q591" s="76"/>
      <c r="R591" s="76"/>
      <c r="S591" s="76"/>
      <c r="T591" s="76"/>
      <c r="U591" s="76" t="s">
        <v>2949</v>
      </c>
      <c r="V591" s="76"/>
      <c r="W591" s="76"/>
      <c r="X591" s="76"/>
    </row>
    <row r="592" ht="18.0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 t="s">
        <v>2950</v>
      </c>
      <c r="L592" s="76"/>
      <c r="M592" s="76" t="s">
        <v>2951</v>
      </c>
      <c r="N592" s="76"/>
      <c r="O592" s="76"/>
      <c r="P592" s="76"/>
      <c r="Q592" s="76"/>
      <c r="R592" s="76"/>
      <c r="S592" s="76"/>
      <c r="T592" s="76"/>
      <c r="U592" s="76" t="s">
        <v>2952</v>
      </c>
      <c r="V592" s="76"/>
      <c r="W592" s="76"/>
      <c r="X592" s="76"/>
    </row>
    <row r="593" ht="18.0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 t="s">
        <v>2953</v>
      </c>
      <c r="L593" s="76"/>
      <c r="M593" s="76" t="s">
        <v>2954</v>
      </c>
      <c r="N593" s="76"/>
      <c r="O593" s="76"/>
      <c r="P593" s="76"/>
      <c r="Q593" s="76"/>
      <c r="R593" s="76"/>
      <c r="S593" s="76"/>
      <c r="T593" s="76"/>
      <c r="U593" s="76" t="s">
        <v>2955</v>
      </c>
      <c r="V593" s="76"/>
      <c r="W593" s="76"/>
      <c r="X593" s="76"/>
    </row>
    <row r="594" ht="18.0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 t="s">
        <v>2956</v>
      </c>
      <c r="L594" s="76"/>
      <c r="M594" s="76" t="s">
        <v>2957</v>
      </c>
      <c r="N594" s="76"/>
      <c r="O594" s="76"/>
      <c r="P594" s="76"/>
      <c r="Q594" s="76"/>
      <c r="R594" s="76"/>
      <c r="S594" s="76"/>
      <c r="T594" s="76"/>
      <c r="U594" s="76" t="s">
        <v>2958</v>
      </c>
      <c r="V594" s="76"/>
      <c r="W594" s="76"/>
      <c r="X594" s="76"/>
    </row>
    <row r="595" ht="18.0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 t="s">
        <v>2959</v>
      </c>
      <c r="L595" s="76"/>
      <c r="M595" s="76" t="s">
        <v>2960</v>
      </c>
      <c r="N595" s="76"/>
      <c r="O595" s="76"/>
      <c r="P595" s="76"/>
      <c r="Q595" s="76"/>
      <c r="R595" s="76"/>
      <c r="S595" s="76"/>
      <c r="T595" s="76"/>
      <c r="U595" s="76" t="s">
        <v>2964</v>
      </c>
      <c r="V595" s="76"/>
      <c r="W595" s="76"/>
      <c r="X595" s="76"/>
    </row>
    <row r="596" ht="18.0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 t="s">
        <v>2966</v>
      </c>
      <c r="L596" s="76"/>
      <c r="M596" s="76" t="s">
        <v>2967</v>
      </c>
      <c r="N596" s="76"/>
      <c r="O596" s="76"/>
      <c r="P596" s="76"/>
      <c r="Q596" s="76"/>
      <c r="R596" s="76"/>
      <c r="S596" s="76"/>
      <c r="T596" s="76"/>
      <c r="U596" s="76" t="s">
        <v>2968</v>
      </c>
      <c r="V596" s="76"/>
      <c r="W596" s="76"/>
      <c r="X596" s="76"/>
    </row>
    <row r="597" ht="18.0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 t="s">
        <v>2969</v>
      </c>
      <c r="L597" s="76"/>
      <c r="M597" s="76" t="s">
        <v>2970</v>
      </c>
      <c r="N597" s="76"/>
      <c r="O597" s="76"/>
      <c r="P597" s="76"/>
      <c r="Q597" s="76"/>
      <c r="R597" s="76"/>
      <c r="S597" s="76"/>
      <c r="T597" s="76"/>
      <c r="U597" s="76" t="s">
        <v>2971</v>
      </c>
      <c r="V597" s="76"/>
      <c r="W597" s="76"/>
      <c r="X597" s="76"/>
    </row>
    <row r="598" ht="18.0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 t="s">
        <v>2972</v>
      </c>
      <c r="L598" s="76"/>
      <c r="M598" s="76" t="s">
        <v>2973</v>
      </c>
      <c r="N598" s="76"/>
      <c r="O598" s="76"/>
      <c r="P598" s="76"/>
      <c r="Q598" s="76"/>
      <c r="R598" s="76"/>
      <c r="S598" s="76"/>
      <c r="T598" s="76"/>
      <c r="U598" s="76" t="s">
        <v>2974</v>
      </c>
      <c r="V598" s="76"/>
      <c r="W598" s="76"/>
      <c r="X598" s="76"/>
    </row>
    <row r="599" ht="18.0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 t="s">
        <v>2975</v>
      </c>
      <c r="L599" s="76"/>
      <c r="M599" s="76" t="s">
        <v>2976</v>
      </c>
      <c r="N599" s="76"/>
      <c r="O599" s="76"/>
      <c r="P599" s="76"/>
      <c r="Q599" s="76"/>
      <c r="R599" s="76"/>
      <c r="S599" s="76"/>
      <c r="T599" s="76"/>
      <c r="U599" s="76" t="s">
        <v>2977</v>
      </c>
      <c r="V599" s="76"/>
      <c r="W599" s="76"/>
      <c r="X599" s="76"/>
    </row>
    <row r="600" ht="18.0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 t="s">
        <v>2978</v>
      </c>
      <c r="L600" s="76"/>
      <c r="M600" s="76" t="s">
        <v>2979</v>
      </c>
      <c r="N600" s="76"/>
      <c r="O600" s="76"/>
      <c r="P600" s="76"/>
      <c r="Q600" s="76"/>
      <c r="R600" s="76"/>
      <c r="S600" s="76"/>
      <c r="T600" s="76"/>
      <c r="U600" s="76" t="s">
        <v>2980</v>
      </c>
      <c r="V600" s="76"/>
      <c r="W600" s="76"/>
      <c r="X600" s="76"/>
    </row>
    <row r="601" ht="18.0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 t="s">
        <v>2981</v>
      </c>
      <c r="L601" s="76"/>
      <c r="M601" s="76" t="s">
        <v>2982</v>
      </c>
      <c r="N601" s="76"/>
      <c r="O601" s="76"/>
      <c r="P601" s="76"/>
      <c r="Q601" s="76"/>
      <c r="R601" s="76"/>
      <c r="S601" s="76"/>
      <c r="T601" s="76"/>
      <c r="U601" s="76" t="s">
        <v>2983</v>
      </c>
      <c r="V601" s="76"/>
      <c r="W601" s="76"/>
      <c r="X601" s="76"/>
    </row>
    <row r="602" ht="18.0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 t="s">
        <v>2984</v>
      </c>
      <c r="L602" s="76"/>
      <c r="M602" s="76" t="s">
        <v>2985</v>
      </c>
      <c r="N602" s="76"/>
      <c r="O602" s="76"/>
      <c r="P602" s="76"/>
      <c r="Q602" s="76"/>
      <c r="R602" s="76"/>
      <c r="S602" s="76"/>
      <c r="T602" s="76"/>
      <c r="U602" s="76" t="s">
        <v>2986</v>
      </c>
      <c r="V602" s="76"/>
      <c r="W602" s="76"/>
      <c r="X602" s="76"/>
    </row>
    <row r="603" ht="18.0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 t="s">
        <v>2987</v>
      </c>
      <c r="L603" s="76"/>
      <c r="M603" s="76" t="s">
        <v>2988</v>
      </c>
      <c r="N603" s="76"/>
      <c r="O603" s="76"/>
      <c r="P603" s="76"/>
      <c r="Q603" s="76"/>
      <c r="R603" s="76"/>
      <c r="S603" s="76"/>
      <c r="T603" s="76"/>
      <c r="U603" s="76" t="s">
        <v>2989</v>
      </c>
      <c r="V603" s="76"/>
      <c r="W603" s="76"/>
      <c r="X603" s="76"/>
    </row>
    <row r="604" ht="18.0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 t="s">
        <v>2990</v>
      </c>
      <c r="L604" s="76"/>
      <c r="M604" s="76" t="s">
        <v>2991</v>
      </c>
      <c r="N604" s="76"/>
      <c r="O604" s="76"/>
      <c r="P604" s="76"/>
      <c r="Q604" s="76"/>
      <c r="R604" s="76"/>
      <c r="S604" s="76"/>
      <c r="T604" s="76"/>
      <c r="U604" s="76" t="s">
        <v>2992</v>
      </c>
      <c r="V604" s="76"/>
      <c r="W604" s="76"/>
      <c r="X604" s="76"/>
    </row>
    <row r="605" ht="18.0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 t="s">
        <v>2993</v>
      </c>
      <c r="L605" s="76"/>
      <c r="M605" s="76" t="s">
        <v>2994</v>
      </c>
      <c r="N605" s="76"/>
      <c r="O605" s="76"/>
      <c r="P605" s="76"/>
      <c r="Q605" s="76"/>
      <c r="R605" s="76"/>
      <c r="S605" s="76"/>
      <c r="T605" s="76"/>
      <c r="U605" s="76" t="s">
        <v>2995</v>
      </c>
      <c r="V605" s="76"/>
      <c r="W605" s="76"/>
      <c r="X605" s="76"/>
    </row>
    <row r="606" ht="18.0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 t="s">
        <v>2996</v>
      </c>
      <c r="L606" s="76"/>
      <c r="M606" s="76" t="s">
        <v>2997</v>
      </c>
      <c r="N606" s="76"/>
      <c r="O606" s="76"/>
      <c r="P606" s="76"/>
      <c r="Q606" s="76"/>
      <c r="R606" s="76"/>
      <c r="S606" s="76"/>
      <c r="T606" s="76"/>
      <c r="U606" s="76" t="s">
        <v>2998</v>
      </c>
      <c r="V606" s="76"/>
      <c r="W606" s="76"/>
      <c r="X606" s="76"/>
    </row>
    <row r="607" ht="18.0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 t="s">
        <v>2999</v>
      </c>
      <c r="L607" s="76"/>
      <c r="M607" s="76" t="s">
        <v>3000</v>
      </c>
      <c r="N607" s="76"/>
      <c r="O607" s="76"/>
      <c r="P607" s="76"/>
      <c r="Q607" s="76"/>
      <c r="R607" s="76"/>
      <c r="S607" s="76"/>
      <c r="T607" s="76"/>
      <c r="U607" s="76" t="s">
        <v>3001</v>
      </c>
      <c r="V607" s="76"/>
      <c r="W607" s="76"/>
      <c r="X607" s="76"/>
    </row>
    <row r="608" ht="18.0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 t="s">
        <v>3002</v>
      </c>
      <c r="L608" s="76"/>
      <c r="M608" s="76" t="s">
        <v>3003</v>
      </c>
      <c r="N608" s="76"/>
      <c r="O608" s="76"/>
      <c r="P608" s="76"/>
      <c r="Q608" s="76"/>
      <c r="R608" s="76"/>
      <c r="S608" s="76"/>
      <c r="T608" s="76"/>
      <c r="U608" s="76" t="s">
        <v>3004</v>
      </c>
      <c r="V608" s="76"/>
      <c r="W608" s="76"/>
      <c r="X608" s="76"/>
    </row>
    <row r="609" ht="18.0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 t="s">
        <v>3005</v>
      </c>
      <c r="L609" s="76"/>
      <c r="M609" s="76" t="s">
        <v>3006</v>
      </c>
      <c r="N609" s="76"/>
      <c r="O609" s="76"/>
      <c r="P609" s="76"/>
      <c r="Q609" s="76"/>
      <c r="R609" s="76"/>
      <c r="S609" s="76"/>
      <c r="T609" s="76"/>
      <c r="U609" s="76" t="s">
        <v>3007</v>
      </c>
      <c r="V609" s="76"/>
      <c r="W609" s="76"/>
      <c r="X609" s="76"/>
    </row>
    <row r="610" ht="18.0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 t="s">
        <v>1309</v>
      </c>
      <c r="L610" s="76"/>
      <c r="M610" s="76" t="s">
        <v>3008</v>
      </c>
      <c r="N610" s="76"/>
      <c r="O610" s="76"/>
      <c r="P610" s="76"/>
      <c r="Q610" s="76"/>
      <c r="R610" s="76"/>
      <c r="S610" s="76"/>
      <c r="T610" s="76"/>
      <c r="U610" s="76" t="s">
        <v>3009</v>
      </c>
      <c r="V610" s="76"/>
      <c r="W610" s="76"/>
      <c r="X610" s="76"/>
    </row>
    <row r="611" ht="18.0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 t="s">
        <v>3010</v>
      </c>
      <c r="L611" s="76"/>
      <c r="M611" s="76" t="s">
        <v>3011</v>
      </c>
      <c r="N611" s="76"/>
      <c r="O611" s="76"/>
      <c r="P611" s="76"/>
      <c r="Q611" s="76"/>
      <c r="R611" s="76"/>
      <c r="S611" s="76"/>
      <c r="T611" s="76"/>
      <c r="U611" s="76" t="s">
        <v>3012</v>
      </c>
      <c r="V611" s="76"/>
      <c r="W611" s="76"/>
      <c r="X611" s="76"/>
    </row>
    <row r="612" ht="18.0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 t="s">
        <v>3013</v>
      </c>
      <c r="L612" s="76"/>
      <c r="M612" s="76" t="s">
        <v>3014</v>
      </c>
      <c r="N612" s="76"/>
      <c r="O612" s="76"/>
      <c r="P612" s="76"/>
      <c r="Q612" s="76"/>
      <c r="R612" s="76"/>
      <c r="S612" s="76"/>
      <c r="T612" s="76"/>
      <c r="U612" s="76" t="s">
        <v>3015</v>
      </c>
      <c r="V612" s="76"/>
      <c r="W612" s="76"/>
      <c r="X612" s="76"/>
    </row>
    <row r="613" ht="18.0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 t="s">
        <v>3016</v>
      </c>
      <c r="L613" s="76"/>
      <c r="M613" s="76" t="s">
        <v>3017</v>
      </c>
      <c r="N613" s="76"/>
      <c r="O613" s="76"/>
      <c r="P613" s="76"/>
      <c r="Q613" s="76"/>
      <c r="R613" s="76"/>
      <c r="S613" s="76"/>
      <c r="T613" s="76"/>
      <c r="U613" s="76" t="s">
        <v>3018</v>
      </c>
      <c r="V613" s="76"/>
      <c r="W613" s="76"/>
      <c r="X613" s="76"/>
    </row>
    <row r="614" ht="18.0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 t="s">
        <v>3019</v>
      </c>
      <c r="L614" s="76"/>
      <c r="M614" s="76" t="s">
        <v>3020</v>
      </c>
      <c r="N614" s="76"/>
      <c r="O614" s="76"/>
      <c r="P614" s="76"/>
      <c r="Q614" s="76"/>
      <c r="R614" s="76"/>
      <c r="S614" s="76"/>
      <c r="T614" s="76"/>
      <c r="U614" s="76" t="s">
        <v>3021</v>
      </c>
      <c r="V614" s="76"/>
      <c r="W614" s="76"/>
      <c r="X614" s="76"/>
    </row>
    <row r="615" ht="18.0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 t="s">
        <v>3022</v>
      </c>
      <c r="L615" s="76"/>
      <c r="M615" s="76" t="s">
        <v>3023</v>
      </c>
      <c r="N615" s="76"/>
      <c r="O615" s="76"/>
      <c r="P615" s="76"/>
      <c r="Q615" s="76"/>
      <c r="R615" s="76"/>
      <c r="S615" s="76"/>
      <c r="T615" s="76"/>
      <c r="U615" s="76" t="s">
        <v>3024</v>
      </c>
      <c r="V615" s="76"/>
      <c r="W615" s="76"/>
      <c r="X615" s="76"/>
    </row>
    <row r="616" ht="18.0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 t="s">
        <v>3025</v>
      </c>
      <c r="L616" s="76"/>
      <c r="M616" s="76" t="s">
        <v>3026</v>
      </c>
      <c r="N616" s="76"/>
      <c r="O616" s="76"/>
      <c r="P616" s="76"/>
      <c r="Q616" s="76"/>
      <c r="R616" s="76"/>
      <c r="S616" s="76"/>
      <c r="T616" s="76"/>
      <c r="U616" s="76" t="s">
        <v>3027</v>
      </c>
      <c r="V616" s="76"/>
      <c r="W616" s="76"/>
      <c r="X616" s="76"/>
    </row>
    <row r="617" ht="18.0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 t="s">
        <v>3028</v>
      </c>
      <c r="L617" s="76"/>
      <c r="M617" s="76" t="s">
        <v>3029</v>
      </c>
      <c r="N617" s="76"/>
      <c r="O617" s="76"/>
      <c r="P617" s="76"/>
      <c r="Q617" s="76"/>
      <c r="R617" s="76"/>
      <c r="S617" s="76"/>
      <c r="T617" s="76"/>
      <c r="U617" s="76" t="s">
        <v>3030</v>
      </c>
      <c r="V617" s="76"/>
      <c r="W617" s="76"/>
      <c r="X617" s="76"/>
    </row>
    <row r="618" ht="18.0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 t="s">
        <v>3031</v>
      </c>
      <c r="L618" s="76"/>
      <c r="M618" s="76" t="s">
        <v>3032</v>
      </c>
      <c r="N618" s="76"/>
      <c r="O618" s="76"/>
      <c r="P618" s="76"/>
      <c r="Q618" s="76"/>
      <c r="R618" s="76"/>
      <c r="S618" s="76"/>
      <c r="T618" s="76"/>
      <c r="U618" s="76" t="s">
        <v>3033</v>
      </c>
      <c r="V618" s="76"/>
      <c r="W618" s="76"/>
      <c r="X618" s="76"/>
    </row>
    <row r="619" ht="18.0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 t="s">
        <v>3034</v>
      </c>
      <c r="L619" s="76"/>
      <c r="M619" s="76" t="s">
        <v>3035</v>
      </c>
      <c r="N619" s="76"/>
      <c r="O619" s="76"/>
      <c r="P619" s="76"/>
      <c r="Q619" s="76"/>
      <c r="R619" s="76"/>
      <c r="S619" s="76"/>
      <c r="T619" s="76"/>
      <c r="U619" s="76" t="s">
        <v>3036</v>
      </c>
      <c r="V619" s="76"/>
      <c r="W619" s="76"/>
      <c r="X619" s="76"/>
    </row>
    <row r="620" ht="18.0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 t="s">
        <v>3037</v>
      </c>
      <c r="L620" s="76"/>
      <c r="M620" s="76" t="s">
        <v>3038</v>
      </c>
      <c r="N620" s="76"/>
      <c r="O620" s="76"/>
      <c r="P620" s="76"/>
      <c r="Q620" s="76"/>
      <c r="R620" s="76"/>
      <c r="S620" s="76"/>
      <c r="T620" s="76"/>
      <c r="U620" s="76" t="s">
        <v>3039</v>
      </c>
      <c r="V620" s="76"/>
      <c r="W620" s="76"/>
      <c r="X620" s="76"/>
    </row>
    <row r="621" ht="18.0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 t="s">
        <v>3040</v>
      </c>
      <c r="L621" s="76"/>
      <c r="M621" s="76" t="s">
        <v>3041</v>
      </c>
      <c r="N621" s="76"/>
      <c r="O621" s="76"/>
      <c r="P621" s="76"/>
      <c r="Q621" s="76"/>
      <c r="R621" s="76"/>
      <c r="S621" s="76"/>
      <c r="T621" s="76"/>
      <c r="U621" s="76" t="s">
        <v>3042</v>
      </c>
      <c r="V621" s="76"/>
      <c r="W621" s="76"/>
      <c r="X621" s="76"/>
    </row>
    <row r="622" ht="18.0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 t="s">
        <v>3043</v>
      </c>
      <c r="L622" s="76"/>
      <c r="M622" s="76" t="s">
        <v>3044</v>
      </c>
      <c r="N622" s="76"/>
      <c r="O622" s="76"/>
      <c r="P622" s="76"/>
      <c r="Q622" s="76"/>
      <c r="R622" s="76"/>
      <c r="S622" s="76"/>
      <c r="T622" s="76"/>
      <c r="U622" s="76" t="s">
        <v>3045</v>
      </c>
      <c r="V622" s="76"/>
      <c r="W622" s="76"/>
      <c r="X622" s="76"/>
    </row>
    <row r="623" ht="18.0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 t="s">
        <v>3046</v>
      </c>
      <c r="L623" s="76"/>
      <c r="M623" s="76" t="s">
        <v>3047</v>
      </c>
      <c r="N623" s="76"/>
      <c r="O623" s="76"/>
      <c r="P623" s="76"/>
      <c r="Q623" s="76"/>
      <c r="R623" s="76"/>
      <c r="S623" s="76"/>
      <c r="T623" s="76"/>
      <c r="U623" s="76" t="s">
        <v>3048</v>
      </c>
      <c r="V623" s="76"/>
      <c r="W623" s="76"/>
      <c r="X623" s="76"/>
    </row>
    <row r="624" ht="18.0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 t="s">
        <v>3049</v>
      </c>
      <c r="L624" s="76"/>
      <c r="M624" s="76" t="s">
        <v>3050</v>
      </c>
      <c r="N624" s="76"/>
      <c r="O624" s="76"/>
      <c r="P624" s="76"/>
      <c r="Q624" s="76"/>
      <c r="R624" s="76"/>
      <c r="S624" s="76"/>
      <c r="T624" s="76"/>
      <c r="U624" s="76" t="s">
        <v>3051</v>
      </c>
      <c r="V624" s="76"/>
      <c r="W624" s="76"/>
      <c r="X624" s="76"/>
    </row>
    <row r="625" ht="18.0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 t="s">
        <v>911</v>
      </c>
      <c r="L625" s="76"/>
      <c r="M625" s="76" t="s">
        <v>3052</v>
      </c>
      <c r="N625" s="76"/>
      <c r="O625" s="76"/>
      <c r="P625" s="76"/>
      <c r="Q625" s="76"/>
      <c r="R625" s="76"/>
      <c r="S625" s="76"/>
      <c r="T625" s="76"/>
      <c r="U625" s="76" t="s">
        <v>3053</v>
      </c>
      <c r="V625" s="76"/>
      <c r="W625" s="76"/>
      <c r="X625" s="76"/>
    </row>
    <row r="626" ht="18.0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 t="s">
        <v>832</v>
      </c>
      <c r="L626" s="76"/>
      <c r="M626" s="76" t="s">
        <v>3054</v>
      </c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</row>
    <row r="627" ht="18.0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 t="s">
        <v>340</v>
      </c>
      <c r="L627" s="76"/>
      <c r="M627" s="76" t="s">
        <v>3055</v>
      </c>
      <c r="N627" s="76"/>
      <c r="O627" s="76"/>
      <c r="P627" s="76"/>
      <c r="Q627" s="76"/>
      <c r="R627" s="76"/>
      <c r="S627" s="76"/>
      <c r="T627" s="76"/>
      <c r="U627" s="76" t="s">
        <v>3056</v>
      </c>
      <c r="V627" s="76"/>
      <c r="W627" s="76"/>
      <c r="X627" s="76"/>
    </row>
    <row r="628" ht="18.0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 t="s">
        <v>3057</v>
      </c>
      <c r="L628" s="76"/>
      <c r="M628" s="76" t="s">
        <v>3058</v>
      </c>
      <c r="N628" s="76"/>
      <c r="O628" s="76"/>
      <c r="P628" s="76"/>
      <c r="Q628" s="76"/>
      <c r="R628" s="76"/>
      <c r="S628" s="76"/>
      <c r="T628" s="76"/>
      <c r="U628" s="76" t="s">
        <v>3059</v>
      </c>
      <c r="V628" s="76"/>
      <c r="W628" s="76"/>
      <c r="X628" s="76"/>
    </row>
    <row r="629" ht="18.0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 t="s">
        <v>707</v>
      </c>
      <c r="L629" s="76"/>
      <c r="M629" s="76" t="s">
        <v>3060</v>
      </c>
      <c r="N629" s="76"/>
      <c r="O629" s="76"/>
      <c r="P629" s="76"/>
      <c r="Q629" s="76"/>
      <c r="R629" s="76"/>
      <c r="S629" s="76"/>
      <c r="T629" s="76"/>
      <c r="U629" s="76" t="s">
        <v>3061</v>
      </c>
      <c r="V629" s="76"/>
      <c r="W629" s="76"/>
      <c r="X629" s="76"/>
    </row>
    <row r="630" ht="18.0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 t="s">
        <v>3062</v>
      </c>
      <c r="L630" s="76"/>
      <c r="M630" s="76" t="s">
        <v>3063</v>
      </c>
      <c r="N630" s="76"/>
      <c r="O630" s="76"/>
      <c r="P630" s="76"/>
      <c r="Q630" s="76"/>
      <c r="R630" s="76"/>
      <c r="S630" s="76"/>
      <c r="T630" s="76"/>
      <c r="U630" s="76" t="s">
        <v>3064</v>
      </c>
      <c r="V630" s="76"/>
      <c r="W630" s="76"/>
      <c r="X630" s="76"/>
    </row>
    <row r="631" ht="18.0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 t="s">
        <v>760</v>
      </c>
      <c r="L631" s="76"/>
      <c r="M631" s="76" t="s">
        <v>3065</v>
      </c>
      <c r="N631" s="76"/>
      <c r="O631" s="76"/>
      <c r="P631" s="76"/>
      <c r="Q631" s="76"/>
      <c r="R631" s="76"/>
      <c r="S631" s="76"/>
      <c r="T631" s="76"/>
      <c r="U631" s="76" t="s">
        <v>3066</v>
      </c>
      <c r="V631" s="76"/>
      <c r="W631" s="76"/>
      <c r="X631" s="76"/>
    </row>
    <row r="632" ht="18.0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 t="s">
        <v>748</v>
      </c>
      <c r="L632" s="76"/>
      <c r="M632" s="76" t="s">
        <v>3067</v>
      </c>
      <c r="N632" s="76"/>
      <c r="O632" s="76"/>
      <c r="P632" s="76"/>
      <c r="Q632" s="76"/>
      <c r="R632" s="76"/>
      <c r="S632" s="76"/>
      <c r="T632" s="76"/>
      <c r="U632" s="76" t="s">
        <v>3068</v>
      </c>
      <c r="V632" s="76"/>
      <c r="W632" s="76"/>
      <c r="X632" s="76"/>
    </row>
    <row r="633" ht="18.0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 t="s">
        <v>782</v>
      </c>
      <c r="L633" s="76"/>
      <c r="M633" s="76" t="s">
        <v>3069</v>
      </c>
      <c r="N633" s="76"/>
      <c r="O633" s="76"/>
      <c r="P633" s="76"/>
      <c r="Q633" s="76"/>
      <c r="R633" s="76"/>
      <c r="S633" s="76"/>
      <c r="T633" s="76"/>
      <c r="U633" s="76" t="s">
        <v>3070</v>
      </c>
      <c r="V633" s="76"/>
      <c r="W633" s="76"/>
      <c r="X633" s="76"/>
    </row>
    <row r="634" ht="18.0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 t="s">
        <v>822</v>
      </c>
      <c r="L634" s="76"/>
      <c r="M634" s="76" t="s">
        <v>3071</v>
      </c>
      <c r="N634" s="76"/>
      <c r="O634" s="76"/>
      <c r="P634" s="76"/>
      <c r="Q634" s="76"/>
      <c r="R634" s="76"/>
      <c r="S634" s="76"/>
      <c r="T634" s="76"/>
      <c r="U634" s="76" t="s">
        <v>3072</v>
      </c>
      <c r="V634" s="76"/>
      <c r="W634" s="76"/>
      <c r="X634" s="76"/>
    </row>
    <row r="635" ht="18.0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 t="s">
        <v>3073</v>
      </c>
      <c r="L635" s="76"/>
      <c r="M635" s="76" t="s">
        <v>3074</v>
      </c>
      <c r="N635" s="76"/>
      <c r="O635" s="76"/>
      <c r="P635" s="76"/>
      <c r="Q635" s="76"/>
      <c r="R635" s="76"/>
      <c r="S635" s="76"/>
      <c r="T635" s="76"/>
      <c r="U635" s="76" t="s">
        <v>3075</v>
      </c>
      <c r="V635" s="76"/>
      <c r="W635" s="76"/>
      <c r="X635" s="76"/>
    </row>
    <row r="636" ht="18.0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 t="s">
        <v>173</v>
      </c>
      <c r="L636" s="76"/>
      <c r="M636" s="76" t="s">
        <v>3076</v>
      </c>
      <c r="N636" s="76"/>
      <c r="O636" s="76"/>
      <c r="P636" s="76"/>
      <c r="Q636" s="76"/>
      <c r="R636" s="76"/>
      <c r="S636" s="76"/>
      <c r="T636" s="76"/>
      <c r="U636" s="76" t="s">
        <v>3077</v>
      </c>
      <c r="V636" s="76"/>
      <c r="W636" s="76"/>
      <c r="X636" s="76"/>
    </row>
    <row r="637" ht="18.0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 t="s">
        <v>3078</v>
      </c>
      <c r="L637" s="76"/>
      <c r="M637" s="76" t="s">
        <v>3079</v>
      </c>
      <c r="N637" s="76"/>
      <c r="O637" s="76"/>
      <c r="P637" s="76"/>
      <c r="Q637" s="76"/>
      <c r="R637" s="76"/>
      <c r="S637" s="76"/>
      <c r="T637" s="76"/>
      <c r="U637" s="76" t="s">
        <v>3080</v>
      </c>
      <c r="V637" s="76"/>
      <c r="W637" s="76"/>
      <c r="X637" s="76"/>
    </row>
    <row r="638" ht="18.0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 t="s">
        <v>3081</v>
      </c>
      <c r="L638" s="76"/>
      <c r="M638" s="76" t="s">
        <v>3082</v>
      </c>
      <c r="N638" s="76"/>
      <c r="O638" s="76"/>
      <c r="P638" s="76"/>
      <c r="Q638" s="76"/>
      <c r="R638" s="76"/>
      <c r="S638" s="76"/>
      <c r="T638" s="76"/>
      <c r="U638" s="76" t="s">
        <v>3083</v>
      </c>
      <c r="V638" s="76"/>
      <c r="W638" s="76"/>
      <c r="X638" s="76"/>
    </row>
    <row r="639" ht="18.0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 t="s">
        <v>3084</v>
      </c>
      <c r="L639" s="76"/>
      <c r="M639" s="76" t="s">
        <v>3085</v>
      </c>
      <c r="N639" s="76"/>
      <c r="O639" s="76"/>
      <c r="P639" s="76"/>
      <c r="Q639" s="76"/>
      <c r="R639" s="76"/>
      <c r="S639" s="76"/>
      <c r="T639" s="76"/>
      <c r="U639" s="76" t="s">
        <v>3086</v>
      </c>
      <c r="V639" s="76"/>
      <c r="W639" s="76"/>
      <c r="X639" s="76"/>
    </row>
    <row r="640" ht="18.0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 t="s">
        <v>3087</v>
      </c>
      <c r="L640" s="76"/>
      <c r="M640" s="76" t="s">
        <v>3088</v>
      </c>
      <c r="N640" s="76"/>
      <c r="O640" s="76"/>
      <c r="P640" s="76"/>
      <c r="Q640" s="76"/>
      <c r="R640" s="76"/>
      <c r="S640" s="76"/>
      <c r="T640" s="76"/>
      <c r="U640" s="76" t="s">
        <v>3089</v>
      </c>
      <c r="V640" s="76"/>
      <c r="W640" s="76"/>
      <c r="X640" s="76"/>
    </row>
    <row r="641" ht="18.0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 t="s">
        <v>3090</v>
      </c>
      <c r="L641" s="76"/>
      <c r="M641" s="76" t="s">
        <v>3091</v>
      </c>
      <c r="N641" s="76"/>
      <c r="O641" s="76"/>
      <c r="P641" s="76"/>
      <c r="Q641" s="76"/>
      <c r="R641" s="76"/>
      <c r="S641" s="76"/>
      <c r="T641" s="76"/>
      <c r="U641" s="76" t="s">
        <v>3092</v>
      </c>
      <c r="V641" s="76"/>
      <c r="W641" s="76"/>
      <c r="X641" s="76"/>
    </row>
    <row r="642" ht="18.0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 t="s">
        <v>3094</v>
      </c>
      <c r="L642" s="76"/>
      <c r="M642" s="76" t="s">
        <v>3095</v>
      </c>
      <c r="N642" s="76"/>
      <c r="O642" s="76"/>
      <c r="P642" s="76"/>
      <c r="Q642" s="76"/>
      <c r="R642" s="76"/>
      <c r="S642" s="76"/>
      <c r="T642" s="76"/>
      <c r="U642" s="76" t="s">
        <v>3096</v>
      </c>
      <c r="V642" s="76"/>
      <c r="W642" s="76"/>
      <c r="X642" s="76"/>
    </row>
    <row r="643" ht="18.0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 t="s">
        <v>3097</v>
      </c>
      <c r="L643" s="76"/>
      <c r="M643" s="76" t="s">
        <v>3098</v>
      </c>
      <c r="N643" s="76"/>
      <c r="O643" s="76"/>
      <c r="P643" s="76"/>
      <c r="Q643" s="76"/>
      <c r="R643" s="76"/>
      <c r="S643" s="76"/>
      <c r="T643" s="76"/>
      <c r="U643" s="76" t="s">
        <v>3099</v>
      </c>
      <c r="V643" s="76"/>
      <c r="W643" s="76"/>
      <c r="X643" s="76"/>
    </row>
    <row r="644" ht="18.0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 t="s">
        <v>3100</v>
      </c>
      <c r="L644" s="76"/>
      <c r="M644" s="76" t="s">
        <v>3101</v>
      </c>
      <c r="N644" s="76"/>
      <c r="O644" s="76"/>
      <c r="P644" s="76"/>
      <c r="Q644" s="76"/>
      <c r="R644" s="76"/>
      <c r="S644" s="76"/>
      <c r="T644" s="76"/>
      <c r="U644" s="76" t="s">
        <v>3103</v>
      </c>
      <c r="V644" s="76"/>
      <c r="W644" s="76"/>
      <c r="X644" s="76"/>
    </row>
    <row r="645" ht="18.0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 t="s">
        <v>3106</v>
      </c>
      <c r="L645" s="76"/>
      <c r="M645" s="76" t="s">
        <v>3107</v>
      </c>
      <c r="N645" s="76"/>
      <c r="O645" s="76"/>
      <c r="P645" s="76"/>
      <c r="Q645" s="76"/>
      <c r="R645" s="76"/>
      <c r="S645" s="76"/>
      <c r="T645" s="76"/>
      <c r="U645" s="76" t="s">
        <v>3108</v>
      </c>
      <c r="V645" s="76"/>
      <c r="W645" s="76"/>
      <c r="X645" s="76"/>
    </row>
    <row r="646" ht="18.0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 t="s">
        <v>3109</v>
      </c>
      <c r="L646" s="76"/>
      <c r="M646" s="76" t="s">
        <v>3110</v>
      </c>
      <c r="N646" s="76"/>
      <c r="O646" s="76"/>
      <c r="P646" s="76"/>
      <c r="Q646" s="76"/>
      <c r="R646" s="76"/>
      <c r="S646" s="76"/>
      <c r="T646" s="76"/>
      <c r="U646" s="76" t="s">
        <v>3111</v>
      </c>
      <c r="V646" s="76"/>
      <c r="W646" s="76"/>
      <c r="X646" s="76"/>
    </row>
    <row r="647" ht="18.0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 t="s">
        <v>3112</v>
      </c>
      <c r="L647" s="76"/>
      <c r="M647" s="76" t="s">
        <v>3113</v>
      </c>
      <c r="N647" s="76"/>
      <c r="O647" s="76"/>
      <c r="P647" s="76"/>
      <c r="Q647" s="76"/>
      <c r="R647" s="76"/>
      <c r="S647" s="76"/>
      <c r="T647" s="76"/>
      <c r="U647" s="76" t="s">
        <v>3114</v>
      </c>
      <c r="V647" s="76"/>
      <c r="W647" s="76"/>
      <c r="X647" s="76"/>
    </row>
    <row r="648" ht="18.0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 t="s">
        <v>3115</v>
      </c>
      <c r="L648" s="76"/>
      <c r="M648" s="76" t="s">
        <v>3116</v>
      </c>
      <c r="N648" s="76"/>
      <c r="O648" s="76"/>
      <c r="P648" s="76"/>
      <c r="Q648" s="76"/>
      <c r="R648" s="76"/>
      <c r="S648" s="76"/>
      <c r="T648" s="76"/>
      <c r="U648" s="76" t="s">
        <v>3117</v>
      </c>
      <c r="V648" s="76"/>
      <c r="W648" s="76"/>
      <c r="X648" s="76"/>
    </row>
    <row r="649" ht="18.0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 t="s">
        <v>3119</v>
      </c>
      <c r="L649" s="76"/>
      <c r="M649" s="76" t="s">
        <v>3120</v>
      </c>
      <c r="N649" s="76"/>
      <c r="O649" s="76"/>
      <c r="P649" s="76"/>
      <c r="Q649" s="76"/>
      <c r="R649" s="76"/>
      <c r="S649" s="76"/>
      <c r="T649" s="76"/>
      <c r="U649" s="76" t="s">
        <v>3121</v>
      </c>
      <c r="V649" s="76"/>
      <c r="W649" s="76"/>
      <c r="X649" s="76"/>
    </row>
    <row r="650" ht="18.0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 t="s">
        <v>3122</v>
      </c>
      <c r="L650" s="76"/>
      <c r="M650" s="76" t="s">
        <v>3123</v>
      </c>
      <c r="N650" s="76"/>
      <c r="O650" s="76"/>
      <c r="P650" s="76"/>
      <c r="Q650" s="76"/>
      <c r="R650" s="76"/>
      <c r="S650" s="76"/>
      <c r="T650" s="76"/>
      <c r="U650" s="76" t="s">
        <v>3124</v>
      </c>
      <c r="V650" s="76"/>
      <c r="W650" s="76"/>
      <c r="X650" s="76"/>
    </row>
    <row r="651" ht="18.0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 t="s">
        <v>3125</v>
      </c>
      <c r="L651" s="76"/>
      <c r="M651" s="76" t="s">
        <v>3126</v>
      </c>
      <c r="N651" s="76"/>
      <c r="O651" s="76"/>
      <c r="P651" s="76"/>
      <c r="Q651" s="76"/>
      <c r="R651" s="76"/>
      <c r="S651" s="76"/>
      <c r="T651" s="76"/>
      <c r="U651" s="76" t="s">
        <v>3127</v>
      </c>
      <c r="V651" s="76"/>
      <c r="W651" s="76"/>
      <c r="X651" s="76"/>
    </row>
    <row r="652" ht="18.0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 t="s">
        <v>3128</v>
      </c>
      <c r="L652" s="76"/>
      <c r="M652" s="76" t="s">
        <v>3129</v>
      </c>
      <c r="N652" s="76"/>
      <c r="O652" s="76"/>
      <c r="P652" s="76"/>
      <c r="Q652" s="76"/>
      <c r="R652" s="76"/>
      <c r="S652" s="76"/>
      <c r="T652" s="76"/>
      <c r="U652" s="76" t="s">
        <v>3132</v>
      </c>
      <c r="V652" s="76"/>
      <c r="W652" s="76"/>
      <c r="X652" s="76"/>
    </row>
    <row r="653" ht="18.0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 t="s">
        <v>3133</v>
      </c>
      <c r="L653" s="76"/>
      <c r="M653" s="76" t="s">
        <v>3134</v>
      </c>
      <c r="N653" s="76"/>
      <c r="O653" s="76"/>
      <c r="P653" s="76"/>
      <c r="Q653" s="76"/>
      <c r="R653" s="76"/>
      <c r="S653" s="76"/>
      <c r="T653" s="76"/>
      <c r="U653" s="76" t="s">
        <v>3135</v>
      </c>
      <c r="V653" s="76"/>
      <c r="W653" s="76"/>
      <c r="X653" s="76"/>
    </row>
    <row r="654" ht="18.0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 t="s">
        <v>3136</v>
      </c>
      <c r="L654" s="76"/>
      <c r="M654" s="76" t="s">
        <v>3137</v>
      </c>
      <c r="N654" s="76"/>
      <c r="O654" s="76"/>
      <c r="P654" s="76"/>
      <c r="Q654" s="76"/>
      <c r="R654" s="76"/>
      <c r="S654" s="76"/>
      <c r="T654" s="76"/>
      <c r="U654" s="76" t="s">
        <v>3138</v>
      </c>
      <c r="V654" s="76"/>
      <c r="W654" s="76"/>
      <c r="X654" s="76"/>
    </row>
    <row r="655" ht="18.0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 t="s">
        <v>3139</v>
      </c>
      <c r="L655" s="76"/>
      <c r="M655" s="76" t="s">
        <v>3140</v>
      </c>
      <c r="N655" s="76"/>
      <c r="O655" s="76"/>
      <c r="P655" s="76"/>
      <c r="Q655" s="76"/>
      <c r="R655" s="76"/>
      <c r="S655" s="76"/>
      <c r="T655" s="76"/>
      <c r="U655" s="76" t="s">
        <v>3142</v>
      </c>
      <c r="V655" s="76"/>
      <c r="W655" s="76"/>
      <c r="X655" s="76"/>
    </row>
    <row r="656" ht="18.0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 t="s">
        <v>3143</v>
      </c>
      <c r="L656" s="76"/>
      <c r="M656" s="76" t="s">
        <v>3144</v>
      </c>
      <c r="N656" s="76"/>
      <c r="O656" s="76"/>
      <c r="P656" s="76"/>
      <c r="Q656" s="76"/>
      <c r="R656" s="76"/>
      <c r="S656" s="76"/>
      <c r="T656" s="76"/>
      <c r="U656" s="76" t="s">
        <v>3145</v>
      </c>
      <c r="V656" s="76"/>
      <c r="W656" s="76"/>
      <c r="X656" s="76"/>
    </row>
    <row r="657" ht="18.0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 t="s">
        <v>3146</v>
      </c>
      <c r="L657" s="76"/>
      <c r="M657" s="76" t="s">
        <v>3147</v>
      </c>
      <c r="N657" s="76"/>
      <c r="O657" s="76"/>
      <c r="P657" s="76"/>
      <c r="Q657" s="76"/>
      <c r="R657" s="76"/>
      <c r="S657" s="76"/>
      <c r="T657" s="76"/>
      <c r="U657" s="76" t="s">
        <v>3148</v>
      </c>
      <c r="V657" s="76"/>
      <c r="W657" s="76"/>
      <c r="X657" s="76"/>
    </row>
    <row r="658" ht="18.0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 t="s">
        <v>3149</v>
      </c>
      <c r="L658" s="76"/>
      <c r="M658" s="76" t="s">
        <v>3150</v>
      </c>
      <c r="N658" s="76"/>
      <c r="O658" s="76"/>
      <c r="P658" s="76"/>
      <c r="Q658" s="76"/>
      <c r="R658" s="76"/>
      <c r="S658" s="76"/>
      <c r="T658" s="76"/>
      <c r="U658" s="76" t="s">
        <v>3151</v>
      </c>
      <c r="V658" s="76"/>
      <c r="W658" s="76"/>
      <c r="X658" s="76"/>
    </row>
    <row r="659" ht="18.0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 t="s">
        <v>3152</v>
      </c>
      <c r="L659" s="76"/>
      <c r="M659" s="76" t="s">
        <v>3153</v>
      </c>
      <c r="N659" s="76"/>
      <c r="O659" s="76"/>
      <c r="P659" s="76"/>
      <c r="Q659" s="76"/>
      <c r="R659" s="76"/>
      <c r="S659" s="76"/>
      <c r="T659" s="76"/>
      <c r="U659" s="76" t="s">
        <v>3154</v>
      </c>
      <c r="V659" s="76"/>
      <c r="W659" s="76"/>
      <c r="X659" s="76"/>
    </row>
    <row r="660" ht="18.0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 t="s">
        <v>3155</v>
      </c>
      <c r="L660" s="76"/>
      <c r="M660" s="76" t="s">
        <v>3156</v>
      </c>
      <c r="N660" s="76"/>
      <c r="O660" s="76"/>
      <c r="P660" s="76"/>
      <c r="Q660" s="76"/>
      <c r="R660" s="76"/>
      <c r="S660" s="76"/>
      <c r="T660" s="76"/>
      <c r="U660" s="76" t="s">
        <v>3157</v>
      </c>
      <c r="V660" s="76"/>
      <c r="W660" s="76"/>
      <c r="X660" s="76"/>
    </row>
    <row r="661" ht="18.0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 t="s">
        <v>3158</v>
      </c>
      <c r="L661" s="76"/>
      <c r="M661" s="76" t="s">
        <v>3159</v>
      </c>
      <c r="N661" s="76"/>
      <c r="O661" s="76"/>
      <c r="P661" s="76"/>
      <c r="Q661" s="76"/>
      <c r="R661" s="76"/>
      <c r="S661" s="76"/>
      <c r="T661" s="76"/>
      <c r="U661" s="76" t="s">
        <v>3160</v>
      </c>
      <c r="V661" s="76"/>
      <c r="W661" s="76"/>
      <c r="X661" s="76"/>
    </row>
    <row r="662" ht="18.0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 t="s">
        <v>3161</v>
      </c>
      <c r="L662" s="76"/>
      <c r="M662" s="76" t="s">
        <v>3162</v>
      </c>
      <c r="N662" s="76"/>
      <c r="O662" s="76"/>
      <c r="P662" s="76"/>
      <c r="Q662" s="76"/>
      <c r="R662" s="76"/>
      <c r="S662" s="76"/>
      <c r="T662" s="76"/>
      <c r="U662" s="76" t="s">
        <v>3163</v>
      </c>
      <c r="V662" s="76"/>
      <c r="W662" s="76"/>
      <c r="X662" s="76"/>
    </row>
    <row r="663" ht="18.0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 t="s">
        <v>3164</v>
      </c>
      <c r="L663" s="76"/>
      <c r="M663" s="76" t="s">
        <v>3165</v>
      </c>
      <c r="N663" s="76"/>
      <c r="O663" s="76"/>
      <c r="P663" s="76"/>
      <c r="Q663" s="76"/>
      <c r="R663" s="76"/>
      <c r="S663" s="76"/>
      <c r="T663" s="76"/>
      <c r="U663" s="76" t="s">
        <v>3166</v>
      </c>
      <c r="V663" s="76"/>
      <c r="W663" s="76"/>
      <c r="X663" s="76"/>
    </row>
    <row r="664" ht="18.0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 t="s">
        <v>3167</v>
      </c>
      <c r="L664" s="76"/>
      <c r="M664" s="76" t="s">
        <v>3168</v>
      </c>
      <c r="N664" s="76"/>
      <c r="O664" s="76"/>
      <c r="P664" s="76"/>
      <c r="Q664" s="76"/>
      <c r="R664" s="76"/>
      <c r="S664" s="76"/>
      <c r="T664" s="76"/>
      <c r="U664" s="76" t="s">
        <v>3169</v>
      </c>
      <c r="V664" s="76"/>
      <c r="W664" s="76"/>
      <c r="X664" s="76"/>
    </row>
    <row r="665" ht="18.0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 t="s">
        <v>3170</v>
      </c>
      <c r="L665" s="76"/>
      <c r="M665" s="76" t="s">
        <v>3171</v>
      </c>
      <c r="N665" s="76"/>
      <c r="O665" s="76"/>
      <c r="P665" s="76"/>
      <c r="Q665" s="76"/>
      <c r="R665" s="76"/>
      <c r="S665" s="76"/>
      <c r="T665" s="76"/>
      <c r="U665" s="76" t="s">
        <v>3172</v>
      </c>
      <c r="V665" s="76"/>
      <c r="W665" s="76"/>
      <c r="X665" s="76"/>
    </row>
    <row r="666" ht="18.0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 t="s">
        <v>3173</v>
      </c>
      <c r="L666" s="76"/>
      <c r="M666" s="76" t="s">
        <v>3174</v>
      </c>
      <c r="N666" s="76"/>
      <c r="O666" s="76"/>
      <c r="P666" s="76"/>
      <c r="Q666" s="76"/>
      <c r="R666" s="76"/>
      <c r="S666" s="76"/>
      <c r="T666" s="76"/>
      <c r="U666" s="76" t="s">
        <v>3175</v>
      </c>
      <c r="V666" s="76"/>
      <c r="W666" s="76"/>
      <c r="X666" s="76"/>
    </row>
    <row r="667" ht="18.0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 t="s">
        <v>3176</v>
      </c>
      <c r="L667" s="76"/>
      <c r="M667" s="76" t="s">
        <v>3177</v>
      </c>
      <c r="N667" s="76"/>
      <c r="O667" s="76"/>
      <c r="P667" s="76"/>
      <c r="Q667" s="76"/>
      <c r="R667" s="76"/>
      <c r="S667" s="76"/>
      <c r="T667" s="76"/>
      <c r="U667" s="76" t="s">
        <v>3178</v>
      </c>
      <c r="V667" s="76"/>
      <c r="W667" s="76"/>
      <c r="X667" s="76"/>
    </row>
    <row r="668" ht="18.0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 t="s">
        <v>3179</v>
      </c>
      <c r="L668" s="76"/>
      <c r="M668" s="76" t="s">
        <v>3180</v>
      </c>
      <c r="N668" s="76"/>
      <c r="O668" s="76"/>
      <c r="P668" s="76"/>
      <c r="Q668" s="76"/>
      <c r="R668" s="76"/>
      <c r="S668" s="76"/>
      <c r="T668" s="76"/>
      <c r="U668" s="76" t="s">
        <v>3181</v>
      </c>
      <c r="V668" s="76"/>
      <c r="W668" s="76"/>
      <c r="X668" s="76"/>
    </row>
    <row r="669" ht="18.0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 t="s">
        <v>3182</v>
      </c>
      <c r="L669" s="76"/>
      <c r="M669" s="76" t="s">
        <v>3183</v>
      </c>
      <c r="N669" s="76"/>
      <c r="O669" s="76"/>
      <c r="P669" s="76"/>
      <c r="Q669" s="76"/>
      <c r="R669" s="76"/>
      <c r="S669" s="76"/>
      <c r="T669" s="76"/>
      <c r="U669" s="76" t="s">
        <v>3184</v>
      </c>
      <c r="V669" s="76"/>
      <c r="W669" s="76"/>
      <c r="X669" s="76"/>
    </row>
    <row r="670" ht="18.0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 t="s">
        <v>3185</v>
      </c>
      <c r="L670" s="76"/>
      <c r="M670" s="76" t="s">
        <v>3186</v>
      </c>
      <c r="N670" s="76"/>
      <c r="O670" s="76"/>
      <c r="P670" s="76"/>
      <c r="Q670" s="76"/>
      <c r="R670" s="76"/>
      <c r="S670" s="76"/>
      <c r="T670" s="76"/>
      <c r="U670" s="76" t="s">
        <v>3188</v>
      </c>
      <c r="V670" s="76"/>
      <c r="W670" s="76"/>
      <c r="X670" s="76"/>
    </row>
    <row r="671" ht="18.0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 t="s">
        <v>3189</v>
      </c>
      <c r="L671" s="76"/>
      <c r="M671" s="76" t="s">
        <v>3190</v>
      </c>
      <c r="N671" s="76"/>
      <c r="O671" s="76"/>
      <c r="P671" s="76"/>
      <c r="Q671" s="76"/>
      <c r="R671" s="76"/>
      <c r="S671" s="76"/>
      <c r="T671" s="76"/>
      <c r="U671" s="76" t="s">
        <v>3191</v>
      </c>
      <c r="V671" s="76"/>
      <c r="W671" s="76"/>
      <c r="X671" s="76"/>
    </row>
    <row r="672" ht="18.0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 t="s">
        <v>3192</v>
      </c>
      <c r="L672" s="76"/>
      <c r="M672" s="76" t="s">
        <v>3193</v>
      </c>
      <c r="N672" s="76"/>
      <c r="O672" s="76"/>
      <c r="P672" s="76"/>
      <c r="Q672" s="76"/>
      <c r="R672" s="76"/>
      <c r="S672" s="76"/>
      <c r="T672" s="76"/>
      <c r="U672" s="76" t="s">
        <v>3194</v>
      </c>
      <c r="V672" s="76"/>
      <c r="W672" s="76"/>
      <c r="X672" s="76"/>
    </row>
    <row r="673" ht="18.0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 t="s">
        <v>3196</v>
      </c>
      <c r="L673" s="76"/>
      <c r="M673" s="76" t="s">
        <v>3197</v>
      </c>
      <c r="N673" s="76"/>
      <c r="O673" s="76"/>
      <c r="P673" s="76"/>
      <c r="Q673" s="76"/>
      <c r="R673" s="76"/>
      <c r="S673" s="76"/>
      <c r="T673" s="76"/>
      <c r="U673" s="76" t="s">
        <v>3198</v>
      </c>
      <c r="V673" s="76"/>
      <c r="W673" s="76"/>
      <c r="X673" s="76"/>
    </row>
    <row r="674" ht="18.0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 t="s">
        <v>3199</v>
      </c>
      <c r="L674" s="76"/>
      <c r="M674" s="76" t="s">
        <v>3200</v>
      </c>
      <c r="N674" s="76"/>
      <c r="O674" s="76"/>
      <c r="P674" s="76"/>
      <c r="Q674" s="76"/>
      <c r="R674" s="76"/>
      <c r="S674" s="76"/>
      <c r="T674" s="76"/>
      <c r="U674" s="76" t="s">
        <v>3201</v>
      </c>
      <c r="V674" s="76"/>
      <c r="W674" s="76"/>
      <c r="X674" s="76"/>
    </row>
    <row r="675" ht="18.0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 t="s">
        <v>3202</v>
      </c>
      <c r="L675" s="76"/>
      <c r="M675" s="76" t="s">
        <v>3203</v>
      </c>
      <c r="N675" s="76"/>
      <c r="O675" s="76"/>
      <c r="P675" s="76"/>
      <c r="Q675" s="76"/>
      <c r="R675" s="76"/>
      <c r="S675" s="76"/>
      <c r="T675" s="76"/>
      <c r="U675" s="76" t="s">
        <v>3204</v>
      </c>
      <c r="V675" s="76"/>
      <c r="W675" s="76"/>
      <c r="X675" s="76"/>
    </row>
    <row r="676" ht="18.0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 t="s">
        <v>3205</v>
      </c>
      <c r="L676" s="76"/>
      <c r="M676" s="76" t="s">
        <v>3206</v>
      </c>
      <c r="N676" s="76"/>
      <c r="O676" s="76"/>
      <c r="P676" s="76"/>
      <c r="Q676" s="76"/>
      <c r="R676" s="76"/>
      <c r="S676" s="76"/>
      <c r="T676" s="76"/>
      <c r="U676" s="76" t="s">
        <v>3207</v>
      </c>
      <c r="V676" s="76"/>
      <c r="W676" s="76"/>
      <c r="X676" s="76"/>
    </row>
    <row r="677" ht="18.0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 t="s">
        <v>3208</v>
      </c>
      <c r="L677" s="76"/>
      <c r="M677" s="76" t="s">
        <v>3209</v>
      </c>
      <c r="N677" s="76"/>
      <c r="O677" s="76"/>
      <c r="P677" s="76"/>
      <c r="Q677" s="76"/>
      <c r="R677" s="76"/>
      <c r="S677" s="76"/>
      <c r="T677" s="76"/>
      <c r="U677" s="76" t="s">
        <v>3210</v>
      </c>
      <c r="V677" s="76"/>
      <c r="W677" s="76"/>
      <c r="X677" s="76"/>
    </row>
    <row r="678" ht="18.0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 t="s">
        <v>3211</v>
      </c>
      <c r="L678" s="76"/>
      <c r="M678" s="76" t="s">
        <v>3212</v>
      </c>
      <c r="N678" s="76"/>
      <c r="O678" s="76"/>
      <c r="P678" s="76"/>
      <c r="Q678" s="76"/>
      <c r="R678" s="76"/>
      <c r="S678" s="76"/>
      <c r="T678" s="76"/>
      <c r="U678" s="76" t="s">
        <v>3213</v>
      </c>
      <c r="V678" s="76"/>
      <c r="W678" s="76"/>
      <c r="X678" s="76"/>
    </row>
    <row r="679" ht="18.0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 t="s">
        <v>3214</v>
      </c>
      <c r="L679" s="76"/>
      <c r="M679" s="76" t="s">
        <v>3215</v>
      </c>
      <c r="N679" s="76"/>
      <c r="O679" s="76"/>
      <c r="P679" s="76"/>
      <c r="Q679" s="76"/>
      <c r="R679" s="76"/>
      <c r="S679" s="76"/>
      <c r="T679" s="76"/>
      <c r="U679" s="76" t="s">
        <v>3216</v>
      </c>
      <c r="V679" s="76"/>
      <c r="W679" s="76"/>
      <c r="X679" s="76"/>
    </row>
    <row r="680" ht="18.0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 t="s">
        <v>3217</v>
      </c>
      <c r="L680" s="76"/>
      <c r="M680" s="76" t="s">
        <v>3218</v>
      </c>
      <c r="N680" s="76"/>
      <c r="O680" s="76"/>
      <c r="P680" s="76"/>
      <c r="Q680" s="76"/>
      <c r="R680" s="76"/>
      <c r="S680" s="76"/>
      <c r="T680" s="76"/>
      <c r="U680" s="76" t="s">
        <v>3219</v>
      </c>
      <c r="V680" s="76"/>
      <c r="W680" s="76"/>
      <c r="X680" s="76"/>
    </row>
    <row r="681" ht="18.0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 t="s">
        <v>3220</v>
      </c>
      <c r="L681" s="76"/>
      <c r="M681" s="76" t="s">
        <v>3221</v>
      </c>
      <c r="N681" s="76"/>
      <c r="O681" s="76"/>
      <c r="P681" s="76"/>
      <c r="Q681" s="76"/>
      <c r="R681" s="76"/>
      <c r="S681" s="76"/>
      <c r="T681" s="76"/>
      <c r="U681" s="76" t="s">
        <v>3222</v>
      </c>
      <c r="V681" s="76"/>
      <c r="W681" s="76"/>
      <c r="X681" s="76"/>
    </row>
    <row r="682" ht="18.0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 t="s">
        <v>3223</v>
      </c>
      <c r="L682" s="76"/>
      <c r="M682" s="76" t="s">
        <v>3224</v>
      </c>
      <c r="N682" s="76"/>
      <c r="O682" s="76"/>
      <c r="P682" s="76"/>
      <c r="Q682" s="76"/>
      <c r="R682" s="76"/>
      <c r="S682" s="76"/>
      <c r="T682" s="76"/>
      <c r="U682" s="76" t="s">
        <v>3225</v>
      </c>
      <c r="V682" s="76"/>
      <c r="W682" s="76"/>
      <c r="X682" s="76"/>
    </row>
    <row r="683" ht="18.0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 t="s">
        <v>3226</v>
      </c>
      <c r="L683" s="76"/>
      <c r="M683" s="76" t="s">
        <v>3227</v>
      </c>
      <c r="N683" s="76"/>
      <c r="O683" s="76"/>
      <c r="P683" s="76"/>
      <c r="Q683" s="76"/>
      <c r="R683" s="76"/>
      <c r="S683" s="76"/>
      <c r="T683" s="76"/>
      <c r="U683" s="76" t="s">
        <v>3228</v>
      </c>
      <c r="V683" s="76"/>
      <c r="W683" s="76"/>
      <c r="X683" s="76"/>
    </row>
    <row r="684" ht="18.0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 t="s">
        <v>3229</v>
      </c>
      <c r="L684" s="76"/>
      <c r="M684" s="76" t="s">
        <v>3230</v>
      </c>
      <c r="N684" s="76"/>
      <c r="O684" s="76"/>
      <c r="P684" s="76"/>
      <c r="Q684" s="76"/>
      <c r="R684" s="76"/>
      <c r="S684" s="76"/>
      <c r="T684" s="76"/>
      <c r="U684" s="76" t="s">
        <v>3231</v>
      </c>
      <c r="V684" s="76"/>
      <c r="W684" s="76"/>
      <c r="X684" s="76"/>
    </row>
    <row r="685" ht="18.0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 t="s">
        <v>3232</v>
      </c>
      <c r="L685" s="76"/>
      <c r="M685" s="76" t="s">
        <v>3233</v>
      </c>
      <c r="N685" s="76"/>
      <c r="O685" s="76"/>
      <c r="P685" s="76"/>
      <c r="Q685" s="76"/>
      <c r="R685" s="76"/>
      <c r="S685" s="76"/>
      <c r="T685" s="76"/>
      <c r="U685" s="76" t="s">
        <v>3234</v>
      </c>
      <c r="V685" s="76"/>
      <c r="W685" s="76"/>
      <c r="X685" s="76"/>
    </row>
    <row r="686" ht="18.0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 t="s">
        <v>3235</v>
      </c>
      <c r="L686" s="76"/>
      <c r="M686" s="76" t="s">
        <v>3236</v>
      </c>
      <c r="N686" s="76"/>
      <c r="O686" s="76"/>
      <c r="P686" s="76"/>
      <c r="Q686" s="76"/>
      <c r="R686" s="76"/>
      <c r="S686" s="76"/>
      <c r="T686" s="76"/>
      <c r="U686" s="76" t="s">
        <v>3237</v>
      </c>
      <c r="V686" s="76"/>
      <c r="W686" s="76"/>
      <c r="X686" s="76"/>
    </row>
    <row r="687" ht="18.0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 t="s">
        <v>3238</v>
      </c>
      <c r="L687" s="76"/>
      <c r="M687" s="76" t="s">
        <v>3239</v>
      </c>
      <c r="N687" s="76"/>
      <c r="O687" s="76"/>
      <c r="P687" s="76"/>
      <c r="Q687" s="76"/>
      <c r="R687" s="76"/>
      <c r="S687" s="76"/>
      <c r="T687" s="76"/>
      <c r="U687" s="76" t="s">
        <v>3240</v>
      </c>
      <c r="V687" s="76"/>
      <c r="W687" s="76"/>
      <c r="X687" s="76"/>
    </row>
    <row r="688" ht="18.0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 t="s">
        <v>3241</v>
      </c>
      <c r="L688" s="76"/>
      <c r="M688" s="76" t="s">
        <v>3242</v>
      </c>
      <c r="N688" s="76"/>
      <c r="O688" s="76"/>
      <c r="P688" s="76"/>
      <c r="Q688" s="76"/>
      <c r="R688" s="76"/>
      <c r="S688" s="76"/>
      <c r="T688" s="76"/>
      <c r="U688" s="76" t="s">
        <v>3243</v>
      </c>
      <c r="V688" s="76"/>
      <c r="W688" s="76"/>
      <c r="X688" s="76"/>
    </row>
    <row r="689" ht="18.0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 t="s">
        <v>3244</v>
      </c>
      <c r="L689" s="76"/>
      <c r="M689" s="76" t="s">
        <v>3245</v>
      </c>
      <c r="N689" s="76"/>
      <c r="O689" s="76"/>
      <c r="P689" s="76"/>
      <c r="Q689" s="76"/>
      <c r="R689" s="76"/>
      <c r="S689" s="76"/>
      <c r="T689" s="76"/>
      <c r="U689" s="76" t="s">
        <v>3246</v>
      </c>
      <c r="V689" s="76"/>
      <c r="W689" s="76"/>
      <c r="X689" s="76"/>
    </row>
    <row r="690" ht="18.0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 t="s">
        <v>3247</v>
      </c>
      <c r="L690" s="76"/>
      <c r="M690" s="76" t="s">
        <v>3248</v>
      </c>
      <c r="N690" s="76"/>
      <c r="O690" s="76"/>
      <c r="P690" s="76"/>
      <c r="Q690" s="76"/>
      <c r="R690" s="76"/>
      <c r="S690" s="76"/>
      <c r="T690" s="76"/>
      <c r="U690" s="76" t="s">
        <v>3249</v>
      </c>
      <c r="V690" s="76"/>
      <c r="W690" s="76"/>
      <c r="X690" s="76"/>
    </row>
    <row r="691" ht="18.0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 t="s">
        <v>3250</v>
      </c>
      <c r="L691" s="76"/>
      <c r="M691" s="76" t="s">
        <v>3251</v>
      </c>
      <c r="N691" s="76"/>
      <c r="O691" s="76"/>
      <c r="P691" s="76"/>
      <c r="Q691" s="76"/>
      <c r="R691" s="76"/>
      <c r="S691" s="76"/>
      <c r="T691" s="76"/>
      <c r="U691" s="76" t="s">
        <v>3252</v>
      </c>
      <c r="V691" s="76"/>
      <c r="W691" s="76"/>
      <c r="X691" s="76"/>
    </row>
    <row r="692" ht="18.0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 t="s">
        <v>3253</v>
      </c>
      <c r="L692" s="76"/>
      <c r="M692" s="76" t="s">
        <v>3254</v>
      </c>
      <c r="N692" s="76"/>
      <c r="O692" s="76"/>
      <c r="P692" s="76"/>
      <c r="Q692" s="76"/>
      <c r="R692" s="76"/>
      <c r="S692" s="76"/>
      <c r="T692" s="76"/>
      <c r="U692" s="76" t="s">
        <v>3255</v>
      </c>
      <c r="V692" s="76"/>
      <c r="W692" s="76"/>
      <c r="X692" s="76"/>
    </row>
    <row r="693" ht="18.0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 t="s">
        <v>3256</v>
      </c>
      <c r="L693" s="76"/>
      <c r="M693" s="76" t="s">
        <v>3257</v>
      </c>
      <c r="N693" s="76"/>
      <c r="O693" s="76"/>
      <c r="P693" s="76"/>
      <c r="Q693" s="76"/>
      <c r="R693" s="76"/>
      <c r="S693" s="76"/>
      <c r="T693" s="76"/>
      <c r="U693" s="76" t="s">
        <v>3259</v>
      </c>
      <c r="V693" s="76"/>
      <c r="W693" s="76"/>
      <c r="X693" s="76"/>
    </row>
    <row r="694" ht="18.0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 t="s">
        <v>3260</v>
      </c>
      <c r="L694" s="76"/>
      <c r="M694" s="76" t="s">
        <v>3261</v>
      </c>
      <c r="N694" s="76"/>
      <c r="O694" s="76"/>
      <c r="P694" s="76"/>
      <c r="Q694" s="76"/>
      <c r="R694" s="76"/>
      <c r="S694" s="76"/>
      <c r="T694" s="76"/>
      <c r="U694" s="76" t="s">
        <v>3262</v>
      </c>
      <c r="V694" s="76"/>
      <c r="W694" s="76"/>
      <c r="X694" s="76"/>
    </row>
    <row r="695" ht="18.0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 t="s">
        <v>3263</v>
      </c>
      <c r="L695" s="76"/>
      <c r="M695" s="76" t="s">
        <v>3264</v>
      </c>
      <c r="N695" s="76"/>
      <c r="O695" s="76"/>
      <c r="P695" s="76"/>
      <c r="Q695" s="76"/>
      <c r="R695" s="76"/>
      <c r="S695" s="76"/>
      <c r="T695" s="76"/>
      <c r="U695" s="76" t="s">
        <v>3265</v>
      </c>
      <c r="V695" s="76"/>
      <c r="W695" s="76"/>
      <c r="X695" s="76"/>
    </row>
    <row r="696" ht="18.0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 t="s">
        <v>3266</v>
      </c>
      <c r="L696" s="76"/>
      <c r="M696" s="76" t="s">
        <v>3267</v>
      </c>
      <c r="N696" s="76"/>
      <c r="O696" s="76"/>
      <c r="P696" s="76"/>
      <c r="Q696" s="76"/>
      <c r="R696" s="76"/>
      <c r="S696" s="76"/>
      <c r="T696" s="76"/>
      <c r="U696" s="76" t="s">
        <v>3269</v>
      </c>
      <c r="V696" s="76"/>
      <c r="W696" s="76"/>
      <c r="X696" s="76"/>
    </row>
    <row r="697" ht="18.0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 t="s">
        <v>3270</v>
      </c>
      <c r="L697" s="76"/>
      <c r="M697" s="76" t="s">
        <v>3271</v>
      </c>
      <c r="N697" s="76"/>
      <c r="O697" s="76"/>
      <c r="P697" s="76"/>
      <c r="Q697" s="76"/>
      <c r="R697" s="76"/>
      <c r="S697" s="76"/>
      <c r="T697" s="76"/>
      <c r="U697" s="76" t="s">
        <v>3272</v>
      </c>
      <c r="V697" s="76"/>
      <c r="W697" s="76"/>
      <c r="X697" s="76"/>
    </row>
    <row r="698" ht="18.0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 t="s">
        <v>3273</v>
      </c>
      <c r="L698" s="76"/>
      <c r="M698" s="76" t="s">
        <v>3274</v>
      </c>
      <c r="N698" s="76"/>
      <c r="O698" s="76"/>
      <c r="P698" s="76"/>
      <c r="Q698" s="76"/>
      <c r="R698" s="76"/>
      <c r="S698" s="76"/>
      <c r="T698" s="76"/>
      <c r="U698" s="76" t="s">
        <v>3275</v>
      </c>
      <c r="V698" s="76"/>
      <c r="W698" s="76"/>
      <c r="X698" s="76"/>
    </row>
    <row r="699" ht="18.0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 t="s">
        <v>3276</v>
      </c>
      <c r="L699" s="76"/>
      <c r="M699" s="76" t="s">
        <v>3277</v>
      </c>
      <c r="N699" s="76"/>
      <c r="O699" s="76"/>
      <c r="P699" s="76"/>
      <c r="Q699" s="76"/>
      <c r="R699" s="76"/>
      <c r="S699" s="76"/>
      <c r="T699" s="76"/>
      <c r="U699" s="76" t="s">
        <v>3278</v>
      </c>
      <c r="V699" s="76"/>
      <c r="W699" s="76"/>
      <c r="X699" s="76"/>
    </row>
    <row r="700" ht="18.0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 t="s">
        <v>3282</v>
      </c>
      <c r="L700" s="76"/>
      <c r="M700" s="76" t="s">
        <v>3283</v>
      </c>
      <c r="N700" s="76"/>
      <c r="O700" s="76"/>
      <c r="P700" s="76"/>
      <c r="Q700" s="76"/>
      <c r="R700" s="76"/>
      <c r="S700" s="76"/>
      <c r="T700" s="76"/>
      <c r="U700" s="76" t="s">
        <v>3284</v>
      </c>
      <c r="V700" s="76"/>
      <c r="W700" s="76"/>
      <c r="X700" s="76"/>
    </row>
    <row r="701" ht="18.0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 t="s">
        <v>3285</v>
      </c>
      <c r="L701" s="76"/>
      <c r="M701" s="76" t="s">
        <v>3286</v>
      </c>
      <c r="N701" s="76"/>
      <c r="O701" s="76"/>
      <c r="P701" s="76"/>
      <c r="Q701" s="76"/>
      <c r="R701" s="76"/>
      <c r="S701" s="76"/>
      <c r="T701" s="76"/>
      <c r="U701" s="76" t="s">
        <v>3287</v>
      </c>
      <c r="V701" s="76"/>
      <c r="W701" s="76"/>
      <c r="X701" s="76"/>
    </row>
    <row r="702" ht="18.0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 t="s">
        <v>3288</v>
      </c>
      <c r="L702" s="76"/>
      <c r="M702" s="76" t="s">
        <v>3289</v>
      </c>
      <c r="N702" s="76"/>
      <c r="O702" s="76"/>
      <c r="P702" s="76"/>
      <c r="Q702" s="76"/>
      <c r="R702" s="76"/>
      <c r="S702" s="76"/>
      <c r="T702" s="76"/>
      <c r="U702" s="76" t="s">
        <v>3290</v>
      </c>
      <c r="V702" s="76"/>
      <c r="W702" s="76"/>
      <c r="X702" s="76"/>
    </row>
    <row r="703" ht="18.0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 t="s">
        <v>3291</v>
      </c>
      <c r="L703" s="76"/>
      <c r="M703" s="76" t="s">
        <v>3292</v>
      </c>
      <c r="N703" s="76"/>
      <c r="O703" s="76"/>
      <c r="P703" s="76"/>
      <c r="Q703" s="76"/>
      <c r="R703" s="76"/>
      <c r="S703" s="76"/>
      <c r="T703" s="76"/>
      <c r="U703" s="76" t="s">
        <v>3293</v>
      </c>
      <c r="V703" s="76"/>
      <c r="W703" s="76"/>
      <c r="X703" s="76"/>
    </row>
    <row r="704" ht="18.0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 t="s">
        <v>3294</v>
      </c>
      <c r="L704" s="76"/>
      <c r="M704" s="76" t="s">
        <v>3295</v>
      </c>
      <c r="N704" s="76"/>
      <c r="O704" s="76"/>
      <c r="P704" s="76"/>
      <c r="Q704" s="76"/>
      <c r="R704" s="76"/>
      <c r="S704" s="76"/>
      <c r="T704" s="76"/>
      <c r="U704" s="76" t="s">
        <v>3297</v>
      </c>
      <c r="V704" s="76"/>
      <c r="W704" s="76"/>
      <c r="X704" s="76"/>
    </row>
    <row r="705" ht="18.0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 t="s">
        <v>3298</v>
      </c>
      <c r="L705" s="76"/>
      <c r="M705" s="76" t="s">
        <v>3299</v>
      </c>
      <c r="N705" s="76"/>
      <c r="O705" s="76"/>
      <c r="P705" s="76"/>
      <c r="Q705" s="76"/>
      <c r="R705" s="76"/>
      <c r="S705" s="76"/>
      <c r="T705" s="76"/>
      <c r="U705" s="76" t="s">
        <v>3300</v>
      </c>
      <c r="V705" s="76"/>
      <c r="W705" s="76"/>
      <c r="X705" s="76"/>
    </row>
    <row r="706" ht="18.0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 t="s">
        <v>3301</v>
      </c>
      <c r="L706" s="76"/>
      <c r="M706" s="76" t="s">
        <v>3302</v>
      </c>
      <c r="N706" s="76"/>
      <c r="O706" s="76"/>
      <c r="P706" s="76"/>
      <c r="Q706" s="76"/>
      <c r="R706" s="76"/>
      <c r="S706" s="76"/>
      <c r="T706" s="76"/>
      <c r="U706" s="76" t="s">
        <v>3303</v>
      </c>
      <c r="V706" s="76"/>
      <c r="W706" s="76"/>
      <c r="X706" s="76"/>
    </row>
    <row r="707" ht="18.0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 t="s">
        <v>3304</v>
      </c>
      <c r="L707" s="76"/>
      <c r="M707" s="76" t="s">
        <v>3305</v>
      </c>
      <c r="N707" s="76"/>
      <c r="O707" s="76"/>
      <c r="P707" s="76"/>
      <c r="Q707" s="76"/>
      <c r="R707" s="76"/>
      <c r="S707" s="76"/>
      <c r="T707" s="76"/>
      <c r="U707" s="76" t="s">
        <v>3306</v>
      </c>
      <c r="V707" s="76"/>
      <c r="W707" s="76"/>
      <c r="X707" s="76"/>
    </row>
    <row r="708" ht="18.0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 t="s">
        <v>3307</v>
      </c>
      <c r="L708" s="76"/>
      <c r="M708" s="76" t="s">
        <v>3087</v>
      </c>
      <c r="N708" s="76"/>
      <c r="O708" s="76"/>
      <c r="P708" s="76"/>
      <c r="Q708" s="76"/>
      <c r="R708" s="76"/>
      <c r="S708" s="76"/>
      <c r="T708" s="76"/>
      <c r="U708" s="76" t="s">
        <v>3308</v>
      </c>
      <c r="V708" s="76"/>
      <c r="W708" s="76"/>
      <c r="X708" s="76"/>
    </row>
    <row r="709" ht="18.0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 t="s">
        <v>3310</v>
      </c>
      <c r="L709" s="76"/>
      <c r="M709" s="76" t="s">
        <v>3128</v>
      </c>
      <c r="N709" s="76"/>
      <c r="O709" s="76"/>
      <c r="P709" s="76"/>
      <c r="Q709" s="76"/>
      <c r="R709" s="76"/>
      <c r="S709" s="76"/>
      <c r="T709" s="76"/>
      <c r="U709" s="76" t="s">
        <v>3311</v>
      </c>
      <c r="V709" s="76"/>
      <c r="W709" s="76"/>
      <c r="X709" s="76"/>
    </row>
    <row r="710" ht="18.0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 t="s">
        <v>3312</v>
      </c>
      <c r="L710" s="76"/>
      <c r="M710" s="76" t="s">
        <v>3313</v>
      </c>
      <c r="N710" s="76"/>
      <c r="O710" s="76"/>
      <c r="P710" s="76"/>
      <c r="Q710" s="76"/>
      <c r="R710" s="76"/>
      <c r="S710" s="76"/>
      <c r="T710" s="76"/>
      <c r="U710" s="76" t="s">
        <v>3314</v>
      </c>
      <c r="V710" s="76"/>
      <c r="W710" s="76"/>
      <c r="X710" s="76"/>
    </row>
    <row r="711" ht="18.0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 t="s">
        <v>3315</v>
      </c>
      <c r="L711" s="76"/>
      <c r="M711" s="76" t="s">
        <v>3316</v>
      </c>
      <c r="N711" s="76"/>
      <c r="O711" s="76"/>
      <c r="P711" s="76"/>
      <c r="Q711" s="76"/>
      <c r="R711" s="76"/>
      <c r="S711" s="76"/>
      <c r="T711" s="76"/>
      <c r="U711" s="76" t="s">
        <v>3317</v>
      </c>
      <c r="V711" s="76"/>
      <c r="W711" s="76"/>
      <c r="X711" s="76"/>
    </row>
    <row r="712" ht="18.0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 t="s">
        <v>3318</v>
      </c>
      <c r="L712" s="76"/>
      <c r="M712" s="76" t="s">
        <v>3319</v>
      </c>
      <c r="N712" s="76"/>
      <c r="O712" s="76"/>
      <c r="P712" s="76"/>
      <c r="Q712" s="76"/>
      <c r="R712" s="76"/>
      <c r="S712" s="76"/>
      <c r="T712" s="76"/>
      <c r="U712" s="76" t="s">
        <v>3320</v>
      </c>
      <c r="V712" s="76"/>
      <c r="W712" s="76"/>
      <c r="X712" s="76"/>
    </row>
    <row r="713" ht="18.0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 t="s">
        <v>3322</v>
      </c>
      <c r="L713" s="76"/>
      <c r="M713" s="76" t="s">
        <v>3323</v>
      </c>
      <c r="N713" s="76"/>
      <c r="O713" s="76"/>
      <c r="P713" s="76"/>
      <c r="Q713" s="76"/>
      <c r="R713" s="76"/>
      <c r="S713" s="76"/>
      <c r="T713" s="76"/>
      <c r="U713" s="76" t="s">
        <v>3324</v>
      </c>
      <c r="V713" s="76"/>
      <c r="W713" s="76"/>
      <c r="X713" s="76"/>
    </row>
    <row r="714" ht="18.0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 t="s">
        <v>3325</v>
      </c>
      <c r="L714" s="76"/>
      <c r="M714" s="76" t="s">
        <v>3078</v>
      </c>
      <c r="N714" s="76"/>
      <c r="O714" s="76"/>
      <c r="P714" s="76"/>
      <c r="Q714" s="76"/>
      <c r="R714" s="76"/>
      <c r="S714" s="76"/>
      <c r="T714" s="76"/>
      <c r="U714" s="76" t="s">
        <v>3326</v>
      </c>
      <c r="V714" s="76"/>
      <c r="W714" s="76"/>
      <c r="X714" s="76"/>
    </row>
    <row r="715" ht="18.0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 t="s">
        <v>3327</v>
      </c>
      <c r="L715" s="76"/>
      <c r="M715" s="76" t="s">
        <v>3328</v>
      </c>
      <c r="N715" s="76"/>
      <c r="O715" s="76"/>
      <c r="P715" s="76"/>
      <c r="Q715" s="76"/>
      <c r="R715" s="76"/>
      <c r="S715" s="76"/>
      <c r="T715" s="76"/>
      <c r="U715" s="76" t="s">
        <v>3329</v>
      </c>
      <c r="V715" s="76"/>
      <c r="W715" s="76"/>
      <c r="X715" s="76"/>
    </row>
    <row r="716" ht="18.0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 t="s">
        <v>3330</v>
      </c>
      <c r="L716" s="76"/>
      <c r="M716" s="76" t="s">
        <v>3331</v>
      </c>
      <c r="N716" s="76"/>
      <c r="O716" s="76"/>
      <c r="P716" s="76"/>
      <c r="Q716" s="76"/>
      <c r="R716" s="76"/>
      <c r="S716" s="76"/>
      <c r="T716" s="76"/>
      <c r="U716" s="76" t="s">
        <v>3332</v>
      </c>
      <c r="V716" s="76"/>
      <c r="W716" s="76"/>
      <c r="X716" s="76"/>
    </row>
    <row r="717" ht="18.0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 t="s">
        <v>3334</v>
      </c>
      <c r="L717" s="76"/>
      <c r="M717" s="76" t="s">
        <v>3335</v>
      </c>
      <c r="N717" s="76"/>
      <c r="O717" s="76"/>
      <c r="P717" s="76"/>
      <c r="Q717" s="76"/>
      <c r="R717" s="76"/>
      <c r="S717" s="76"/>
      <c r="T717" s="76"/>
      <c r="U717" s="76" t="s">
        <v>3336</v>
      </c>
      <c r="V717" s="76"/>
      <c r="W717" s="76"/>
      <c r="X717" s="76"/>
    </row>
    <row r="718" ht="18.0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 t="s">
        <v>3337</v>
      </c>
      <c r="L718" s="76"/>
      <c r="M718" s="76" t="s">
        <v>3338</v>
      </c>
      <c r="N718" s="76"/>
      <c r="O718" s="76"/>
      <c r="P718" s="76"/>
      <c r="Q718" s="76"/>
      <c r="R718" s="76"/>
      <c r="S718" s="76"/>
      <c r="T718" s="76"/>
      <c r="U718" s="76" t="s">
        <v>3339</v>
      </c>
      <c r="V718" s="76"/>
      <c r="W718" s="76"/>
      <c r="X718" s="76"/>
    </row>
    <row r="719" ht="18.0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 t="s">
        <v>3341</v>
      </c>
      <c r="L719" s="76"/>
      <c r="M719" s="76" t="s">
        <v>3342</v>
      </c>
      <c r="N719" s="76"/>
      <c r="O719" s="76"/>
      <c r="P719" s="76"/>
      <c r="Q719" s="76"/>
      <c r="R719" s="76"/>
      <c r="S719" s="76"/>
      <c r="T719" s="76"/>
      <c r="U719" s="76" t="s">
        <v>3343</v>
      </c>
      <c r="V719" s="76"/>
      <c r="W719" s="76"/>
      <c r="X719" s="76"/>
    </row>
    <row r="720" ht="18.0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 t="s">
        <v>3344</v>
      </c>
      <c r="L720" s="76"/>
      <c r="M720" s="76" t="s">
        <v>3073</v>
      </c>
      <c r="N720" s="76"/>
      <c r="O720" s="76"/>
      <c r="P720" s="76"/>
      <c r="Q720" s="76"/>
      <c r="R720" s="76"/>
      <c r="S720" s="76"/>
      <c r="T720" s="76"/>
      <c r="U720" s="76" t="s">
        <v>3345</v>
      </c>
      <c r="V720" s="76"/>
      <c r="W720" s="76"/>
      <c r="X720" s="76"/>
    </row>
    <row r="721" ht="18.0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 t="s">
        <v>3346</v>
      </c>
      <c r="L721" s="76"/>
      <c r="M721" s="76" t="s">
        <v>3347</v>
      </c>
      <c r="N721" s="76"/>
      <c r="O721" s="76"/>
      <c r="P721" s="76"/>
      <c r="Q721" s="76"/>
      <c r="R721" s="76"/>
      <c r="S721" s="76"/>
      <c r="T721" s="76"/>
      <c r="U721" s="76" t="s">
        <v>3348</v>
      </c>
      <c r="V721" s="76"/>
      <c r="W721" s="76"/>
      <c r="X721" s="76"/>
    </row>
    <row r="722" ht="18.0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 t="s">
        <v>3349</v>
      </c>
      <c r="L722" s="76"/>
      <c r="M722" s="76" t="s">
        <v>3350</v>
      </c>
      <c r="N722" s="76"/>
      <c r="O722" s="76"/>
      <c r="P722" s="76"/>
      <c r="Q722" s="76"/>
      <c r="R722" s="76"/>
      <c r="S722" s="76"/>
      <c r="T722" s="76"/>
      <c r="U722" s="76" t="s">
        <v>3351</v>
      </c>
      <c r="V722" s="76"/>
      <c r="W722" s="76"/>
      <c r="X722" s="76"/>
    </row>
    <row r="723" ht="18.0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 t="s">
        <v>3352</v>
      </c>
      <c r="L723" s="76"/>
      <c r="M723" s="76" t="s">
        <v>3353</v>
      </c>
      <c r="N723" s="76"/>
      <c r="O723" s="76"/>
      <c r="P723" s="76"/>
      <c r="Q723" s="76"/>
      <c r="R723" s="76"/>
      <c r="S723" s="76"/>
      <c r="T723" s="76"/>
      <c r="U723" s="76" t="s">
        <v>3354</v>
      </c>
      <c r="V723" s="76"/>
      <c r="W723" s="76"/>
      <c r="X723" s="76"/>
    </row>
    <row r="724" ht="18.0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 t="s">
        <v>3355</v>
      </c>
      <c r="L724" s="76"/>
      <c r="M724" s="76" t="s">
        <v>3356</v>
      </c>
      <c r="N724" s="76"/>
      <c r="O724" s="76"/>
      <c r="P724" s="76"/>
      <c r="Q724" s="76"/>
      <c r="R724" s="76"/>
      <c r="S724" s="76"/>
      <c r="T724" s="76"/>
      <c r="U724" s="76" t="s">
        <v>3357</v>
      </c>
      <c r="V724" s="76"/>
      <c r="W724" s="76"/>
      <c r="X724" s="76"/>
    </row>
    <row r="725" ht="18.0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 t="s">
        <v>3358</v>
      </c>
      <c r="L725" s="76"/>
      <c r="M725" s="76" t="s">
        <v>3359</v>
      </c>
      <c r="N725" s="76"/>
      <c r="O725" s="76"/>
      <c r="P725" s="76"/>
      <c r="Q725" s="76"/>
      <c r="R725" s="76"/>
      <c r="S725" s="76"/>
      <c r="T725" s="76"/>
      <c r="U725" s="76" t="s">
        <v>3360</v>
      </c>
      <c r="V725" s="76"/>
      <c r="W725" s="76"/>
      <c r="X725" s="76"/>
    </row>
    <row r="726" ht="18.0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 t="s">
        <v>3362</v>
      </c>
      <c r="L726" s="76"/>
      <c r="M726" s="76" t="s">
        <v>3363</v>
      </c>
      <c r="N726" s="76"/>
      <c r="O726" s="76"/>
      <c r="P726" s="76"/>
      <c r="Q726" s="76"/>
      <c r="R726" s="76"/>
      <c r="S726" s="76"/>
      <c r="T726" s="76"/>
      <c r="U726" s="76" t="s">
        <v>3364</v>
      </c>
      <c r="V726" s="76"/>
      <c r="W726" s="76"/>
      <c r="X726" s="76"/>
    </row>
    <row r="727" ht="18.0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 t="s">
        <v>3365</v>
      </c>
      <c r="L727" s="76"/>
      <c r="M727" s="76" t="s">
        <v>3366</v>
      </c>
      <c r="N727" s="76"/>
      <c r="O727" s="76"/>
      <c r="P727" s="76"/>
      <c r="Q727" s="76"/>
      <c r="R727" s="76"/>
      <c r="S727" s="76"/>
      <c r="T727" s="76"/>
      <c r="U727" s="76" t="s">
        <v>3367</v>
      </c>
      <c r="V727" s="76"/>
      <c r="W727" s="76"/>
      <c r="X727" s="76"/>
    </row>
    <row r="728" ht="18.0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 t="s">
        <v>3369</v>
      </c>
      <c r="L728" s="76"/>
      <c r="M728" s="76" t="s">
        <v>3370</v>
      </c>
      <c r="N728" s="76"/>
      <c r="O728" s="76"/>
      <c r="P728" s="76"/>
      <c r="Q728" s="76"/>
      <c r="R728" s="76"/>
      <c r="S728" s="76"/>
      <c r="T728" s="76"/>
      <c r="U728" s="76" t="s">
        <v>3371</v>
      </c>
      <c r="V728" s="76"/>
      <c r="W728" s="76"/>
      <c r="X728" s="76"/>
    </row>
    <row r="729" ht="18.0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 t="s">
        <v>3372</v>
      </c>
      <c r="L729" s="76"/>
      <c r="M729" s="76" t="s">
        <v>3373</v>
      </c>
      <c r="N729" s="76"/>
      <c r="O729" s="76"/>
      <c r="P729" s="76"/>
      <c r="Q729" s="76"/>
      <c r="R729" s="76"/>
      <c r="S729" s="76"/>
      <c r="T729" s="76"/>
      <c r="U729" s="76" t="s">
        <v>3374</v>
      </c>
      <c r="V729" s="76"/>
      <c r="W729" s="76"/>
      <c r="X729" s="76"/>
    </row>
    <row r="730" ht="18.0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 t="s">
        <v>3375</v>
      </c>
      <c r="L730" s="76"/>
      <c r="M730" s="76" t="s">
        <v>3376</v>
      </c>
      <c r="N730" s="76"/>
      <c r="O730" s="76"/>
      <c r="P730" s="76"/>
      <c r="Q730" s="76"/>
      <c r="R730" s="76"/>
      <c r="S730" s="76"/>
      <c r="T730" s="76"/>
      <c r="U730" s="76" t="s">
        <v>3377</v>
      </c>
      <c r="V730" s="76"/>
      <c r="W730" s="76"/>
      <c r="X730" s="76"/>
    </row>
    <row r="731" ht="18.0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 t="s">
        <v>3378</v>
      </c>
      <c r="L731" s="76"/>
      <c r="M731" s="76" t="s">
        <v>3379</v>
      </c>
      <c r="N731" s="76"/>
      <c r="O731" s="76"/>
      <c r="P731" s="76"/>
      <c r="Q731" s="76"/>
      <c r="R731" s="76"/>
      <c r="S731" s="76"/>
      <c r="T731" s="76"/>
      <c r="U731" s="76" t="s">
        <v>3380</v>
      </c>
      <c r="V731" s="76"/>
      <c r="W731" s="76"/>
      <c r="X731" s="76"/>
    </row>
    <row r="732" ht="18.0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 t="s">
        <v>3381</v>
      </c>
      <c r="L732" s="76"/>
      <c r="M732" s="76" t="s">
        <v>3382</v>
      </c>
      <c r="N732" s="76"/>
      <c r="O732" s="76"/>
      <c r="P732" s="76"/>
      <c r="Q732" s="76"/>
      <c r="R732" s="76"/>
      <c r="S732" s="76"/>
      <c r="T732" s="76"/>
      <c r="U732" s="76" t="s">
        <v>3383</v>
      </c>
      <c r="V732" s="76"/>
      <c r="W732" s="76"/>
      <c r="X732" s="76"/>
    </row>
    <row r="733" ht="18.0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 t="s">
        <v>3384</v>
      </c>
      <c r="L733" s="76"/>
      <c r="M733" s="76" t="s">
        <v>3385</v>
      </c>
      <c r="N733" s="76"/>
      <c r="O733" s="76"/>
      <c r="P733" s="76"/>
      <c r="Q733" s="76"/>
      <c r="R733" s="76"/>
      <c r="S733" s="76"/>
      <c r="T733" s="76"/>
      <c r="U733" s="76" t="s">
        <v>3386</v>
      </c>
      <c r="V733" s="76"/>
      <c r="W733" s="76"/>
      <c r="X733" s="76"/>
    </row>
    <row r="734" ht="18.0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 t="s">
        <v>3388</v>
      </c>
      <c r="L734" s="76"/>
      <c r="M734" s="76" t="s">
        <v>3389</v>
      </c>
      <c r="N734" s="76"/>
      <c r="O734" s="76"/>
      <c r="P734" s="76"/>
      <c r="Q734" s="76"/>
      <c r="R734" s="76"/>
      <c r="S734" s="76"/>
      <c r="T734" s="76"/>
      <c r="U734" s="76" t="s">
        <v>3390</v>
      </c>
      <c r="V734" s="76"/>
      <c r="W734" s="76"/>
      <c r="X734" s="76"/>
    </row>
    <row r="735" ht="18.0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 t="s">
        <v>3391</v>
      </c>
      <c r="L735" s="76"/>
      <c r="M735" s="76" t="s">
        <v>3392</v>
      </c>
      <c r="N735" s="76"/>
      <c r="O735" s="76"/>
      <c r="P735" s="76"/>
      <c r="Q735" s="76"/>
      <c r="R735" s="76"/>
      <c r="S735" s="76"/>
      <c r="T735" s="76"/>
      <c r="U735" s="76" t="s">
        <v>3393</v>
      </c>
      <c r="V735" s="76"/>
      <c r="W735" s="76"/>
      <c r="X735" s="76"/>
    </row>
    <row r="736" ht="18.0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 t="s">
        <v>3394</v>
      </c>
      <c r="L736" s="76"/>
      <c r="M736" s="76" t="s">
        <v>3395</v>
      </c>
      <c r="N736" s="76"/>
      <c r="O736" s="76"/>
      <c r="P736" s="76"/>
      <c r="Q736" s="76"/>
      <c r="R736" s="76"/>
      <c r="S736" s="76"/>
      <c r="T736" s="76"/>
      <c r="U736" s="76" t="s">
        <v>3396</v>
      </c>
      <c r="V736" s="76"/>
      <c r="W736" s="76"/>
      <c r="X736" s="76"/>
    </row>
    <row r="737" ht="18.0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 t="s">
        <v>3397</v>
      </c>
      <c r="L737" s="76"/>
      <c r="M737" s="76" t="s">
        <v>3398</v>
      </c>
      <c r="N737" s="76"/>
      <c r="O737" s="76"/>
      <c r="P737" s="76"/>
      <c r="Q737" s="76"/>
      <c r="R737" s="76"/>
      <c r="S737" s="76"/>
      <c r="T737" s="76"/>
      <c r="U737" s="76" t="s">
        <v>3399</v>
      </c>
      <c r="V737" s="76"/>
      <c r="W737" s="76"/>
      <c r="X737" s="76"/>
    </row>
    <row r="738" ht="18.0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 t="s">
        <v>3400</v>
      </c>
      <c r="L738" s="76"/>
      <c r="M738" s="76" t="s">
        <v>3401</v>
      </c>
      <c r="N738" s="76"/>
      <c r="O738" s="76"/>
      <c r="P738" s="76"/>
      <c r="Q738" s="76"/>
      <c r="R738" s="76"/>
      <c r="S738" s="76"/>
      <c r="T738" s="76"/>
      <c r="U738" s="76" t="s">
        <v>3402</v>
      </c>
      <c r="V738" s="76"/>
      <c r="W738" s="76"/>
      <c r="X738" s="76"/>
    </row>
    <row r="739" ht="18.0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 t="s">
        <v>3403</v>
      </c>
      <c r="L739" s="76"/>
      <c r="M739" s="76" t="s">
        <v>3404</v>
      </c>
      <c r="N739" s="76"/>
      <c r="O739" s="76"/>
      <c r="P739" s="76"/>
      <c r="Q739" s="76"/>
      <c r="R739" s="76"/>
      <c r="S739" s="76"/>
      <c r="T739" s="76"/>
      <c r="U739" s="76" t="s">
        <v>3405</v>
      </c>
      <c r="V739" s="76"/>
      <c r="W739" s="76"/>
      <c r="X739" s="76"/>
    </row>
    <row r="740" ht="18.0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 t="s">
        <v>3406</v>
      </c>
      <c r="L740" s="76"/>
      <c r="M740" s="76" t="s">
        <v>3407</v>
      </c>
      <c r="N740" s="76"/>
      <c r="O740" s="76"/>
      <c r="P740" s="76"/>
      <c r="Q740" s="76"/>
      <c r="R740" s="76"/>
      <c r="S740" s="76"/>
      <c r="T740" s="76"/>
      <c r="U740" s="76" t="s">
        <v>3408</v>
      </c>
      <c r="V740" s="76"/>
      <c r="W740" s="76"/>
      <c r="X740" s="76"/>
    </row>
    <row r="741" ht="18.0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 t="s">
        <v>3409</v>
      </c>
      <c r="L741" s="76"/>
      <c r="M741" s="76" t="s">
        <v>3410</v>
      </c>
      <c r="N741" s="76"/>
      <c r="O741" s="76"/>
      <c r="P741" s="76"/>
      <c r="Q741" s="76"/>
      <c r="R741" s="76"/>
      <c r="S741" s="76"/>
      <c r="T741" s="76"/>
      <c r="U741" s="76" t="s">
        <v>3411</v>
      </c>
      <c r="V741" s="76"/>
      <c r="W741" s="76"/>
      <c r="X741" s="76"/>
    </row>
    <row r="742" ht="18.0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 t="s">
        <v>3412</v>
      </c>
      <c r="L742" s="76"/>
      <c r="M742" s="76" t="s">
        <v>3413</v>
      </c>
      <c r="N742" s="76"/>
      <c r="O742" s="76"/>
      <c r="P742" s="76"/>
      <c r="Q742" s="76"/>
      <c r="R742" s="76"/>
      <c r="S742" s="76"/>
      <c r="T742" s="76"/>
      <c r="U742" s="76" t="s">
        <v>3414</v>
      </c>
      <c r="V742" s="76"/>
      <c r="W742" s="76"/>
      <c r="X742" s="76"/>
    </row>
    <row r="743" ht="18.0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 t="s">
        <v>3415</v>
      </c>
      <c r="L743" s="76"/>
      <c r="M743" s="76" t="s">
        <v>3416</v>
      </c>
      <c r="N743" s="76"/>
      <c r="O743" s="76"/>
      <c r="P743" s="76"/>
      <c r="Q743" s="76"/>
      <c r="R743" s="76"/>
      <c r="S743" s="76"/>
      <c r="T743" s="76"/>
      <c r="U743" s="76" t="s">
        <v>3417</v>
      </c>
      <c r="V743" s="76"/>
      <c r="W743" s="76"/>
      <c r="X743" s="76"/>
    </row>
    <row r="744" ht="18.0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 t="s">
        <v>3418</v>
      </c>
      <c r="L744" s="76"/>
      <c r="M744" s="76" t="s">
        <v>3419</v>
      </c>
      <c r="N744" s="76"/>
      <c r="O744" s="76"/>
      <c r="P744" s="76"/>
      <c r="Q744" s="76"/>
      <c r="R744" s="76"/>
      <c r="S744" s="76"/>
      <c r="T744" s="76"/>
      <c r="U744" s="76" t="s">
        <v>3420</v>
      </c>
      <c r="V744" s="76"/>
      <c r="W744" s="76"/>
      <c r="X744" s="76"/>
    </row>
    <row r="745" ht="18.0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 t="s">
        <v>3421</v>
      </c>
      <c r="L745" s="76"/>
      <c r="M745" s="76" t="s">
        <v>3422</v>
      </c>
      <c r="N745" s="76"/>
      <c r="O745" s="76"/>
      <c r="P745" s="76"/>
      <c r="Q745" s="76"/>
      <c r="R745" s="76"/>
      <c r="S745" s="76"/>
      <c r="T745" s="76"/>
      <c r="U745" s="76" t="s">
        <v>3423</v>
      </c>
      <c r="V745" s="76"/>
      <c r="W745" s="76"/>
      <c r="X745" s="76"/>
    </row>
    <row r="746" ht="18.0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 t="s">
        <v>3424</v>
      </c>
      <c r="L746" s="76"/>
      <c r="M746" s="76" t="s">
        <v>3425</v>
      </c>
      <c r="N746" s="76"/>
      <c r="O746" s="76"/>
      <c r="P746" s="76"/>
      <c r="Q746" s="76"/>
      <c r="R746" s="76"/>
      <c r="S746" s="76"/>
      <c r="T746" s="76"/>
      <c r="U746" s="76" t="s">
        <v>3426</v>
      </c>
      <c r="V746" s="76"/>
      <c r="W746" s="76"/>
      <c r="X746" s="76"/>
    </row>
    <row r="747" ht="18.0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 t="s">
        <v>3427</v>
      </c>
      <c r="L747" s="76"/>
      <c r="M747" s="76" t="s">
        <v>3428</v>
      </c>
      <c r="N747" s="76"/>
      <c r="O747" s="76"/>
      <c r="P747" s="76"/>
      <c r="Q747" s="76"/>
      <c r="R747" s="76"/>
      <c r="S747" s="76"/>
      <c r="T747" s="76"/>
      <c r="U747" s="76" t="s">
        <v>3429</v>
      </c>
      <c r="V747" s="76"/>
      <c r="W747" s="76"/>
      <c r="X747" s="76"/>
    </row>
    <row r="748" ht="18.0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 t="s">
        <v>3430</v>
      </c>
      <c r="L748" s="76"/>
      <c r="M748" s="76" t="s">
        <v>3431</v>
      </c>
      <c r="N748" s="76"/>
      <c r="O748" s="76"/>
      <c r="P748" s="76"/>
      <c r="Q748" s="76"/>
      <c r="R748" s="76"/>
      <c r="S748" s="76"/>
      <c r="T748" s="76"/>
      <c r="U748" s="76" t="s">
        <v>3432</v>
      </c>
      <c r="V748" s="76"/>
      <c r="W748" s="76"/>
      <c r="X748" s="76"/>
    </row>
    <row r="749" ht="18.0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 t="s">
        <v>3433</v>
      </c>
      <c r="L749" s="76"/>
      <c r="M749" s="76" t="s">
        <v>3434</v>
      </c>
      <c r="N749" s="76"/>
      <c r="O749" s="76"/>
      <c r="P749" s="76"/>
      <c r="Q749" s="76"/>
      <c r="R749" s="76"/>
      <c r="S749" s="76"/>
      <c r="T749" s="76"/>
      <c r="U749" s="76" t="s">
        <v>3435</v>
      </c>
      <c r="V749" s="76"/>
      <c r="W749" s="76"/>
      <c r="X749" s="76"/>
    </row>
    <row r="750" ht="18.0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 t="s">
        <v>3436</v>
      </c>
      <c r="L750" s="76"/>
      <c r="M750" s="76" t="s">
        <v>3437</v>
      </c>
      <c r="N750" s="76"/>
      <c r="O750" s="76"/>
      <c r="P750" s="76"/>
      <c r="Q750" s="76"/>
      <c r="R750" s="76"/>
      <c r="S750" s="76"/>
      <c r="T750" s="76"/>
      <c r="U750" s="76" t="s">
        <v>3438</v>
      </c>
      <c r="V750" s="76"/>
      <c r="W750" s="76"/>
      <c r="X750" s="76"/>
    </row>
    <row r="751" ht="18.0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 t="s">
        <v>3439</v>
      </c>
      <c r="L751" s="76"/>
      <c r="M751" s="76" t="s">
        <v>3440</v>
      </c>
      <c r="N751" s="76"/>
      <c r="O751" s="76"/>
      <c r="P751" s="76"/>
      <c r="Q751" s="76"/>
      <c r="R751" s="76"/>
      <c r="S751" s="76"/>
      <c r="T751" s="76"/>
      <c r="U751" s="76" t="s">
        <v>3441</v>
      </c>
      <c r="V751" s="76"/>
      <c r="W751" s="76"/>
      <c r="X751" s="76"/>
    </row>
    <row r="752" ht="18.0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 t="s">
        <v>3442</v>
      </c>
      <c r="L752" s="76"/>
      <c r="M752" s="76" t="s">
        <v>3443</v>
      </c>
      <c r="N752" s="76"/>
      <c r="O752" s="76"/>
      <c r="P752" s="76"/>
      <c r="Q752" s="76"/>
      <c r="R752" s="76"/>
      <c r="S752" s="76"/>
      <c r="T752" s="76"/>
      <c r="U752" s="76" t="s">
        <v>3444</v>
      </c>
      <c r="V752" s="76"/>
      <c r="W752" s="76"/>
      <c r="X752" s="76"/>
    </row>
    <row r="753" ht="18.0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 t="s">
        <v>3445</v>
      </c>
      <c r="L753" s="76"/>
      <c r="M753" s="76" t="s">
        <v>3446</v>
      </c>
      <c r="N753" s="76"/>
      <c r="O753" s="76"/>
      <c r="P753" s="76"/>
      <c r="Q753" s="76"/>
      <c r="R753" s="76"/>
      <c r="S753" s="76"/>
      <c r="T753" s="76"/>
      <c r="U753" s="76" t="s">
        <v>3447</v>
      </c>
      <c r="V753" s="76"/>
      <c r="W753" s="76"/>
      <c r="X753" s="76"/>
    </row>
    <row r="754" ht="18.0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 t="s">
        <v>3448</v>
      </c>
      <c r="L754" s="76"/>
      <c r="M754" s="76" t="s">
        <v>3449</v>
      </c>
      <c r="N754" s="76"/>
      <c r="O754" s="76"/>
      <c r="P754" s="76"/>
      <c r="Q754" s="76"/>
      <c r="R754" s="76"/>
      <c r="S754" s="76"/>
      <c r="T754" s="76"/>
      <c r="U754" s="76" t="s">
        <v>3450</v>
      </c>
      <c r="V754" s="76"/>
      <c r="W754" s="76"/>
      <c r="X754" s="76"/>
    </row>
    <row r="755" ht="18.0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 t="s">
        <v>3451</v>
      </c>
      <c r="L755" s="76"/>
      <c r="M755" s="76" t="s">
        <v>3452</v>
      </c>
      <c r="N755" s="76"/>
      <c r="O755" s="76"/>
      <c r="P755" s="76"/>
      <c r="Q755" s="76"/>
      <c r="R755" s="76"/>
      <c r="S755" s="76"/>
      <c r="T755" s="76"/>
      <c r="U755" s="76" t="s">
        <v>3453</v>
      </c>
      <c r="V755" s="76"/>
      <c r="W755" s="76"/>
      <c r="X755" s="76"/>
    </row>
    <row r="756" ht="18.0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 t="s">
        <v>3454</v>
      </c>
      <c r="L756" s="76"/>
      <c r="M756" s="76" t="s">
        <v>3455</v>
      </c>
      <c r="N756" s="76"/>
      <c r="O756" s="76"/>
      <c r="P756" s="76"/>
      <c r="Q756" s="76"/>
      <c r="R756" s="76"/>
      <c r="S756" s="76"/>
      <c r="T756" s="76"/>
      <c r="U756" s="76" t="s">
        <v>3456</v>
      </c>
      <c r="V756" s="76"/>
      <c r="W756" s="76"/>
      <c r="X756" s="76"/>
    </row>
    <row r="757" ht="18.0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 t="s">
        <v>3457</v>
      </c>
      <c r="L757" s="76"/>
      <c r="M757" s="76" t="s">
        <v>3458</v>
      </c>
      <c r="N757" s="76"/>
      <c r="O757" s="76"/>
      <c r="P757" s="76"/>
      <c r="Q757" s="76"/>
      <c r="R757" s="76"/>
      <c r="S757" s="76"/>
      <c r="T757" s="76"/>
      <c r="U757" s="76" t="s">
        <v>3459</v>
      </c>
      <c r="V757" s="76"/>
      <c r="W757" s="76"/>
      <c r="X757" s="76"/>
    </row>
    <row r="758" ht="18.0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 t="s">
        <v>3460</v>
      </c>
      <c r="L758" s="76"/>
      <c r="M758" s="76" t="s">
        <v>3461</v>
      </c>
      <c r="N758" s="76"/>
      <c r="O758" s="76"/>
      <c r="P758" s="76"/>
      <c r="Q758" s="76"/>
      <c r="R758" s="76"/>
      <c r="S758" s="76"/>
      <c r="T758" s="76"/>
      <c r="U758" s="76" t="s">
        <v>3462</v>
      </c>
      <c r="V758" s="76"/>
      <c r="W758" s="76"/>
      <c r="X758" s="76"/>
    </row>
    <row r="759" ht="18.0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 t="s">
        <v>3463</v>
      </c>
      <c r="L759" s="76"/>
      <c r="M759" s="76" t="s">
        <v>3464</v>
      </c>
      <c r="N759" s="76"/>
      <c r="O759" s="76"/>
      <c r="P759" s="76"/>
      <c r="Q759" s="76"/>
      <c r="R759" s="76"/>
      <c r="S759" s="76"/>
      <c r="T759" s="76"/>
      <c r="U759" s="76" t="s">
        <v>3465</v>
      </c>
      <c r="V759" s="76"/>
      <c r="W759" s="76"/>
      <c r="X759" s="76"/>
    </row>
    <row r="760" ht="18.0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 t="s">
        <v>3466</v>
      </c>
      <c r="L760" s="76"/>
      <c r="M760" s="76" t="s">
        <v>3467</v>
      </c>
      <c r="N760" s="76"/>
      <c r="O760" s="76"/>
      <c r="P760" s="76"/>
      <c r="Q760" s="76"/>
      <c r="R760" s="76"/>
      <c r="S760" s="76"/>
      <c r="T760" s="76"/>
      <c r="U760" s="76" t="s">
        <v>3468</v>
      </c>
      <c r="V760" s="76"/>
      <c r="W760" s="76"/>
      <c r="X760" s="76"/>
    </row>
    <row r="761" ht="18.0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 t="s">
        <v>3469</v>
      </c>
      <c r="L761" s="76"/>
      <c r="M761" s="76" t="s">
        <v>3470</v>
      </c>
      <c r="N761" s="76"/>
      <c r="O761" s="76"/>
      <c r="P761" s="76"/>
      <c r="Q761" s="76"/>
      <c r="R761" s="76"/>
      <c r="S761" s="76"/>
      <c r="T761" s="76"/>
      <c r="U761" s="76" t="s">
        <v>3471</v>
      </c>
      <c r="V761" s="76"/>
      <c r="W761" s="76"/>
      <c r="X761" s="76"/>
    </row>
    <row r="762" ht="18.0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 t="s">
        <v>3472</v>
      </c>
      <c r="L762" s="76"/>
      <c r="M762" s="76" t="s">
        <v>3473</v>
      </c>
      <c r="N762" s="76"/>
      <c r="O762" s="76"/>
      <c r="P762" s="76"/>
      <c r="Q762" s="76"/>
      <c r="R762" s="76"/>
      <c r="S762" s="76"/>
      <c r="T762" s="76"/>
      <c r="U762" s="76" t="s">
        <v>3474</v>
      </c>
      <c r="V762" s="76"/>
      <c r="W762" s="76"/>
      <c r="X762" s="76"/>
    </row>
    <row r="763" ht="18.0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 t="s">
        <v>3475</v>
      </c>
      <c r="L763" s="76"/>
      <c r="M763" s="76" t="s">
        <v>3476</v>
      </c>
      <c r="N763" s="76"/>
      <c r="O763" s="76"/>
      <c r="P763" s="76"/>
      <c r="Q763" s="76"/>
      <c r="R763" s="76"/>
      <c r="S763" s="76"/>
      <c r="T763" s="76"/>
      <c r="U763" s="76" t="s">
        <v>3477</v>
      </c>
      <c r="V763" s="76"/>
      <c r="W763" s="76"/>
      <c r="X763" s="76"/>
    </row>
    <row r="764" ht="18.0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 t="s">
        <v>3478</v>
      </c>
      <c r="L764" s="76"/>
      <c r="M764" s="76" t="s">
        <v>3479</v>
      </c>
      <c r="N764" s="76"/>
      <c r="O764" s="76"/>
      <c r="P764" s="76"/>
      <c r="Q764" s="76"/>
      <c r="R764" s="76"/>
      <c r="S764" s="76"/>
      <c r="T764" s="76"/>
      <c r="U764" s="76" t="s">
        <v>3480</v>
      </c>
      <c r="V764" s="76"/>
      <c r="W764" s="76"/>
      <c r="X764" s="76"/>
    </row>
    <row r="765" ht="18.0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 t="s">
        <v>3481</v>
      </c>
      <c r="L765" s="76"/>
      <c r="M765" s="76" t="s">
        <v>3482</v>
      </c>
      <c r="N765" s="76"/>
      <c r="O765" s="76"/>
      <c r="P765" s="76"/>
      <c r="Q765" s="76"/>
      <c r="R765" s="76"/>
      <c r="S765" s="76"/>
      <c r="T765" s="76"/>
      <c r="U765" s="76" t="s">
        <v>3483</v>
      </c>
      <c r="V765" s="76"/>
      <c r="W765" s="76"/>
      <c r="X765" s="76"/>
    </row>
    <row r="766" ht="18.0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 t="s">
        <v>3484</v>
      </c>
      <c r="L766" s="76"/>
      <c r="M766" s="76" t="s">
        <v>3485</v>
      </c>
      <c r="N766" s="76"/>
      <c r="O766" s="76"/>
      <c r="P766" s="76"/>
      <c r="Q766" s="76"/>
      <c r="R766" s="76"/>
      <c r="S766" s="76"/>
      <c r="T766" s="76"/>
      <c r="U766" s="76" t="s">
        <v>3486</v>
      </c>
      <c r="V766" s="76"/>
      <c r="W766" s="76"/>
      <c r="X766" s="76"/>
    </row>
    <row r="767" ht="18.0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 t="s">
        <v>3487</v>
      </c>
      <c r="L767" s="76"/>
      <c r="M767" s="76" t="s">
        <v>3488</v>
      </c>
      <c r="N767" s="76"/>
      <c r="O767" s="76"/>
      <c r="P767" s="76"/>
      <c r="Q767" s="76"/>
      <c r="R767" s="76"/>
      <c r="S767" s="76"/>
      <c r="T767" s="76"/>
      <c r="U767" s="76" t="s">
        <v>3489</v>
      </c>
      <c r="V767" s="76"/>
      <c r="W767" s="76"/>
      <c r="X767" s="76"/>
    </row>
    <row r="768" ht="18.0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 t="s">
        <v>3490</v>
      </c>
      <c r="L768" s="76"/>
      <c r="M768" s="76" t="s">
        <v>3491</v>
      </c>
      <c r="N768" s="76"/>
      <c r="O768" s="76"/>
      <c r="P768" s="76"/>
      <c r="Q768" s="76"/>
      <c r="R768" s="76"/>
      <c r="S768" s="76"/>
      <c r="T768" s="76"/>
      <c r="U768" s="76" t="s">
        <v>3492</v>
      </c>
      <c r="V768" s="76"/>
      <c r="W768" s="76"/>
      <c r="X768" s="76"/>
    </row>
    <row r="769" ht="18.0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 t="s">
        <v>3493</v>
      </c>
      <c r="L769" s="76"/>
      <c r="M769" s="76" t="s">
        <v>3494</v>
      </c>
      <c r="N769" s="76"/>
      <c r="O769" s="76"/>
      <c r="P769" s="76"/>
      <c r="Q769" s="76"/>
      <c r="R769" s="76"/>
      <c r="S769" s="76"/>
      <c r="T769" s="76"/>
      <c r="U769" s="76" t="s">
        <v>3495</v>
      </c>
      <c r="V769" s="76"/>
      <c r="W769" s="76"/>
      <c r="X769" s="76"/>
    </row>
    <row r="770" ht="18.0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 t="s">
        <v>3496</v>
      </c>
      <c r="L770" s="76"/>
      <c r="M770" s="76" t="s">
        <v>3497</v>
      </c>
      <c r="N770" s="76"/>
      <c r="O770" s="76"/>
      <c r="P770" s="76"/>
      <c r="Q770" s="76"/>
      <c r="R770" s="76"/>
      <c r="S770" s="76"/>
      <c r="T770" s="76"/>
      <c r="U770" s="76" t="s">
        <v>3498</v>
      </c>
      <c r="V770" s="76"/>
      <c r="W770" s="76"/>
      <c r="X770" s="76"/>
    </row>
    <row r="771" ht="18.0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 t="s">
        <v>3499</v>
      </c>
      <c r="L771" s="76"/>
      <c r="M771" s="76" t="s">
        <v>3500</v>
      </c>
      <c r="N771" s="76"/>
      <c r="O771" s="76"/>
      <c r="P771" s="76"/>
      <c r="Q771" s="76"/>
      <c r="R771" s="76"/>
      <c r="S771" s="76"/>
      <c r="T771" s="76"/>
      <c r="U771" s="76" t="s">
        <v>3501</v>
      </c>
      <c r="V771" s="76"/>
      <c r="W771" s="76"/>
      <c r="X771" s="76"/>
    </row>
    <row r="772" ht="18.0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 t="s">
        <v>3502</v>
      </c>
      <c r="L772" s="76"/>
      <c r="M772" s="76" t="s">
        <v>3503</v>
      </c>
      <c r="N772" s="76"/>
      <c r="O772" s="76"/>
      <c r="P772" s="76"/>
      <c r="Q772" s="76"/>
      <c r="R772" s="76"/>
      <c r="S772" s="76"/>
      <c r="T772" s="76"/>
      <c r="U772" s="76" t="s">
        <v>3504</v>
      </c>
      <c r="V772" s="76"/>
      <c r="W772" s="76"/>
      <c r="X772" s="76"/>
    </row>
    <row r="773" ht="18.0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 t="s">
        <v>3505</v>
      </c>
      <c r="L773" s="76"/>
      <c r="M773" s="76" t="s">
        <v>3506</v>
      </c>
      <c r="N773" s="76"/>
      <c r="O773" s="76"/>
      <c r="P773" s="76"/>
      <c r="Q773" s="76"/>
      <c r="R773" s="76"/>
      <c r="S773" s="76"/>
      <c r="T773" s="76"/>
      <c r="U773" s="76" t="s">
        <v>3507</v>
      </c>
      <c r="V773" s="76"/>
      <c r="W773" s="76"/>
      <c r="X773" s="76"/>
    </row>
    <row r="774" ht="18.0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 t="s">
        <v>3508</v>
      </c>
      <c r="L774" s="76"/>
      <c r="M774" s="76" t="s">
        <v>3509</v>
      </c>
      <c r="N774" s="76"/>
      <c r="O774" s="76"/>
      <c r="P774" s="76"/>
      <c r="Q774" s="76"/>
      <c r="R774" s="76"/>
      <c r="S774" s="76"/>
      <c r="T774" s="76"/>
      <c r="U774" s="76" t="s">
        <v>3510</v>
      </c>
      <c r="V774" s="76"/>
      <c r="W774" s="76"/>
      <c r="X774" s="76"/>
    </row>
    <row r="775" ht="18.0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 t="s">
        <v>3511</v>
      </c>
      <c r="L775" s="76"/>
      <c r="M775" s="76" t="s">
        <v>3512</v>
      </c>
      <c r="N775" s="76"/>
      <c r="O775" s="76"/>
      <c r="P775" s="76"/>
      <c r="Q775" s="76"/>
      <c r="R775" s="76"/>
      <c r="S775" s="76"/>
      <c r="T775" s="76"/>
      <c r="U775" s="76" t="s">
        <v>3513</v>
      </c>
      <c r="V775" s="76"/>
      <c r="W775" s="76"/>
      <c r="X775" s="76"/>
    </row>
    <row r="776" ht="18.0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 t="s">
        <v>3514</v>
      </c>
      <c r="L776" s="76"/>
      <c r="M776" s="76" t="s">
        <v>3515</v>
      </c>
      <c r="N776" s="76"/>
      <c r="O776" s="76"/>
      <c r="P776" s="76"/>
      <c r="Q776" s="76"/>
      <c r="R776" s="76"/>
      <c r="S776" s="76"/>
      <c r="T776" s="76"/>
      <c r="U776" s="76" t="s">
        <v>3516</v>
      </c>
      <c r="V776" s="76"/>
      <c r="W776" s="76"/>
      <c r="X776" s="76"/>
    </row>
    <row r="777" ht="18.0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 t="s">
        <v>3517</v>
      </c>
      <c r="L777" s="76"/>
      <c r="M777" s="76" t="s">
        <v>3518</v>
      </c>
      <c r="N777" s="76"/>
      <c r="O777" s="76"/>
      <c r="P777" s="76"/>
      <c r="Q777" s="76"/>
      <c r="R777" s="76"/>
      <c r="S777" s="76"/>
      <c r="T777" s="76"/>
      <c r="U777" s="76" t="s">
        <v>3519</v>
      </c>
      <c r="V777" s="76"/>
      <c r="W777" s="76"/>
      <c r="X777" s="76"/>
    </row>
    <row r="778" ht="18.0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 t="s">
        <v>3520</v>
      </c>
      <c r="L778" s="76"/>
      <c r="M778" s="76" t="s">
        <v>3521</v>
      </c>
      <c r="N778" s="76"/>
      <c r="O778" s="76"/>
      <c r="P778" s="76"/>
      <c r="Q778" s="76"/>
      <c r="R778" s="76"/>
      <c r="S778" s="76"/>
      <c r="T778" s="76"/>
      <c r="U778" s="76" t="s">
        <v>3522</v>
      </c>
      <c r="V778" s="76"/>
      <c r="W778" s="76"/>
      <c r="X778" s="76"/>
    </row>
    <row r="779" ht="18.0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 t="s">
        <v>3523</v>
      </c>
      <c r="L779" s="76"/>
      <c r="M779" s="76" t="s">
        <v>3524</v>
      </c>
      <c r="N779" s="76"/>
      <c r="O779" s="76"/>
      <c r="P779" s="76"/>
      <c r="Q779" s="76"/>
      <c r="R779" s="76"/>
      <c r="S779" s="76"/>
      <c r="T779" s="76"/>
      <c r="U779" s="76" t="s">
        <v>3525</v>
      </c>
      <c r="V779" s="76"/>
      <c r="W779" s="76"/>
      <c r="X779" s="76"/>
    </row>
    <row r="780" ht="18.0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 t="s">
        <v>3526</v>
      </c>
      <c r="L780" s="76"/>
      <c r="M780" s="76" t="s">
        <v>3527</v>
      </c>
      <c r="N780" s="76"/>
      <c r="O780" s="76"/>
      <c r="P780" s="76"/>
      <c r="Q780" s="76"/>
      <c r="R780" s="76"/>
      <c r="S780" s="76"/>
      <c r="T780" s="76"/>
      <c r="U780" s="76" t="s">
        <v>3528</v>
      </c>
      <c r="V780" s="76"/>
      <c r="W780" s="76"/>
      <c r="X780" s="76"/>
    </row>
    <row r="781" ht="18.0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 t="s">
        <v>3529</v>
      </c>
      <c r="L781" s="76"/>
      <c r="M781" s="76" t="s">
        <v>3530</v>
      </c>
      <c r="N781" s="76"/>
      <c r="O781" s="76"/>
      <c r="P781" s="76"/>
      <c r="Q781" s="76"/>
      <c r="R781" s="76"/>
      <c r="S781" s="76"/>
      <c r="T781" s="76"/>
      <c r="U781" s="76" t="s">
        <v>3531</v>
      </c>
      <c r="V781" s="76"/>
      <c r="W781" s="76"/>
      <c r="X781" s="76"/>
    </row>
    <row r="782" ht="18.0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 t="s">
        <v>3532</v>
      </c>
      <c r="L782" s="76"/>
      <c r="M782" s="76" t="s">
        <v>3533</v>
      </c>
      <c r="N782" s="76"/>
      <c r="O782" s="76"/>
      <c r="P782" s="76"/>
      <c r="Q782" s="76"/>
      <c r="R782" s="76"/>
      <c r="S782" s="76"/>
      <c r="T782" s="76"/>
      <c r="U782" s="76" t="s">
        <v>3534</v>
      </c>
      <c r="V782" s="76"/>
      <c r="W782" s="76"/>
      <c r="X782" s="76"/>
    </row>
    <row r="783" ht="18.0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 t="s">
        <v>3535</v>
      </c>
      <c r="L783" s="76"/>
      <c r="M783" s="76" t="s">
        <v>3536</v>
      </c>
      <c r="N783" s="76"/>
      <c r="O783" s="76"/>
      <c r="P783" s="76"/>
      <c r="Q783" s="76"/>
      <c r="R783" s="76"/>
      <c r="S783" s="76"/>
      <c r="T783" s="76"/>
      <c r="U783" s="76" t="s">
        <v>3537</v>
      </c>
      <c r="V783" s="76"/>
      <c r="W783" s="76"/>
      <c r="X783" s="76"/>
    </row>
    <row r="784" ht="18.0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 t="s">
        <v>3538</v>
      </c>
      <c r="L784" s="76"/>
      <c r="M784" s="76" t="s">
        <v>3539</v>
      </c>
      <c r="N784" s="76"/>
      <c r="O784" s="76"/>
      <c r="P784" s="76"/>
      <c r="Q784" s="76"/>
      <c r="R784" s="76"/>
      <c r="S784" s="76"/>
      <c r="T784" s="76"/>
      <c r="U784" s="76" t="s">
        <v>3540</v>
      </c>
      <c r="V784" s="76"/>
      <c r="W784" s="76"/>
      <c r="X784" s="76"/>
    </row>
    <row r="785" ht="18.0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 t="s">
        <v>3541</v>
      </c>
      <c r="L785" s="76"/>
      <c r="M785" s="76" t="s">
        <v>3542</v>
      </c>
      <c r="N785" s="76"/>
      <c r="O785" s="76"/>
      <c r="P785" s="76"/>
      <c r="Q785" s="76"/>
      <c r="R785" s="76"/>
      <c r="S785" s="76"/>
      <c r="T785" s="76"/>
      <c r="U785" s="76" t="s">
        <v>3543</v>
      </c>
      <c r="V785" s="76"/>
      <c r="W785" s="76"/>
      <c r="X785" s="76"/>
    </row>
    <row r="786" ht="18.0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 t="s">
        <v>3544</v>
      </c>
      <c r="L786" s="76"/>
      <c r="M786" s="76" t="s">
        <v>3545</v>
      </c>
      <c r="N786" s="76"/>
      <c r="O786" s="76"/>
      <c r="P786" s="76"/>
      <c r="Q786" s="76"/>
      <c r="R786" s="76"/>
      <c r="S786" s="76"/>
      <c r="T786" s="76"/>
      <c r="U786" s="76" t="s">
        <v>3546</v>
      </c>
      <c r="V786" s="76"/>
      <c r="W786" s="76"/>
      <c r="X786" s="76"/>
    </row>
    <row r="787" ht="18.0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 t="s">
        <v>3547</v>
      </c>
      <c r="L787" s="76"/>
      <c r="M787" s="76" t="s">
        <v>3548</v>
      </c>
      <c r="N787" s="76"/>
      <c r="O787" s="76"/>
      <c r="P787" s="76"/>
      <c r="Q787" s="76"/>
      <c r="R787" s="76"/>
      <c r="S787" s="76"/>
      <c r="T787" s="76"/>
      <c r="U787" s="76" t="s">
        <v>3549</v>
      </c>
      <c r="V787" s="76"/>
      <c r="W787" s="76"/>
      <c r="X787" s="76"/>
    </row>
    <row r="788" ht="18.0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 t="s">
        <v>3550</v>
      </c>
      <c r="L788" s="76"/>
      <c r="M788" s="76" t="s">
        <v>3551</v>
      </c>
      <c r="N788" s="76"/>
      <c r="O788" s="76"/>
      <c r="P788" s="76"/>
      <c r="Q788" s="76"/>
      <c r="R788" s="76"/>
      <c r="S788" s="76"/>
      <c r="T788" s="76"/>
      <c r="U788" s="76" t="s">
        <v>3552</v>
      </c>
      <c r="V788" s="76"/>
      <c r="W788" s="76"/>
      <c r="X788" s="76"/>
    </row>
    <row r="789" ht="18.0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 t="s">
        <v>3553</v>
      </c>
      <c r="L789" s="76"/>
      <c r="M789" s="76" t="s">
        <v>3554</v>
      </c>
      <c r="N789" s="76"/>
      <c r="O789" s="76"/>
      <c r="P789" s="76"/>
      <c r="Q789" s="76"/>
      <c r="R789" s="76"/>
      <c r="S789" s="76"/>
      <c r="T789" s="76"/>
      <c r="U789" s="76" t="s">
        <v>3555</v>
      </c>
      <c r="V789" s="76"/>
      <c r="W789" s="76"/>
      <c r="X789" s="76"/>
    </row>
    <row r="790" ht="18.0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 t="s">
        <v>3556</v>
      </c>
      <c r="L790" s="76"/>
      <c r="M790" s="76" t="s">
        <v>3557</v>
      </c>
      <c r="N790" s="76"/>
      <c r="O790" s="76"/>
      <c r="P790" s="76"/>
      <c r="Q790" s="76"/>
      <c r="R790" s="76"/>
      <c r="S790" s="76"/>
      <c r="T790" s="76"/>
      <c r="U790" s="76" t="s">
        <v>3432</v>
      </c>
      <c r="V790" s="76"/>
      <c r="W790" s="76"/>
      <c r="X790" s="76"/>
    </row>
    <row r="791" ht="18.0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 t="s">
        <v>3558</v>
      </c>
      <c r="L791" s="76"/>
      <c r="M791" s="76" t="s">
        <v>3559</v>
      </c>
      <c r="N791" s="76"/>
      <c r="O791" s="76"/>
      <c r="P791" s="76"/>
      <c r="Q791" s="76"/>
      <c r="R791" s="76"/>
      <c r="S791" s="76"/>
      <c r="T791" s="76"/>
      <c r="U791" s="76" t="s">
        <v>3426</v>
      </c>
      <c r="V791" s="76"/>
      <c r="W791" s="76"/>
      <c r="X791" s="76"/>
    </row>
    <row r="792" ht="18.0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 t="s">
        <v>3560</v>
      </c>
      <c r="L792" s="76"/>
      <c r="M792" s="76" t="s">
        <v>3561</v>
      </c>
      <c r="N792" s="76"/>
      <c r="O792" s="76"/>
      <c r="P792" s="76"/>
      <c r="Q792" s="76"/>
      <c r="R792" s="76"/>
      <c r="S792" s="76"/>
      <c r="T792" s="76"/>
      <c r="U792" s="76" t="s">
        <v>3562</v>
      </c>
      <c r="V792" s="76"/>
      <c r="W792" s="76"/>
      <c r="X792" s="76"/>
    </row>
    <row r="793" ht="18.0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 t="s">
        <v>3563</v>
      </c>
      <c r="L793" s="76"/>
      <c r="M793" s="76" t="s">
        <v>3564</v>
      </c>
      <c r="N793" s="76"/>
      <c r="O793" s="76"/>
      <c r="P793" s="76"/>
      <c r="Q793" s="76"/>
      <c r="R793" s="76"/>
      <c r="S793" s="76"/>
      <c r="T793" s="76"/>
      <c r="U793" s="76" t="s">
        <v>3565</v>
      </c>
      <c r="V793" s="76"/>
      <c r="W793" s="76"/>
      <c r="X793" s="76"/>
    </row>
    <row r="794" ht="18.0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 t="s">
        <v>3566</v>
      </c>
      <c r="L794" s="76"/>
      <c r="M794" s="76" t="s">
        <v>3567</v>
      </c>
      <c r="N794" s="76"/>
      <c r="O794" s="76"/>
      <c r="P794" s="76"/>
      <c r="Q794" s="76"/>
      <c r="R794" s="76"/>
      <c r="S794" s="76"/>
      <c r="T794" s="76"/>
      <c r="U794" s="76" t="s">
        <v>3568</v>
      </c>
      <c r="V794" s="76"/>
      <c r="W794" s="76"/>
      <c r="X794" s="76"/>
    </row>
    <row r="795" ht="18.0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 t="s">
        <v>3569</v>
      </c>
      <c r="L795" s="76"/>
      <c r="M795" s="76" t="s">
        <v>3570</v>
      </c>
      <c r="N795" s="76"/>
      <c r="O795" s="76"/>
      <c r="P795" s="76"/>
      <c r="Q795" s="76"/>
      <c r="R795" s="76"/>
      <c r="S795" s="76"/>
      <c r="T795" s="76"/>
      <c r="U795" s="76" t="s">
        <v>3571</v>
      </c>
      <c r="V795" s="76"/>
      <c r="W795" s="76"/>
      <c r="X795" s="76"/>
    </row>
    <row r="796" ht="18.0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 t="s">
        <v>3572</v>
      </c>
      <c r="L796" s="76"/>
      <c r="M796" s="76" t="s">
        <v>3573</v>
      </c>
      <c r="N796" s="76"/>
      <c r="O796" s="76"/>
      <c r="P796" s="76"/>
      <c r="Q796" s="76"/>
      <c r="R796" s="76"/>
      <c r="S796" s="76"/>
      <c r="T796" s="76"/>
      <c r="U796" s="76" t="s">
        <v>3574</v>
      </c>
      <c r="V796" s="76"/>
      <c r="W796" s="76"/>
      <c r="X796" s="76"/>
    </row>
    <row r="797" ht="18.0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 t="s">
        <v>3575</v>
      </c>
      <c r="L797" s="76"/>
      <c r="M797" s="76" t="s">
        <v>3576</v>
      </c>
      <c r="N797" s="76"/>
      <c r="O797" s="76"/>
      <c r="P797" s="76"/>
      <c r="Q797" s="76"/>
      <c r="R797" s="76"/>
      <c r="S797" s="76"/>
      <c r="T797" s="76"/>
      <c r="U797" s="76" t="s">
        <v>3577</v>
      </c>
      <c r="V797" s="76"/>
      <c r="W797" s="76"/>
      <c r="X797" s="76"/>
    </row>
    <row r="798" ht="18.0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 t="s">
        <v>3578</v>
      </c>
      <c r="L798" s="76"/>
      <c r="M798" s="76" t="s">
        <v>3579</v>
      </c>
      <c r="N798" s="76"/>
      <c r="O798" s="76"/>
      <c r="P798" s="76"/>
      <c r="Q798" s="76"/>
      <c r="R798" s="76"/>
      <c r="S798" s="76"/>
      <c r="T798" s="76"/>
      <c r="U798" s="76" t="s">
        <v>3580</v>
      </c>
      <c r="V798" s="76"/>
      <c r="W798" s="76"/>
      <c r="X798" s="76"/>
    </row>
    <row r="799" ht="18.0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 t="s">
        <v>3581</v>
      </c>
      <c r="L799" s="76"/>
      <c r="M799" s="76" t="s">
        <v>3582</v>
      </c>
      <c r="N799" s="76"/>
      <c r="O799" s="76"/>
      <c r="P799" s="76"/>
      <c r="Q799" s="76"/>
      <c r="R799" s="76"/>
      <c r="S799" s="76"/>
      <c r="T799" s="76"/>
      <c r="U799" s="76" t="s">
        <v>3583</v>
      </c>
      <c r="V799" s="76"/>
      <c r="W799" s="76"/>
      <c r="X799" s="76"/>
    </row>
    <row r="800" ht="18.0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 t="s">
        <v>3584</v>
      </c>
      <c r="L800" s="76"/>
      <c r="M800" s="76" t="s">
        <v>3585</v>
      </c>
      <c r="N800" s="76"/>
      <c r="O800" s="76"/>
      <c r="P800" s="76"/>
      <c r="Q800" s="76"/>
      <c r="R800" s="76"/>
      <c r="S800" s="76"/>
      <c r="T800" s="76"/>
      <c r="U800" s="76" t="s">
        <v>3586</v>
      </c>
      <c r="V800" s="76"/>
      <c r="W800" s="76"/>
      <c r="X800" s="76"/>
    </row>
    <row r="801" ht="18.0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 t="s">
        <v>3587</v>
      </c>
      <c r="L801" s="76"/>
      <c r="M801" s="76" t="s">
        <v>3588</v>
      </c>
      <c r="N801" s="76"/>
      <c r="O801" s="76"/>
      <c r="P801" s="76"/>
      <c r="Q801" s="76"/>
      <c r="R801" s="76"/>
      <c r="S801" s="76"/>
      <c r="T801" s="76"/>
      <c r="U801" s="76" t="s">
        <v>3589</v>
      </c>
      <c r="V801" s="76"/>
      <c r="W801" s="76"/>
      <c r="X801" s="76"/>
    </row>
    <row r="802" ht="18.0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 t="s">
        <v>3055</v>
      </c>
      <c r="L802" s="76"/>
      <c r="M802" s="76" t="s">
        <v>3590</v>
      </c>
      <c r="N802" s="76"/>
      <c r="O802" s="76"/>
      <c r="P802" s="76"/>
      <c r="Q802" s="76"/>
      <c r="R802" s="76"/>
      <c r="S802" s="76"/>
      <c r="T802" s="76"/>
      <c r="U802" s="76" t="s">
        <v>3591</v>
      </c>
      <c r="V802" s="76"/>
      <c r="W802" s="76"/>
      <c r="X802" s="76"/>
    </row>
    <row r="803" ht="18.0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 t="s">
        <v>3076</v>
      </c>
      <c r="L803" s="76"/>
      <c r="M803" s="76" t="s">
        <v>3592</v>
      </c>
      <c r="N803" s="76"/>
      <c r="O803" s="76"/>
      <c r="P803" s="76"/>
      <c r="Q803" s="76"/>
      <c r="R803" s="76"/>
      <c r="S803" s="76"/>
      <c r="T803" s="76"/>
      <c r="U803" s="76" t="s">
        <v>3593</v>
      </c>
      <c r="V803" s="76"/>
      <c r="W803" s="76"/>
      <c r="X803" s="76"/>
    </row>
    <row r="804" ht="18.0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 t="s">
        <v>2951</v>
      </c>
      <c r="L804" s="76"/>
      <c r="M804" s="76" t="s">
        <v>3594</v>
      </c>
      <c r="N804" s="76"/>
      <c r="O804" s="76"/>
      <c r="P804" s="76"/>
      <c r="Q804" s="76"/>
      <c r="R804" s="76"/>
      <c r="S804" s="76"/>
      <c r="T804" s="76"/>
      <c r="U804" s="76" t="s">
        <v>3595</v>
      </c>
      <c r="V804" s="76"/>
      <c r="W804" s="76"/>
      <c r="X804" s="76"/>
    </row>
    <row r="805" ht="18.0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 t="s">
        <v>3596</v>
      </c>
      <c r="L805" s="76"/>
      <c r="M805" s="76" t="s">
        <v>3597</v>
      </c>
      <c r="N805" s="76"/>
      <c r="O805" s="76"/>
      <c r="P805" s="76"/>
      <c r="Q805" s="76"/>
      <c r="R805" s="76"/>
      <c r="S805" s="76"/>
      <c r="T805" s="76"/>
      <c r="U805" s="76" t="s">
        <v>3598</v>
      </c>
      <c r="V805" s="76"/>
      <c r="W805" s="76"/>
      <c r="X805" s="76"/>
    </row>
    <row r="806" ht="18.0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 t="s">
        <v>2565</v>
      </c>
      <c r="L806" s="76"/>
      <c r="M806" s="76" t="s">
        <v>3599</v>
      </c>
      <c r="N806" s="76"/>
      <c r="O806" s="76"/>
      <c r="P806" s="76"/>
      <c r="Q806" s="76"/>
      <c r="R806" s="76"/>
      <c r="S806" s="76"/>
      <c r="T806" s="76"/>
      <c r="U806" s="76" t="s">
        <v>3600</v>
      </c>
      <c r="V806" s="76"/>
      <c r="W806" s="76"/>
      <c r="X806" s="76"/>
    </row>
    <row r="807" ht="18.0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 t="s">
        <v>2559</v>
      </c>
      <c r="L807" s="76"/>
      <c r="M807" s="76" t="s">
        <v>3601</v>
      </c>
      <c r="N807" s="76"/>
      <c r="O807" s="76"/>
      <c r="P807" s="76"/>
      <c r="Q807" s="76"/>
      <c r="R807" s="76"/>
      <c r="S807" s="76"/>
      <c r="T807" s="76"/>
      <c r="U807" s="76" t="s">
        <v>3602</v>
      </c>
      <c r="V807" s="76"/>
      <c r="W807" s="76"/>
      <c r="X807" s="76"/>
    </row>
    <row r="808" ht="18.0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 t="s">
        <v>2777</v>
      </c>
      <c r="L808" s="76"/>
      <c r="M808" s="76" t="s">
        <v>3603</v>
      </c>
      <c r="N808" s="76"/>
      <c r="O808" s="76"/>
      <c r="P808" s="76"/>
      <c r="Q808" s="76"/>
      <c r="R808" s="76"/>
      <c r="S808" s="76"/>
      <c r="T808" s="76"/>
      <c r="U808" s="76" t="s">
        <v>3604</v>
      </c>
      <c r="V808" s="76"/>
      <c r="W808" s="76"/>
      <c r="X808" s="76"/>
    </row>
    <row r="809" ht="18.0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 t="s">
        <v>3605</v>
      </c>
      <c r="L809" s="76"/>
      <c r="M809" s="76" t="s">
        <v>3606</v>
      </c>
      <c r="N809" s="76"/>
      <c r="O809" s="76"/>
      <c r="P809" s="76"/>
      <c r="Q809" s="76"/>
      <c r="R809" s="76"/>
      <c r="S809" s="76"/>
      <c r="T809" s="76"/>
      <c r="U809" s="76" t="s">
        <v>3607</v>
      </c>
      <c r="V809" s="76"/>
      <c r="W809" s="76"/>
      <c r="X809" s="76"/>
    </row>
    <row r="810" ht="18.0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 t="s">
        <v>3608</v>
      </c>
      <c r="L810" s="76"/>
      <c r="M810" s="76" t="s">
        <v>3609</v>
      </c>
      <c r="N810" s="76"/>
      <c r="O810" s="76"/>
      <c r="P810" s="76"/>
      <c r="Q810" s="76"/>
      <c r="R810" s="76"/>
      <c r="S810" s="76"/>
      <c r="T810" s="76"/>
      <c r="U810" s="76" t="s">
        <v>3610</v>
      </c>
      <c r="V810" s="76"/>
      <c r="W810" s="76"/>
      <c r="X810" s="76"/>
    </row>
    <row r="811" ht="18.0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 t="s">
        <v>3611</v>
      </c>
      <c r="L811" s="76"/>
      <c r="M811" s="76" t="s">
        <v>3612</v>
      </c>
      <c r="N811" s="76"/>
      <c r="O811" s="76"/>
      <c r="P811" s="76"/>
      <c r="Q811" s="76"/>
      <c r="R811" s="76"/>
      <c r="S811" s="76"/>
      <c r="T811" s="76"/>
      <c r="U811" s="76" t="s">
        <v>3613</v>
      </c>
      <c r="V811" s="76"/>
      <c r="W811" s="76"/>
      <c r="X811" s="76"/>
    </row>
    <row r="812" ht="18.0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 t="s">
        <v>3614</v>
      </c>
      <c r="L812" s="76"/>
      <c r="M812" s="76" t="s">
        <v>3615</v>
      </c>
      <c r="N812" s="76"/>
      <c r="O812" s="76"/>
      <c r="P812" s="76"/>
      <c r="Q812" s="76"/>
      <c r="R812" s="76"/>
      <c r="S812" s="76"/>
      <c r="T812" s="76"/>
      <c r="U812" s="76" t="s">
        <v>3616</v>
      </c>
      <c r="V812" s="76"/>
      <c r="W812" s="76"/>
      <c r="X812" s="76"/>
    </row>
    <row r="813" ht="18.0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 t="s">
        <v>3617</v>
      </c>
      <c r="L813" s="76"/>
      <c r="M813" s="76" t="s">
        <v>3618</v>
      </c>
      <c r="N813" s="76"/>
      <c r="O813" s="76"/>
      <c r="P813" s="76"/>
      <c r="Q813" s="76"/>
      <c r="R813" s="76"/>
      <c r="S813" s="76"/>
      <c r="T813" s="76"/>
      <c r="U813" s="76" t="s">
        <v>3619</v>
      </c>
      <c r="V813" s="76"/>
      <c r="W813" s="76"/>
      <c r="X813" s="76"/>
    </row>
    <row r="814" ht="18.0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 t="s">
        <v>3620</v>
      </c>
      <c r="L814" s="76"/>
      <c r="M814" s="76" t="s">
        <v>3621</v>
      </c>
      <c r="N814" s="76"/>
      <c r="O814" s="76"/>
      <c r="P814" s="76"/>
      <c r="Q814" s="76"/>
      <c r="R814" s="76"/>
      <c r="S814" s="76"/>
      <c r="T814" s="76"/>
      <c r="U814" s="76" t="s">
        <v>3622</v>
      </c>
      <c r="V814" s="76"/>
      <c r="W814" s="76"/>
      <c r="X814" s="76"/>
    </row>
    <row r="815" ht="18.0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 t="s">
        <v>3623</v>
      </c>
      <c r="L815" s="76"/>
      <c r="M815" s="76" t="s">
        <v>3624</v>
      </c>
      <c r="N815" s="76"/>
      <c r="O815" s="76"/>
      <c r="P815" s="76"/>
      <c r="Q815" s="76"/>
      <c r="R815" s="76"/>
      <c r="S815" s="76"/>
      <c r="T815" s="76"/>
      <c r="U815" s="76" t="s">
        <v>3625</v>
      </c>
      <c r="V815" s="76"/>
      <c r="W815" s="76"/>
      <c r="X815" s="76"/>
    </row>
    <row r="816" ht="18.0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 t="s">
        <v>3626</v>
      </c>
      <c r="L816" s="76"/>
      <c r="M816" s="76" t="s">
        <v>3627</v>
      </c>
      <c r="N816" s="76"/>
      <c r="O816" s="76"/>
      <c r="P816" s="76"/>
      <c r="Q816" s="76"/>
      <c r="R816" s="76"/>
      <c r="S816" s="76"/>
      <c r="T816" s="76"/>
      <c r="U816" s="76" t="s">
        <v>3628</v>
      </c>
      <c r="V816" s="76"/>
      <c r="W816" s="76"/>
      <c r="X816" s="76"/>
    </row>
    <row r="817" ht="18.0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 t="s">
        <v>3629</v>
      </c>
      <c r="L817" s="76"/>
      <c r="M817" s="76" t="s">
        <v>3630</v>
      </c>
      <c r="N817" s="76"/>
      <c r="O817" s="76"/>
      <c r="P817" s="76"/>
      <c r="Q817" s="76"/>
      <c r="R817" s="76"/>
      <c r="S817" s="76"/>
      <c r="T817" s="76"/>
      <c r="U817" s="76" t="s">
        <v>3631</v>
      </c>
      <c r="V817" s="76"/>
      <c r="W817" s="76"/>
      <c r="X817" s="76"/>
    </row>
    <row r="818" ht="18.0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 t="s">
        <v>3632</v>
      </c>
      <c r="L818" s="76"/>
      <c r="M818" s="76" t="s">
        <v>3633</v>
      </c>
      <c r="N818" s="76"/>
      <c r="O818" s="76"/>
      <c r="P818" s="76"/>
      <c r="Q818" s="76"/>
      <c r="R818" s="76"/>
      <c r="S818" s="76"/>
      <c r="T818" s="76"/>
      <c r="U818" s="76" t="s">
        <v>3634</v>
      </c>
      <c r="V818" s="76"/>
      <c r="W818" s="76"/>
      <c r="X818" s="76"/>
    </row>
    <row r="819" ht="18.0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 t="s">
        <v>3635</v>
      </c>
      <c r="L819" s="76"/>
      <c r="M819" s="76" t="s">
        <v>3636</v>
      </c>
      <c r="N819" s="76"/>
      <c r="O819" s="76"/>
      <c r="P819" s="76"/>
      <c r="Q819" s="76"/>
      <c r="R819" s="76"/>
      <c r="S819" s="76"/>
      <c r="T819" s="76"/>
      <c r="U819" s="76" t="s">
        <v>3637</v>
      </c>
      <c r="V819" s="76"/>
      <c r="W819" s="76"/>
      <c r="X819" s="76"/>
    </row>
    <row r="820" ht="18.0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 t="s">
        <v>3638</v>
      </c>
      <c r="L820" s="76"/>
      <c r="M820" s="76" t="s">
        <v>3639</v>
      </c>
      <c r="N820" s="76"/>
      <c r="O820" s="76"/>
      <c r="P820" s="76"/>
      <c r="Q820" s="76"/>
      <c r="R820" s="76"/>
      <c r="S820" s="76"/>
      <c r="T820" s="76"/>
      <c r="U820" s="76" t="s">
        <v>3640</v>
      </c>
      <c r="V820" s="76"/>
      <c r="W820" s="76"/>
      <c r="X820" s="76"/>
    </row>
    <row r="821" ht="18.0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 t="s">
        <v>3641</v>
      </c>
      <c r="L821" s="76"/>
      <c r="M821" s="76" t="s">
        <v>3642</v>
      </c>
      <c r="N821" s="76"/>
      <c r="O821" s="76"/>
      <c r="P821" s="76"/>
      <c r="Q821" s="76"/>
      <c r="R821" s="76"/>
      <c r="S821" s="76"/>
      <c r="T821" s="76"/>
      <c r="U821" s="76" t="s">
        <v>3643</v>
      </c>
      <c r="V821" s="76"/>
      <c r="W821" s="76"/>
      <c r="X821" s="76"/>
    </row>
    <row r="822" ht="18.0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 t="s">
        <v>3644</v>
      </c>
      <c r="L822" s="76"/>
      <c r="M822" s="76" t="s">
        <v>3645</v>
      </c>
      <c r="N822" s="76"/>
      <c r="O822" s="76"/>
      <c r="P822" s="76"/>
      <c r="Q822" s="76"/>
      <c r="R822" s="76"/>
      <c r="S822" s="76"/>
      <c r="T822" s="76"/>
      <c r="U822" s="76" t="s">
        <v>3646</v>
      </c>
      <c r="V822" s="76"/>
      <c r="W822" s="76"/>
      <c r="X822" s="76"/>
    </row>
    <row r="823" ht="18.0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 t="s">
        <v>3647</v>
      </c>
      <c r="L823" s="76"/>
      <c r="M823" s="76" t="s">
        <v>3648</v>
      </c>
      <c r="N823" s="76"/>
      <c r="O823" s="76"/>
      <c r="P823" s="76"/>
      <c r="Q823" s="76"/>
      <c r="R823" s="76"/>
      <c r="S823" s="76"/>
      <c r="T823" s="76"/>
      <c r="U823" s="76" t="s">
        <v>3649</v>
      </c>
      <c r="V823" s="76"/>
      <c r="W823" s="76"/>
      <c r="X823" s="76"/>
    </row>
    <row r="824" ht="18.0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 t="s">
        <v>3650</v>
      </c>
      <c r="L824" s="76"/>
      <c r="M824" s="76" t="s">
        <v>3651</v>
      </c>
      <c r="N824" s="76"/>
      <c r="O824" s="76"/>
      <c r="P824" s="76"/>
      <c r="Q824" s="76"/>
      <c r="R824" s="76"/>
      <c r="S824" s="76"/>
      <c r="T824" s="76"/>
      <c r="U824" s="76" t="s">
        <v>3652</v>
      </c>
      <c r="V824" s="76"/>
      <c r="W824" s="76"/>
      <c r="X824" s="76"/>
    </row>
    <row r="825" ht="18.0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 t="s">
        <v>3653</v>
      </c>
      <c r="L825" s="76"/>
      <c r="M825" s="76" t="s">
        <v>3654</v>
      </c>
      <c r="N825" s="76"/>
      <c r="O825" s="76"/>
      <c r="P825" s="76"/>
      <c r="Q825" s="76"/>
      <c r="R825" s="76"/>
      <c r="S825" s="76"/>
      <c r="T825" s="76"/>
      <c r="U825" s="76" t="s">
        <v>3655</v>
      </c>
      <c r="V825" s="76"/>
      <c r="W825" s="76"/>
      <c r="X825" s="76"/>
    </row>
    <row r="826" ht="18.0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 t="s">
        <v>3656</v>
      </c>
      <c r="L826" s="76"/>
      <c r="M826" s="76" t="s">
        <v>3657</v>
      </c>
      <c r="N826" s="76"/>
      <c r="O826" s="76"/>
      <c r="P826" s="76"/>
      <c r="Q826" s="76"/>
      <c r="R826" s="76"/>
      <c r="S826" s="76"/>
      <c r="T826" s="76"/>
      <c r="U826" s="76" t="s">
        <v>3658</v>
      </c>
      <c r="V826" s="76"/>
      <c r="W826" s="76"/>
      <c r="X826" s="76"/>
    </row>
    <row r="827" ht="18.0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 t="s">
        <v>3659</v>
      </c>
      <c r="L827" s="76"/>
      <c r="M827" s="76" t="s">
        <v>3660</v>
      </c>
      <c r="N827" s="76"/>
      <c r="O827" s="76"/>
      <c r="P827" s="76"/>
      <c r="Q827" s="76"/>
      <c r="R827" s="76"/>
      <c r="S827" s="76"/>
      <c r="T827" s="76"/>
      <c r="U827" s="76" t="s">
        <v>3661</v>
      </c>
      <c r="V827" s="76"/>
      <c r="W827" s="76"/>
      <c r="X827" s="76"/>
    </row>
    <row r="828" ht="18.0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 t="s">
        <v>3662</v>
      </c>
      <c r="L828" s="76"/>
      <c r="M828" s="76" t="s">
        <v>3663</v>
      </c>
      <c r="N828" s="76"/>
      <c r="O828" s="76"/>
      <c r="P828" s="76"/>
      <c r="Q828" s="76"/>
      <c r="R828" s="76"/>
      <c r="S828" s="76"/>
      <c r="T828" s="76"/>
      <c r="U828" s="76" t="s">
        <v>3664</v>
      </c>
      <c r="V828" s="76"/>
      <c r="W828" s="76"/>
      <c r="X828" s="76"/>
    </row>
    <row r="829" ht="18.0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 t="s">
        <v>3665</v>
      </c>
      <c r="L829" s="76"/>
      <c r="M829" s="76" t="s">
        <v>3666</v>
      </c>
      <c r="N829" s="76"/>
      <c r="O829" s="76"/>
      <c r="P829" s="76"/>
      <c r="Q829" s="76"/>
      <c r="R829" s="76"/>
      <c r="S829" s="76"/>
      <c r="T829" s="76"/>
      <c r="U829" s="76" t="s">
        <v>3667</v>
      </c>
      <c r="V829" s="76"/>
      <c r="W829" s="76"/>
      <c r="X829" s="76"/>
    </row>
    <row r="830" ht="18.0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 t="s">
        <v>3668</v>
      </c>
      <c r="L830" s="76"/>
      <c r="M830" s="76" t="s">
        <v>3669</v>
      </c>
      <c r="N830" s="76"/>
      <c r="O830" s="76"/>
      <c r="P830" s="76"/>
      <c r="Q830" s="76"/>
      <c r="R830" s="76"/>
      <c r="S830" s="76"/>
      <c r="T830" s="76"/>
      <c r="U830" s="76" t="s">
        <v>3670</v>
      </c>
      <c r="V830" s="76"/>
      <c r="W830" s="76"/>
      <c r="X830" s="76"/>
    </row>
    <row r="831" ht="18.0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 t="s">
        <v>3671</v>
      </c>
      <c r="L831" s="76"/>
      <c r="M831" s="76" t="s">
        <v>3672</v>
      </c>
      <c r="N831" s="76"/>
      <c r="O831" s="76"/>
      <c r="P831" s="76"/>
      <c r="Q831" s="76"/>
      <c r="R831" s="76"/>
      <c r="S831" s="76"/>
      <c r="T831" s="76"/>
      <c r="U831" s="76" t="s">
        <v>3673</v>
      </c>
      <c r="V831" s="76"/>
      <c r="W831" s="76"/>
      <c r="X831" s="76"/>
    </row>
    <row r="832" ht="18.0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 t="s">
        <v>3674</v>
      </c>
      <c r="L832" s="76"/>
      <c r="M832" s="76" t="s">
        <v>3675</v>
      </c>
      <c r="N832" s="76"/>
      <c r="O832" s="76"/>
      <c r="P832" s="76"/>
      <c r="Q832" s="76"/>
      <c r="R832" s="76"/>
      <c r="S832" s="76"/>
      <c r="T832" s="76"/>
      <c r="U832" s="76" t="s">
        <v>3676</v>
      </c>
      <c r="V832" s="76"/>
      <c r="W832" s="76"/>
      <c r="X832" s="76"/>
    </row>
    <row r="833" ht="18.0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 t="s">
        <v>3677</v>
      </c>
      <c r="L833" s="76"/>
      <c r="M833" s="76" t="s">
        <v>3678</v>
      </c>
      <c r="N833" s="76"/>
      <c r="O833" s="76"/>
      <c r="P833" s="76"/>
      <c r="Q833" s="76"/>
      <c r="R833" s="76"/>
      <c r="S833" s="76"/>
      <c r="T833" s="76"/>
      <c r="U833" s="76" t="s">
        <v>3679</v>
      </c>
      <c r="V833" s="76"/>
      <c r="W833" s="76"/>
      <c r="X833" s="76"/>
    </row>
    <row r="834" ht="18.0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 t="s">
        <v>3680</v>
      </c>
      <c r="L834" s="76"/>
      <c r="M834" s="76" t="s">
        <v>3681</v>
      </c>
      <c r="N834" s="76"/>
      <c r="O834" s="76"/>
      <c r="P834" s="76"/>
      <c r="Q834" s="76"/>
      <c r="R834" s="76"/>
      <c r="S834" s="76"/>
      <c r="T834" s="76"/>
      <c r="U834" s="76" t="s">
        <v>3682</v>
      </c>
      <c r="V834" s="76"/>
      <c r="W834" s="76"/>
      <c r="X834" s="76"/>
    </row>
    <row r="835" ht="18.0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 t="s">
        <v>3683</v>
      </c>
      <c r="L835" s="76"/>
      <c r="M835" s="76" t="s">
        <v>3684</v>
      </c>
      <c r="N835" s="76"/>
      <c r="O835" s="76"/>
      <c r="P835" s="76"/>
      <c r="Q835" s="76"/>
      <c r="R835" s="76"/>
      <c r="S835" s="76"/>
      <c r="T835" s="76"/>
      <c r="U835" s="76" t="s">
        <v>3685</v>
      </c>
      <c r="V835" s="76"/>
      <c r="W835" s="76"/>
      <c r="X835" s="76"/>
    </row>
    <row r="836" ht="18.0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 t="s">
        <v>3686</v>
      </c>
      <c r="L836" s="76"/>
      <c r="M836" s="76" t="s">
        <v>3687</v>
      </c>
      <c r="N836" s="76"/>
      <c r="O836" s="76"/>
      <c r="P836" s="76"/>
      <c r="Q836" s="76"/>
      <c r="R836" s="76"/>
      <c r="S836" s="76"/>
      <c r="T836" s="76"/>
      <c r="U836" s="76" t="s">
        <v>3688</v>
      </c>
      <c r="V836" s="76"/>
      <c r="W836" s="76"/>
      <c r="X836" s="76"/>
    </row>
    <row r="837" ht="18.0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 t="s">
        <v>3689</v>
      </c>
      <c r="L837" s="76"/>
      <c r="M837" s="76" t="s">
        <v>3690</v>
      </c>
      <c r="N837" s="76"/>
      <c r="O837" s="76"/>
      <c r="P837" s="76"/>
      <c r="Q837" s="76"/>
      <c r="R837" s="76"/>
      <c r="S837" s="76"/>
      <c r="T837" s="76"/>
      <c r="U837" s="76" t="s">
        <v>3691</v>
      </c>
      <c r="V837" s="76"/>
      <c r="W837" s="76"/>
      <c r="X837" s="76"/>
    </row>
    <row r="838" ht="18.0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 t="s">
        <v>3692</v>
      </c>
      <c r="L838" s="76"/>
      <c r="M838" s="76" t="s">
        <v>3693</v>
      </c>
      <c r="N838" s="76"/>
      <c r="O838" s="76"/>
      <c r="P838" s="76"/>
      <c r="Q838" s="76"/>
      <c r="R838" s="76"/>
      <c r="S838" s="76"/>
      <c r="T838" s="76"/>
      <c r="U838" s="76" t="s">
        <v>3694</v>
      </c>
      <c r="V838" s="76"/>
      <c r="W838" s="76"/>
      <c r="X838" s="76"/>
    </row>
    <row r="839" ht="18.0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 t="s">
        <v>3695</v>
      </c>
      <c r="L839" s="76"/>
      <c r="M839" s="76" t="s">
        <v>3696</v>
      </c>
      <c r="N839" s="76"/>
      <c r="O839" s="76"/>
      <c r="P839" s="76"/>
      <c r="Q839" s="76"/>
      <c r="R839" s="76"/>
      <c r="S839" s="76"/>
      <c r="T839" s="76"/>
      <c r="U839" s="76" t="s">
        <v>3697</v>
      </c>
      <c r="V839" s="76"/>
      <c r="W839" s="76"/>
      <c r="X839" s="76"/>
    </row>
    <row r="840" ht="18.0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 t="s">
        <v>3698</v>
      </c>
      <c r="L840" s="76"/>
      <c r="M840" s="76" t="s">
        <v>3699</v>
      </c>
      <c r="N840" s="76"/>
      <c r="O840" s="76"/>
      <c r="P840" s="76"/>
      <c r="Q840" s="76"/>
      <c r="R840" s="76"/>
      <c r="S840" s="76"/>
      <c r="T840" s="76"/>
      <c r="U840" s="76" t="s">
        <v>3700</v>
      </c>
      <c r="V840" s="76"/>
      <c r="W840" s="76"/>
      <c r="X840" s="76"/>
    </row>
    <row r="841" ht="18.0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 t="s">
        <v>3701</v>
      </c>
      <c r="L841" s="76"/>
      <c r="M841" s="76" t="s">
        <v>3702</v>
      </c>
      <c r="N841" s="76"/>
      <c r="O841" s="76"/>
      <c r="P841" s="76"/>
      <c r="Q841" s="76"/>
      <c r="R841" s="76"/>
      <c r="S841" s="76"/>
      <c r="T841" s="76"/>
      <c r="U841" s="76" t="s">
        <v>3703</v>
      </c>
      <c r="V841" s="76"/>
      <c r="W841" s="76"/>
      <c r="X841" s="76"/>
    </row>
    <row r="842" ht="18.0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 t="s">
        <v>3704</v>
      </c>
      <c r="L842" s="76"/>
      <c r="M842" s="76" t="s">
        <v>3705</v>
      </c>
      <c r="N842" s="76"/>
      <c r="O842" s="76"/>
      <c r="P842" s="76"/>
      <c r="Q842" s="76"/>
      <c r="R842" s="76"/>
      <c r="S842" s="76"/>
      <c r="T842" s="76"/>
      <c r="U842" s="76" t="s">
        <v>3706</v>
      </c>
      <c r="V842" s="76"/>
      <c r="W842" s="76"/>
      <c r="X842" s="76"/>
    </row>
    <row r="843" ht="18.0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 t="s">
        <v>3707</v>
      </c>
      <c r="L843" s="76"/>
      <c r="M843" s="76" t="s">
        <v>3708</v>
      </c>
      <c r="N843" s="76"/>
      <c r="O843" s="76"/>
      <c r="P843" s="76"/>
      <c r="Q843" s="76"/>
      <c r="R843" s="76"/>
      <c r="S843" s="76"/>
      <c r="T843" s="76"/>
      <c r="U843" s="76" t="s">
        <v>3709</v>
      </c>
      <c r="V843" s="76"/>
      <c r="W843" s="76"/>
      <c r="X843" s="76"/>
    </row>
    <row r="844" ht="18.0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 t="s">
        <v>3710</v>
      </c>
      <c r="L844" s="76"/>
      <c r="M844" s="76" t="s">
        <v>3711</v>
      </c>
      <c r="N844" s="76"/>
      <c r="O844" s="76"/>
      <c r="P844" s="76"/>
      <c r="Q844" s="76"/>
      <c r="R844" s="76"/>
      <c r="S844" s="76"/>
      <c r="T844" s="76"/>
      <c r="U844" s="76" t="s">
        <v>3712</v>
      </c>
      <c r="V844" s="76"/>
      <c r="W844" s="76"/>
      <c r="X844" s="76"/>
    </row>
    <row r="845" ht="18.0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 t="s">
        <v>3713</v>
      </c>
      <c r="L845" s="76"/>
      <c r="M845" s="76" t="s">
        <v>3714</v>
      </c>
      <c r="N845" s="76"/>
      <c r="O845" s="76"/>
      <c r="P845" s="76"/>
      <c r="Q845" s="76"/>
      <c r="R845" s="76"/>
      <c r="S845" s="76"/>
      <c r="T845" s="76"/>
      <c r="U845" s="76" t="s">
        <v>3715</v>
      </c>
      <c r="V845" s="76"/>
      <c r="W845" s="76"/>
      <c r="X845" s="76"/>
    </row>
    <row r="846" ht="18.0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 t="s">
        <v>3716</v>
      </c>
      <c r="L846" s="76"/>
      <c r="M846" s="76" t="s">
        <v>3717</v>
      </c>
      <c r="N846" s="76"/>
      <c r="O846" s="76"/>
      <c r="P846" s="76"/>
      <c r="Q846" s="76"/>
      <c r="R846" s="76"/>
      <c r="S846" s="76"/>
      <c r="T846" s="76"/>
      <c r="U846" s="76" t="s">
        <v>3718</v>
      </c>
      <c r="V846" s="76"/>
      <c r="W846" s="76"/>
      <c r="X846" s="76"/>
    </row>
    <row r="847" ht="18.0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 t="s">
        <v>3719</v>
      </c>
      <c r="L847" s="76"/>
      <c r="M847" s="76" t="s">
        <v>3720</v>
      </c>
      <c r="N847" s="76"/>
      <c r="O847" s="76"/>
      <c r="P847" s="76"/>
      <c r="Q847" s="76"/>
      <c r="R847" s="76"/>
      <c r="S847" s="76"/>
      <c r="T847" s="76"/>
      <c r="U847" s="76" t="s">
        <v>3721</v>
      </c>
      <c r="V847" s="76"/>
      <c r="W847" s="76"/>
      <c r="X847" s="76"/>
    </row>
    <row r="848" ht="18.0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 t="s">
        <v>3722</v>
      </c>
      <c r="L848" s="76"/>
      <c r="M848" s="76" t="s">
        <v>3723</v>
      </c>
      <c r="N848" s="76"/>
      <c r="O848" s="76"/>
      <c r="P848" s="76"/>
      <c r="Q848" s="76"/>
      <c r="R848" s="76"/>
      <c r="S848" s="76"/>
      <c r="T848" s="76"/>
      <c r="U848" s="76" t="s">
        <v>3724</v>
      </c>
      <c r="V848" s="76"/>
      <c r="W848" s="76"/>
      <c r="X848" s="76"/>
    </row>
    <row r="849" ht="18.0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 t="s">
        <v>3725</v>
      </c>
      <c r="L849" s="76"/>
      <c r="M849" s="76" t="s">
        <v>3726</v>
      </c>
      <c r="N849" s="76"/>
      <c r="O849" s="76"/>
      <c r="P849" s="76"/>
      <c r="Q849" s="76"/>
      <c r="R849" s="76"/>
      <c r="S849" s="76"/>
      <c r="T849" s="76"/>
      <c r="U849" s="76" t="s">
        <v>3727</v>
      </c>
      <c r="V849" s="76"/>
      <c r="W849" s="76"/>
      <c r="X849" s="76"/>
    </row>
    <row r="850" ht="18.0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 t="s">
        <v>3728</v>
      </c>
      <c r="L850" s="76"/>
      <c r="M850" s="76" t="s">
        <v>3729</v>
      </c>
      <c r="N850" s="76"/>
      <c r="O850" s="76"/>
      <c r="P850" s="76"/>
      <c r="Q850" s="76"/>
      <c r="R850" s="76"/>
      <c r="S850" s="76"/>
      <c r="T850" s="76"/>
      <c r="U850" s="76" t="s">
        <v>3730</v>
      </c>
      <c r="V850" s="76"/>
      <c r="W850" s="76"/>
      <c r="X850" s="76"/>
    </row>
    <row r="851" ht="18.0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 t="s">
        <v>3731</v>
      </c>
      <c r="L851" s="76"/>
      <c r="M851" s="76" t="s">
        <v>3732</v>
      </c>
      <c r="N851" s="76"/>
      <c r="O851" s="76"/>
      <c r="P851" s="76"/>
      <c r="Q851" s="76"/>
      <c r="R851" s="76"/>
      <c r="S851" s="76"/>
      <c r="T851" s="76"/>
      <c r="U851" s="76" t="s">
        <v>3733</v>
      </c>
      <c r="V851" s="76"/>
      <c r="W851" s="76"/>
      <c r="X851" s="76"/>
    </row>
    <row r="852" ht="18.0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 t="s">
        <v>3734</v>
      </c>
      <c r="L852" s="76"/>
      <c r="M852" s="76" t="s">
        <v>3735</v>
      </c>
      <c r="N852" s="76"/>
      <c r="O852" s="76"/>
      <c r="P852" s="76"/>
      <c r="Q852" s="76"/>
      <c r="R852" s="76"/>
      <c r="S852" s="76"/>
      <c r="T852" s="76"/>
      <c r="U852" s="76" t="s">
        <v>3736</v>
      </c>
      <c r="V852" s="76"/>
      <c r="W852" s="76"/>
      <c r="X852" s="76"/>
    </row>
    <row r="853" ht="18.0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 t="s">
        <v>3737</v>
      </c>
      <c r="L853" s="76"/>
      <c r="M853" s="76" t="s">
        <v>3738</v>
      </c>
      <c r="N853" s="76"/>
      <c r="O853" s="76"/>
      <c r="P853" s="76"/>
      <c r="Q853" s="76"/>
      <c r="R853" s="76"/>
      <c r="S853" s="76"/>
      <c r="T853" s="76"/>
      <c r="U853" s="76" t="s">
        <v>3739</v>
      </c>
      <c r="V853" s="76"/>
      <c r="W853" s="76"/>
      <c r="X853" s="76"/>
    </row>
    <row r="854" ht="18.0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 t="s">
        <v>3740</v>
      </c>
      <c r="L854" s="76"/>
      <c r="M854" s="76" t="s">
        <v>3741</v>
      </c>
      <c r="N854" s="76"/>
      <c r="O854" s="76"/>
      <c r="P854" s="76"/>
      <c r="Q854" s="76"/>
      <c r="R854" s="76"/>
      <c r="S854" s="76"/>
      <c r="T854" s="76"/>
      <c r="U854" s="76" t="s">
        <v>3742</v>
      </c>
      <c r="V854" s="76"/>
      <c r="W854" s="76"/>
      <c r="X854" s="76"/>
    </row>
    <row r="855" ht="18.0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 t="s">
        <v>3743</v>
      </c>
      <c r="L855" s="76"/>
      <c r="M855" s="76" t="s">
        <v>3744</v>
      </c>
      <c r="N855" s="76"/>
      <c r="O855" s="76"/>
      <c r="P855" s="76"/>
      <c r="Q855" s="76"/>
      <c r="R855" s="76"/>
      <c r="S855" s="76"/>
      <c r="T855" s="76"/>
      <c r="U855" s="76" t="s">
        <v>3745</v>
      </c>
      <c r="V855" s="76"/>
      <c r="W855" s="76"/>
      <c r="X855" s="76"/>
    </row>
    <row r="856" ht="18.0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 t="s">
        <v>3746</v>
      </c>
      <c r="L856" s="76"/>
      <c r="M856" s="76" t="s">
        <v>3747</v>
      </c>
      <c r="N856" s="76"/>
      <c r="O856" s="76"/>
      <c r="P856" s="76"/>
      <c r="Q856" s="76"/>
      <c r="R856" s="76"/>
      <c r="S856" s="76"/>
      <c r="T856" s="76"/>
      <c r="U856" s="76" t="s">
        <v>3748</v>
      </c>
      <c r="V856" s="76"/>
      <c r="W856" s="76"/>
      <c r="X856" s="76"/>
    </row>
    <row r="857" ht="18.0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 t="s">
        <v>3749</v>
      </c>
      <c r="L857" s="76"/>
      <c r="M857" s="76" t="s">
        <v>3750</v>
      </c>
      <c r="N857" s="76"/>
      <c r="O857" s="76"/>
      <c r="P857" s="76"/>
      <c r="Q857" s="76"/>
      <c r="R857" s="76"/>
      <c r="S857" s="76"/>
      <c r="T857" s="76"/>
      <c r="U857" s="76" t="s">
        <v>3751</v>
      </c>
      <c r="V857" s="76"/>
      <c r="W857" s="76"/>
      <c r="X857" s="76"/>
    </row>
    <row r="858" ht="18.0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 t="s">
        <v>3752</v>
      </c>
      <c r="L858" s="76"/>
      <c r="M858" s="76" t="s">
        <v>3753</v>
      </c>
      <c r="N858" s="76"/>
      <c r="O858" s="76"/>
      <c r="P858" s="76"/>
      <c r="Q858" s="76"/>
      <c r="R858" s="76"/>
      <c r="S858" s="76"/>
      <c r="T858" s="76"/>
      <c r="U858" s="76" t="s">
        <v>3754</v>
      </c>
      <c r="V858" s="76"/>
      <c r="W858" s="76"/>
      <c r="X858" s="76"/>
    </row>
    <row r="859" ht="18.0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 t="s">
        <v>3755</v>
      </c>
      <c r="L859" s="76"/>
      <c r="M859" s="76" t="s">
        <v>3756</v>
      </c>
      <c r="N859" s="76"/>
      <c r="O859" s="76"/>
      <c r="P859" s="76"/>
      <c r="Q859" s="76"/>
      <c r="R859" s="76"/>
      <c r="S859" s="76"/>
      <c r="T859" s="76"/>
      <c r="U859" s="76" t="s">
        <v>3757</v>
      </c>
      <c r="V859" s="76"/>
      <c r="W859" s="76"/>
      <c r="X859" s="76"/>
    </row>
    <row r="860" ht="18.0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 t="s">
        <v>3758</v>
      </c>
      <c r="L860" s="76"/>
      <c r="M860" s="76" t="s">
        <v>3759</v>
      </c>
      <c r="N860" s="76"/>
      <c r="O860" s="76"/>
      <c r="P860" s="76"/>
      <c r="Q860" s="76"/>
      <c r="R860" s="76"/>
      <c r="S860" s="76"/>
      <c r="T860" s="76"/>
      <c r="U860" s="76" t="s">
        <v>3760</v>
      </c>
      <c r="V860" s="76"/>
      <c r="W860" s="76"/>
      <c r="X860" s="76"/>
    </row>
    <row r="861" ht="18.0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 t="s">
        <v>3761</v>
      </c>
      <c r="L861" s="76"/>
      <c r="M861" s="76" t="s">
        <v>3762</v>
      </c>
      <c r="N861" s="76"/>
      <c r="O861" s="76"/>
      <c r="P861" s="76"/>
      <c r="Q861" s="76"/>
      <c r="R861" s="76"/>
      <c r="S861" s="76"/>
      <c r="T861" s="76"/>
      <c r="U861" s="76" t="s">
        <v>3763</v>
      </c>
      <c r="V861" s="76"/>
      <c r="W861" s="76"/>
      <c r="X861" s="76"/>
    </row>
    <row r="862" ht="18.0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 t="s">
        <v>3764</v>
      </c>
      <c r="L862" s="76"/>
      <c r="M862" s="76" t="s">
        <v>3765</v>
      </c>
      <c r="N862" s="76"/>
      <c r="O862" s="76"/>
      <c r="P862" s="76"/>
      <c r="Q862" s="76"/>
      <c r="R862" s="76"/>
      <c r="S862" s="76"/>
      <c r="T862" s="76"/>
      <c r="U862" s="76" t="s">
        <v>3766</v>
      </c>
      <c r="V862" s="76"/>
      <c r="W862" s="76"/>
      <c r="X862" s="76"/>
    </row>
    <row r="863" ht="18.0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 t="s">
        <v>3767</v>
      </c>
      <c r="L863" s="76"/>
      <c r="M863" s="76" t="s">
        <v>3768</v>
      </c>
      <c r="N863" s="76"/>
      <c r="O863" s="76"/>
      <c r="P863" s="76"/>
      <c r="Q863" s="76"/>
      <c r="R863" s="76"/>
      <c r="S863" s="76"/>
      <c r="T863" s="76"/>
      <c r="U863" s="76" t="s">
        <v>3769</v>
      </c>
      <c r="V863" s="76"/>
      <c r="W863" s="76"/>
      <c r="X863" s="76"/>
    </row>
    <row r="864" ht="18.0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 t="s">
        <v>3770</v>
      </c>
      <c r="L864" s="76"/>
      <c r="M864" s="76" t="s">
        <v>3771</v>
      </c>
      <c r="N864" s="76"/>
      <c r="O864" s="76"/>
      <c r="P864" s="76"/>
      <c r="Q864" s="76"/>
      <c r="R864" s="76"/>
      <c r="S864" s="76"/>
      <c r="T864" s="76"/>
      <c r="U864" s="76" t="s">
        <v>3772</v>
      </c>
      <c r="V864" s="76"/>
      <c r="W864" s="76"/>
      <c r="X864" s="76"/>
    </row>
    <row r="865" ht="18.0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 t="s">
        <v>3773</v>
      </c>
      <c r="L865" s="76"/>
      <c r="M865" s="76" t="s">
        <v>3774</v>
      </c>
      <c r="N865" s="76"/>
      <c r="O865" s="76"/>
      <c r="P865" s="76"/>
      <c r="Q865" s="76"/>
      <c r="R865" s="76"/>
      <c r="S865" s="76"/>
      <c r="T865" s="76"/>
      <c r="U865" s="76" t="s">
        <v>3775</v>
      </c>
      <c r="V865" s="76"/>
      <c r="W865" s="76"/>
      <c r="X865" s="76"/>
    </row>
    <row r="866" ht="18.0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 t="s">
        <v>3776</v>
      </c>
      <c r="L866" s="76"/>
      <c r="M866" s="76" t="s">
        <v>3777</v>
      </c>
      <c r="N866" s="76"/>
      <c r="O866" s="76"/>
      <c r="P866" s="76"/>
      <c r="Q866" s="76"/>
      <c r="R866" s="76"/>
      <c r="S866" s="76"/>
      <c r="T866" s="76"/>
      <c r="U866" s="76" t="s">
        <v>3778</v>
      </c>
      <c r="V866" s="76"/>
      <c r="W866" s="76"/>
      <c r="X866" s="76"/>
    </row>
    <row r="867" ht="18.0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 t="s">
        <v>3779</v>
      </c>
      <c r="L867" s="76"/>
      <c r="M867" s="76" t="s">
        <v>3780</v>
      </c>
      <c r="N867" s="76"/>
      <c r="O867" s="76"/>
      <c r="P867" s="76"/>
      <c r="Q867" s="76"/>
      <c r="R867" s="76"/>
      <c r="S867" s="76"/>
      <c r="T867" s="76"/>
      <c r="U867" s="76" t="s">
        <v>3781</v>
      </c>
      <c r="V867" s="76"/>
      <c r="W867" s="76"/>
      <c r="X867" s="76"/>
    </row>
    <row r="868" ht="18.0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 t="s">
        <v>3782</v>
      </c>
      <c r="L868" s="76"/>
      <c r="M868" s="76" t="s">
        <v>3783</v>
      </c>
      <c r="N868" s="76"/>
      <c r="O868" s="76"/>
      <c r="P868" s="76"/>
      <c r="Q868" s="76"/>
      <c r="R868" s="76"/>
      <c r="S868" s="76"/>
      <c r="T868" s="76"/>
      <c r="U868" s="76" t="s">
        <v>3784</v>
      </c>
      <c r="V868" s="76"/>
      <c r="W868" s="76"/>
      <c r="X868" s="76"/>
    </row>
    <row r="869" ht="18.0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 t="s">
        <v>3785</v>
      </c>
      <c r="L869" s="76"/>
      <c r="M869" s="76" t="s">
        <v>3786</v>
      </c>
      <c r="N869" s="76"/>
      <c r="O869" s="76"/>
      <c r="P869" s="76"/>
      <c r="Q869" s="76"/>
      <c r="R869" s="76"/>
      <c r="S869" s="76"/>
      <c r="T869" s="76"/>
      <c r="U869" s="76" t="s">
        <v>3787</v>
      </c>
      <c r="V869" s="76"/>
      <c r="W869" s="76"/>
      <c r="X869" s="76"/>
    </row>
    <row r="870" ht="18.0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 t="s">
        <v>3788</v>
      </c>
      <c r="L870" s="76"/>
      <c r="M870" s="76" t="s">
        <v>3789</v>
      </c>
      <c r="N870" s="76"/>
      <c r="O870" s="76"/>
      <c r="P870" s="76"/>
      <c r="Q870" s="76"/>
      <c r="R870" s="76"/>
      <c r="S870" s="76"/>
      <c r="T870" s="76"/>
      <c r="U870" s="76" t="s">
        <v>3790</v>
      </c>
      <c r="V870" s="76"/>
      <c r="W870" s="76"/>
      <c r="X870" s="76"/>
    </row>
    <row r="871" ht="18.0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 t="s">
        <v>3791</v>
      </c>
      <c r="L871" s="76"/>
      <c r="M871" s="76" t="s">
        <v>3792</v>
      </c>
      <c r="N871" s="76"/>
      <c r="O871" s="76"/>
      <c r="P871" s="76"/>
      <c r="Q871" s="76"/>
      <c r="R871" s="76"/>
      <c r="S871" s="76"/>
      <c r="T871" s="76"/>
      <c r="U871" s="76" t="s">
        <v>3793</v>
      </c>
      <c r="V871" s="76"/>
      <c r="W871" s="76"/>
      <c r="X871" s="76"/>
    </row>
    <row r="872" ht="18.0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 t="s">
        <v>3794</v>
      </c>
      <c r="L872" s="76"/>
      <c r="M872" s="76" t="s">
        <v>3795</v>
      </c>
      <c r="N872" s="76"/>
      <c r="O872" s="76"/>
      <c r="P872" s="76"/>
      <c r="Q872" s="76"/>
      <c r="R872" s="76"/>
      <c r="S872" s="76"/>
      <c r="T872" s="76"/>
      <c r="U872" s="76" t="s">
        <v>3796</v>
      </c>
      <c r="V872" s="76"/>
      <c r="W872" s="76"/>
      <c r="X872" s="76"/>
    </row>
    <row r="873" ht="18.0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 t="s">
        <v>3797</v>
      </c>
      <c r="L873" s="76"/>
      <c r="M873" s="76" t="s">
        <v>3798</v>
      </c>
      <c r="N873" s="76"/>
      <c r="O873" s="76"/>
      <c r="P873" s="76"/>
      <c r="Q873" s="76"/>
      <c r="R873" s="76"/>
      <c r="S873" s="76"/>
      <c r="T873" s="76"/>
      <c r="U873" s="76" t="s">
        <v>3799</v>
      </c>
      <c r="V873" s="76"/>
      <c r="W873" s="76"/>
      <c r="X873" s="76"/>
    </row>
    <row r="874" ht="18.0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 t="s">
        <v>3800</v>
      </c>
      <c r="L874" s="76"/>
      <c r="M874" s="76" t="s">
        <v>3801</v>
      </c>
      <c r="N874" s="76"/>
      <c r="O874" s="76"/>
      <c r="P874" s="76"/>
      <c r="Q874" s="76"/>
      <c r="R874" s="76"/>
      <c r="S874" s="76"/>
      <c r="T874" s="76"/>
      <c r="U874" s="76" t="s">
        <v>3802</v>
      </c>
      <c r="V874" s="76"/>
      <c r="W874" s="76"/>
      <c r="X874" s="76"/>
    </row>
    <row r="875" ht="18.0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 t="s">
        <v>3803</v>
      </c>
      <c r="L875" s="76"/>
      <c r="M875" s="76" t="s">
        <v>3804</v>
      </c>
      <c r="N875" s="76"/>
      <c r="O875" s="76"/>
      <c r="P875" s="76"/>
      <c r="Q875" s="76"/>
      <c r="R875" s="76"/>
      <c r="S875" s="76"/>
      <c r="T875" s="76"/>
      <c r="U875" s="76" t="s">
        <v>3805</v>
      </c>
      <c r="V875" s="76"/>
      <c r="W875" s="76"/>
      <c r="X875" s="76"/>
    </row>
    <row r="876" ht="18.0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 t="s">
        <v>3806</v>
      </c>
      <c r="L876" s="76"/>
      <c r="M876" s="76" t="s">
        <v>3807</v>
      </c>
      <c r="N876" s="76"/>
      <c r="O876" s="76"/>
      <c r="P876" s="76"/>
      <c r="Q876" s="76"/>
      <c r="R876" s="76"/>
      <c r="S876" s="76"/>
      <c r="T876" s="76"/>
      <c r="U876" s="76" t="s">
        <v>3808</v>
      </c>
      <c r="V876" s="76"/>
      <c r="W876" s="76"/>
      <c r="X876" s="76"/>
    </row>
    <row r="877" ht="18.0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 t="s">
        <v>3809</v>
      </c>
      <c r="L877" s="76"/>
      <c r="M877" s="76" t="s">
        <v>3810</v>
      </c>
      <c r="N877" s="76"/>
      <c r="O877" s="76"/>
      <c r="P877" s="76"/>
      <c r="Q877" s="76"/>
      <c r="R877" s="76"/>
      <c r="S877" s="76"/>
      <c r="T877" s="76"/>
      <c r="U877" s="76" t="s">
        <v>3811</v>
      </c>
      <c r="V877" s="76"/>
      <c r="W877" s="76"/>
      <c r="X877" s="76"/>
    </row>
    <row r="878" ht="18.0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 t="s">
        <v>3812</v>
      </c>
      <c r="L878" s="76"/>
      <c r="M878" s="76" t="s">
        <v>3813</v>
      </c>
      <c r="N878" s="76"/>
      <c r="O878" s="76"/>
      <c r="P878" s="76"/>
      <c r="Q878" s="76"/>
      <c r="R878" s="76"/>
      <c r="S878" s="76"/>
      <c r="T878" s="76"/>
      <c r="U878" s="76" t="s">
        <v>3814</v>
      </c>
      <c r="V878" s="76"/>
      <c r="W878" s="76"/>
      <c r="X878" s="76"/>
    </row>
    <row r="879" ht="18.0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 t="s">
        <v>3815</v>
      </c>
      <c r="L879" s="76"/>
      <c r="M879" s="76" t="s">
        <v>3816</v>
      </c>
      <c r="N879" s="76"/>
      <c r="O879" s="76"/>
      <c r="P879" s="76"/>
      <c r="Q879" s="76"/>
      <c r="R879" s="76"/>
      <c r="S879" s="76"/>
      <c r="T879" s="76"/>
      <c r="U879" s="76" t="s">
        <v>3817</v>
      </c>
      <c r="V879" s="76"/>
      <c r="W879" s="76"/>
      <c r="X879" s="76"/>
    </row>
    <row r="880" ht="18.0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 t="s">
        <v>3818</v>
      </c>
      <c r="L880" s="76"/>
      <c r="M880" s="76" t="s">
        <v>3819</v>
      </c>
      <c r="N880" s="76"/>
      <c r="O880" s="76"/>
      <c r="P880" s="76"/>
      <c r="Q880" s="76"/>
      <c r="R880" s="76"/>
      <c r="S880" s="76"/>
      <c r="T880" s="76"/>
      <c r="U880" s="76" t="s">
        <v>3820</v>
      </c>
      <c r="V880" s="76"/>
      <c r="W880" s="76"/>
      <c r="X880" s="76"/>
    </row>
    <row r="881" ht="18.0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 t="s">
        <v>3821</v>
      </c>
      <c r="L881" s="76"/>
      <c r="M881" s="76" t="s">
        <v>3822</v>
      </c>
      <c r="N881" s="76"/>
      <c r="O881" s="76"/>
      <c r="P881" s="76"/>
      <c r="Q881" s="76"/>
      <c r="R881" s="76"/>
      <c r="S881" s="76"/>
      <c r="T881" s="76"/>
      <c r="U881" s="76" t="s">
        <v>3823</v>
      </c>
      <c r="V881" s="76"/>
      <c r="W881" s="76"/>
      <c r="X881" s="76"/>
    </row>
    <row r="882" ht="18.0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 t="s">
        <v>3824</v>
      </c>
      <c r="L882" s="76"/>
      <c r="M882" s="76" t="s">
        <v>3825</v>
      </c>
      <c r="N882" s="76"/>
      <c r="O882" s="76"/>
      <c r="P882" s="76"/>
      <c r="Q882" s="76"/>
      <c r="R882" s="76"/>
      <c r="S882" s="76"/>
      <c r="T882" s="76"/>
      <c r="U882" s="76" t="s">
        <v>3826</v>
      </c>
      <c r="V882" s="76"/>
      <c r="W882" s="76"/>
      <c r="X882" s="76"/>
    </row>
    <row r="883" ht="18.0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 t="s">
        <v>3827</v>
      </c>
      <c r="L883" s="76"/>
      <c r="M883" s="76" t="s">
        <v>3828</v>
      </c>
      <c r="N883" s="76"/>
      <c r="O883" s="76"/>
      <c r="P883" s="76"/>
      <c r="Q883" s="76"/>
      <c r="R883" s="76"/>
      <c r="S883" s="76"/>
      <c r="T883" s="76"/>
      <c r="U883" s="76" t="s">
        <v>3829</v>
      </c>
      <c r="V883" s="76"/>
      <c r="W883" s="76"/>
      <c r="X883" s="76"/>
    </row>
    <row r="884" ht="18.0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 t="s">
        <v>3830</v>
      </c>
      <c r="L884" s="76"/>
      <c r="M884" s="76" t="s">
        <v>3831</v>
      </c>
      <c r="N884" s="76"/>
      <c r="O884" s="76"/>
      <c r="P884" s="76"/>
      <c r="Q884" s="76"/>
      <c r="R884" s="76"/>
      <c r="S884" s="76"/>
      <c r="T884" s="76"/>
      <c r="U884" s="76" t="s">
        <v>3832</v>
      </c>
      <c r="V884" s="76"/>
      <c r="W884" s="76"/>
      <c r="X884" s="76"/>
    </row>
    <row r="885" ht="18.0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 t="s">
        <v>3833</v>
      </c>
      <c r="L885" s="76"/>
      <c r="M885" s="76" t="s">
        <v>3834</v>
      </c>
      <c r="N885" s="76"/>
      <c r="O885" s="76"/>
      <c r="P885" s="76"/>
      <c r="Q885" s="76"/>
      <c r="R885" s="76"/>
      <c r="S885" s="76"/>
      <c r="T885" s="76"/>
      <c r="U885" s="76" t="s">
        <v>3835</v>
      </c>
      <c r="V885" s="76"/>
      <c r="W885" s="76"/>
      <c r="X885" s="76"/>
    </row>
    <row r="886" ht="18.0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 t="s">
        <v>3836</v>
      </c>
      <c r="L886" s="76"/>
      <c r="M886" s="76" t="s">
        <v>3837</v>
      </c>
      <c r="N886" s="76"/>
      <c r="O886" s="76"/>
      <c r="P886" s="76"/>
      <c r="Q886" s="76"/>
      <c r="R886" s="76"/>
      <c r="S886" s="76"/>
      <c r="T886" s="76"/>
      <c r="U886" s="76" t="s">
        <v>3838</v>
      </c>
      <c r="V886" s="76"/>
      <c r="W886" s="76"/>
      <c r="X886" s="76"/>
    </row>
    <row r="887" ht="18.0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 t="s">
        <v>3839</v>
      </c>
      <c r="L887" s="76"/>
      <c r="M887" s="76" t="s">
        <v>3840</v>
      </c>
      <c r="N887" s="76"/>
      <c r="O887" s="76"/>
      <c r="P887" s="76"/>
      <c r="Q887" s="76"/>
      <c r="R887" s="76"/>
      <c r="S887" s="76"/>
      <c r="T887" s="76"/>
      <c r="U887" s="76" t="s">
        <v>3841</v>
      </c>
      <c r="V887" s="76"/>
      <c r="W887" s="76"/>
      <c r="X887" s="76"/>
    </row>
    <row r="888" ht="18.0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 t="s">
        <v>3842</v>
      </c>
      <c r="L888" s="76"/>
      <c r="M888" s="76" t="s">
        <v>3843</v>
      </c>
      <c r="N888" s="76"/>
      <c r="O888" s="76"/>
      <c r="P888" s="76"/>
      <c r="Q888" s="76"/>
      <c r="R888" s="76"/>
      <c r="S888" s="76"/>
      <c r="T888" s="76"/>
      <c r="U888" s="76" t="s">
        <v>3844</v>
      </c>
      <c r="V888" s="76"/>
      <c r="W888" s="76"/>
      <c r="X888" s="76"/>
    </row>
    <row r="889" ht="18.0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 t="s">
        <v>3845</v>
      </c>
      <c r="L889" s="76"/>
      <c r="M889" s="76" t="s">
        <v>3846</v>
      </c>
      <c r="N889" s="76"/>
      <c r="O889" s="76"/>
      <c r="P889" s="76"/>
      <c r="Q889" s="76"/>
      <c r="R889" s="76"/>
      <c r="S889" s="76"/>
      <c r="T889" s="76"/>
      <c r="U889" s="76" t="s">
        <v>3847</v>
      </c>
      <c r="V889" s="76"/>
      <c r="W889" s="76"/>
      <c r="X889" s="76"/>
    </row>
    <row r="890" ht="18.0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 t="s">
        <v>3848</v>
      </c>
      <c r="L890" s="76"/>
      <c r="M890" s="76" t="s">
        <v>3849</v>
      </c>
      <c r="N890" s="76"/>
      <c r="O890" s="76"/>
      <c r="P890" s="76"/>
      <c r="Q890" s="76"/>
      <c r="R890" s="76"/>
      <c r="S890" s="76"/>
      <c r="T890" s="76"/>
      <c r="U890" s="76" t="s">
        <v>3850</v>
      </c>
      <c r="V890" s="76"/>
      <c r="W890" s="76"/>
      <c r="X890" s="76"/>
    </row>
    <row r="891" ht="18.0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 t="s">
        <v>3851</v>
      </c>
      <c r="L891" s="76"/>
      <c r="M891" s="76" t="s">
        <v>3852</v>
      </c>
      <c r="N891" s="76"/>
      <c r="O891" s="76"/>
      <c r="P891" s="76"/>
      <c r="Q891" s="76"/>
      <c r="R891" s="76"/>
      <c r="S891" s="76"/>
      <c r="T891" s="76"/>
      <c r="U891" s="76" t="s">
        <v>3853</v>
      </c>
      <c r="V891" s="76"/>
      <c r="W891" s="76"/>
      <c r="X891" s="76"/>
    </row>
    <row r="892" ht="18.0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 t="s">
        <v>3854</v>
      </c>
      <c r="L892" s="76"/>
      <c r="M892" s="76" t="s">
        <v>3855</v>
      </c>
      <c r="N892" s="76"/>
      <c r="O892" s="76"/>
      <c r="P892" s="76"/>
      <c r="Q892" s="76"/>
      <c r="R892" s="76"/>
      <c r="S892" s="76"/>
      <c r="T892" s="76"/>
      <c r="U892" s="76" t="s">
        <v>3856</v>
      </c>
      <c r="V892" s="76"/>
      <c r="W892" s="76"/>
      <c r="X892" s="76"/>
    </row>
    <row r="893" ht="18.0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 t="s">
        <v>3857</v>
      </c>
      <c r="L893" s="76"/>
      <c r="M893" s="76" t="s">
        <v>3858</v>
      </c>
      <c r="N893" s="76"/>
      <c r="O893" s="76"/>
      <c r="P893" s="76"/>
      <c r="Q893" s="76"/>
      <c r="R893" s="76"/>
      <c r="S893" s="76"/>
      <c r="T893" s="76"/>
      <c r="U893" s="76" t="s">
        <v>3859</v>
      </c>
      <c r="V893" s="76"/>
      <c r="W893" s="76"/>
      <c r="X893" s="76"/>
    </row>
    <row r="894" ht="18.0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 t="s">
        <v>3860</v>
      </c>
      <c r="L894" s="76"/>
      <c r="M894" s="76" t="s">
        <v>3861</v>
      </c>
      <c r="N894" s="76"/>
      <c r="O894" s="76"/>
      <c r="P894" s="76"/>
      <c r="Q894" s="76"/>
      <c r="R894" s="76"/>
      <c r="S894" s="76"/>
      <c r="T894" s="76"/>
      <c r="U894" s="76" t="s">
        <v>3862</v>
      </c>
      <c r="V894" s="76"/>
      <c r="W894" s="76"/>
      <c r="X894" s="76"/>
    </row>
    <row r="895" ht="18.0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 t="s">
        <v>3863</v>
      </c>
      <c r="L895" s="76"/>
      <c r="M895" s="76" t="s">
        <v>3864</v>
      </c>
      <c r="N895" s="76"/>
      <c r="O895" s="76"/>
      <c r="P895" s="76"/>
      <c r="Q895" s="76"/>
      <c r="R895" s="76"/>
      <c r="S895" s="76"/>
      <c r="T895" s="76"/>
      <c r="U895" s="76" t="s">
        <v>3865</v>
      </c>
      <c r="V895" s="76"/>
      <c r="W895" s="76"/>
      <c r="X895" s="76"/>
    </row>
    <row r="896" ht="18.0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 t="s">
        <v>3866</v>
      </c>
      <c r="L896" s="76"/>
      <c r="M896" s="76" t="s">
        <v>3867</v>
      </c>
      <c r="N896" s="76"/>
      <c r="O896" s="76"/>
      <c r="P896" s="76"/>
      <c r="Q896" s="76"/>
      <c r="R896" s="76"/>
      <c r="S896" s="76"/>
      <c r="T896" s="76"/>
      <c r="U896" s="76" t="s">
        <v>3868</v>
      </c>
      <c r="V896" s="76"/>
      <c r="W896" s="76"/>
      <c r="X896" s="76"/>
    </row>
    <row r="897" ht="18.0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 t="s">
        <v>3869</v>
      </c>
      <c r="L897" s="76"/>
      <c r="M897" s="76" t="s">
        <v>3870</v>
      </c>
      <c r="N897" s="76"/>
      <c r="O897" s="76"/>
      <c r="P897" s="76"/>
      <c r="Q897" s="76"/>
      <c r="R897" s="76"/>
      <c r="S897" s="76"/>
      <c r="T897" s="76"/>
      <c r="U897" s="76" t="s">
        <v>3871</v>
      </c>
      <c r="V897" s="76"/>
      <c r="W897" s="76"/>
      <c r="X897" s="76"/>
    </row>
    <row r="898" ht="18.0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 t="s">
        <v>3872</v>
      </c>
      <c r="L898" s="76"/>
      <c r="M898" s="76" t="s">
        <v>3873</v>
      </c>
      <c r="N898" s="76"/>
      <c r="O898" s="76"/>
      <c r="P898" s="76"/>
      <c r="Q898" s="76"/>
      <c r="R898" s="76"/>
      <c r="S898" s="76"/>
      <c r="T898" s="76"/>
      <c r="U898" s="76" t="s">
        <v>3874</v>
      </c>
      <c r="V898" s="76"/>
      <c r="W898" s="76"/>
      <c r="X898" s="76"/>
    </row>
    <row r="899" ht="18.0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 t="s">
        <v>3875</v>
      </c>
      <c r="L899" s="76"/>
      <c r="M899" s="76" t="s">
        <v>3876</v>
      </c>
      <c r="N899" s="76"/>
      <c r="O899" s="76"/>
      <c r="P899" s="76"/>
      <c r="Q899" s="76"/>
      <c r="R899" s="76"/>
      <c r="S899" s="76"/>
      <c r="T899" s="76"/>
      <c r="U899" s="76" t="s">
        <v>3877</v>
      </c>
      <c r="V899" s="76"/>
      <c r="W899" s="76"/>
      <c r="X899" s="76"/>
    </row>
    <row r="900" ht="18.0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 t="s">
        <v>3878</v>
      </c>
      <c r="L900" s="76"/>
      <c r="M900" s="76" t="s">
        <v>3879</v>
      </c>
      <c r="N900" s="76"/>
      <c r="O900" s="76"/>
      <c r="P900" s="76"/>
      <c r="Q900" s="76"/>
      <c r="R900" s="76"/>
      <c r="S900" s="76"/>
      <c r="T900" s="76"/>
      <c r="U900" s="76" t="s">
        <v>3880</v>
      </c>
      <c r="V900" s="76"/>
      <c r="W900" s="76"/>
      <c r="X900" s="76"/>
    </row>
    <row r="901" ht="18.0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 t="s">
        <v>3881</v>
      </c>
      <c r="L901" s="76"/>
      <c r="M901" s="76" t="s">
        <v>3882</v>
      </c>
      <c r="N901" s="76"/>
      <c r="O901" s="76"/>
      <c r="P901" s="76"/>
      <c r="Q901" s="76"/>
      <c r="R901" s="76"/>
      <c r="S901" s="76"/>
      <c r="T901" s="76"/>
      <c r="U901" s="76" t="s">
        <v>3883</v>
      </c>
      <c r="V901" s="76"/>
      <c r="W901" s="76"/>
      <c r="X901" s="76"/>
    </row>
    <row r="902" ht="18.0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 t="s">
        <v>3884</v>
      </c>
      <c r="L902" s="76"/>
      <c r="M902" s="76" t="s">
        <v>3885</v>
      </c>
      <c r="N902" s="76"/>
      <c r="O902" s="76"/>
      <c r="P902" s="76"/>
      <c r="Q902" s="76"/>
      <c r="R902" s="76"/>
      <c r="S902" s="76"/>
      <c r="T902" s="76"/>
      <c r="U902" s="76" t="s">
        <v>3886</v>
      </c>
      <c r="V902" s="76"/>
      <c r="W902" s="76"/>
      <c r="X902" s="76"/>
    </row>
    <row r="903" ht="18.0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 t="s">
        <v>3887</v>
      </c>
      <c r="L903" s="76"/>
      <c r="M903" s="76" t="s">
        <v>3888</v>
      </c>
      <c r="N903" s="76"/>
      <c r="O903" s="76"/>
      <c r="P903" s="76"/>
      <c r="Q903" s="76"/>
      <c r="R903" s="76"/>
      <c r="S903" s="76"/>
      <c r="T903" s="76"/>
      <c r="U903" s="76" t="s">
        <v>3889</v>
      </c>
      <c r="V903" s="76"/>
      <c r="W903" s="76"/>
      <c r="X903" s="76"/>
    </row>
    <row r="904" ht="18.0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 t="s">
        <v>3890</v>
      </c>
      <c r="L904" s="76"/>
      <c r="M904" s="76" t="s">
        <v>3891</v>
      </c>
      <c r="N904" s="76"/>
      <c r="O904" s="76"/>
      <c r="P904" s="76"/>
      <c r="Q904" s="76"/>
      <c r="R904" s="76"/>
      <c r="S904" s="76"/>
      <c r="T904" s="76"/>
      <c r="U904" s="76" t="s">
        <v>3892</v>
      </c>
      <c r="V904" s="76"/>
      <c r="W904" s="76"/>
      <c r="X904" s="76"/>
    </row>
    <row r="905" ht="18.0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 t="s">
        <v>3893</v>
      </c>
      <c r="L905" s="76"/>
      <c r="M905" s="76" t="s">
        <v>3894</v>
      </c>
      <c r="N905" s="76"/>
      <c r="O905" s="76"/>
      <c r="P905" s="76"/>
      <c r="Q905" s="76"/>
      <c r="R905" s="76"/>
      <c r="S905" s="76"/>
      <c r="T905" s="76"/>
      <c r="U905" s="76" t="s">
        <v>3895</v>
      </c>
      <c r="V905" s="76"/>
      <c r="W905" s="76"/>
      <c r="X905" s="76"/>
    </row>
    <row r="906" ht="18.0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 t="s">
        <v>3896</v>
      </c>
      <c r="L906" s="76"/>
      <c r="M906" s="76" t="s">
        <v>3897</v>
      </c>
      <c r="N906" s="76"/>
      <c r="O906" s="76"/>
      <c r="P906" s="76"/>
      <c r="Q906" s="76"/>
      <c r="R906" s="76"/>
      <c r="S906" s="76"/>
      <c r="T906" s="76"/>
      <c r="U906" s="76" t="s">
        <v>3898</v>
      </c>
      <c r="V906" s="76"/>
      <c r="W906" s="76"/>
      <c r="X906" s="76"/>
    </row>
    <row r="907" ht="18.0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 t="s">
        <v>3899</v>
      </c>
      <c r="L907" s="76"/>
      <c r="M907" s="76" t="s">
        <v>3900</v>
      </c>
      <c r="N907" s="76"/>
      <c r="O907" s="76"/>
      <c r="P907" s="76"/>
      <c r="Q907" s="76"/>
      <c r="R907" s="76"/>
      <c r="S907" s="76"/>
      <c r="T907" s="76"/>
      <c r="U907" s="76" t="s">
        <v>3901</v>
      </c>
      <c r="V907" s="76"/>
      <c r="W907" s="76"/>
      <c r="X907" s="76"/>
    </row>
    <row r="908" ht="18.0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 t="s">
        <v>3902</v>
      </c>
      <c r="L908" s="76"/>
      <c r="M908" s="76" t="s">
        <v>3903</v>
      </c>
      <c r="N908" s="76"/>
      <c r="O908" s="76"/>
      <c r="P908" s="76"/>
      <c r="Q908" s="76"/>
      <c r="R908" s="76"/>
      <c r="S908" s="76"/>
      <c r="T908" s="76"/>
      <c r="U908" s="76" t="s">
        <v>3904</v>
      </c>
      <c r="V908" s="76"/>
      <c r="W908" s="76"/>
      <c r="X908" s="76"/>
    </row>
    <row r="909" ht="18.0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 t="s">
        <v>3905</v>
      </c>
      <c r="L909" s="76"/>
      <c r="M909" s="76" t="s">
        <v>3906</v>
      </c>
      <c r="N909" s="76"/>
      <c r="O909" s="76"/>
      <c r="P909" s="76"/>
      <c r="Q909" s="76"/>
      <c r="R909" s="76"/>
      <c r="S909" s="76"/>
      <c r="T909" s="76"/>
      <c r="U909" s="76" t="s">
        <v>3907</v>
      </c>
      <c r="V909" s="76"/>
      <c r="W909" s="76"/>
      <c r="X909" s="76"/>
    </row>
    <row r="910" ht="18.0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 t="s">
        <v>3908</v>
      </c>
      <c r="L910" s="76"/>
      <c r="M910" s="76" t="s">
        <v>3909</v>
      </c>
      <c r="N910" s="76"/>
      <c r="O910" s="76"/>
      <c r="P910" s="76"/>
      <c r="Q910" s="76"/>
      <c r="R910" s="76"/>
      <c r="S910" s="76"/>
      <c r="T910" s="76"/>
      <c r="U910" s="76" t="s">
        <v>3910</v>
      </c>
      <c r="V910" s="76"/>
      <c r="W910" s="76"/>
      <c r="X910" s="76"/>
    </row>
    <row r="911" ht="18.0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 t="s">
        <v>3911</v>
      </c>
      <c r="L911" s="76"/>
      <c r="M911" s="76" t="s">
        <v>3912</v>
      </c>
      <c r="N911" s="76"/>
      <c r="O911" s="76"/>
      <c r="P911" s="76"/>
      <c r="Q911" s="76"/>
      <c r="R911" s="76"/>
      <c r="S911" s="76"/>
      <c r="T911" s="76"/>
      <c r="U911" s="76" t="s">
        <v>3913</v>
      </c>
      <c r="V911" s="76"/>
      <c r="W911" s="76"/>
      <c r="X911" s="76"/>
    </row>
    <row r="912" ht="18.0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 t="s">
        <v>3914</v>
      </c>
      <c r="L912" s="76"/>
      <c r="M912" s="76" t="s">
        <v>3915</v>
      </c>
      <c r="N912" s="76"/>
      <c r="O912" s="76"/>
      <c r="P912" s="76"/>
      <c r="Q912" s="76"/>
      <c r="R912" s="76"/>
      <c r="S912" s="76"/>
      <c r="T912" s="76"/>
      <c r="U912" s="76" t="s">
        <v>3916</v>
      </c>
      <c r="V912" s="76"/>
      <c r="W912" s="76"/>
      <c r="X912" s="76"/>
    </row>
    <row r="913" ht="18.0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 t="s">
        <v>3917</v>
      </c>
      <c r="L913" s="76"/>
      <c r="M913" s="76" t="s">
        <v>3918</v>
      </c>
      <c r="N913" s="76"/>
      <c r="O913" s="76"/>
      <c r="P913" s="76"/>
      <c r="Q913" s="76"/>
      <c r="R913" s="76"/>
      <c r="S913" s="76"/>
      <c r="T913" s="76"/>
      <c r="U913" s="76" t="s">
        <v>3919</v>
      </c>
      <c r="V913" s="76"/>
      <c r="W913" s="76"/>
      <c r="X913" s="76"/>
    </row>
    <row r="914" ht="18.0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 t="s">
        <v>3920</v>
      </c>
      <c r="L914" s="76"/>
      <c r="M914" s="76" t="s">
        <v>3921</v>
      </c>
      <c r="N914" s="76"/>
      <c r="O914" s="76"/>
      <c r="P914" s="76"/>
      <c r="Q914" s="76"/>
      <c r="R914" s="76"/>
      <c r="S914" s="76"/>
      <c r="T914" s="76"/>
      <c r="U914" s="76" t="s">
        <v>3922</v>
      </c>
      <c r="V914" s="76"/>
      <c r="W914" s="76"/>
      <c r="X914" s="76"/>
    </row>
    <row r="915" ht="18.0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 t="s">
        <v>3923</v>
      </c>
      <c r="L915" s="76"/>
      <c r="M915" s="76" t="s">
        <v>3924</v>
      </c>
      <c r="N915" s="76"/>
      <c r="O915" s="76"/>
      <c r="P915" s="76"/>
      <c r="Q915" s="76"/>
      <c r="R915" s="76"/>
      <c r="S915" s="76"/>
      <c r="T915" s="76"/>
      <c r="U915" s="76" t="s">
        <v>3925</v>
      </c>
      <c r="V915" s="76"/>
      <c r="W915" s="76"/>
      <c r="X915" s="76"/>
    </row>
    <row r="916" ht="18.0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 t="s">
        <v>3926</v>
      </c>
      <c r="L916" s="76"/>
      <c r="M916" s="76" t="s">
        <v>3927</v>
      </c>
      <c r="N916" s="76"/>
      <c r="O916" s="76"/>
      <c r="P916" s="76"/>
      <c r="Q916" s="76"/>
      <c r="R916" s="76"/>
      <c r="S916" s="76"/>
      <c r="T916" s="76"/>
      <c r="U916" s="76" t="s">
        <v>3928</v>
      </c>
      <c r="V916" s="76"/>
      <c r="W916" s="76"/>
      <c r="X916" s="76"/>
    </row>
    <row r="917" ht="18.0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 t="s">
        <v>3929</v>
      </c>
      <c r="L917" s="76"/>
      <c r="M917" s="76" t="s">
        <v>3930</v>
      </c>
      <c r="N917" s="76"/>
      <c r="O917" s="76"/>
      <c r="P917" s="76"/>
      <c r="Q917" s="76"/>
      <c r="R917" s="76"/>
      <c r="S917" s="76"/>
      <c r="T917" s="76"/>
      <c r="U917" s="76" t="s">
        <v>3931</v>
      </c>
      <c r="V917" s="76"/>
      <c r="W917" s="76"/>
      <c r="X917" s="76"/>
    </row>
    <row r="918" ht="18.0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 t="s">
        <v>3932</v>
      </c>
      <c r="L918" s="76"/>
      <c r="M918" s="76" t="s">
        <v>3933</v>
      </c>
      <c r="N918" s="76"/>
      <c r="O918" s="76"/>
      <c r="P918" s="76"/>
      <c r="Q918" s="76"/>
      <c r="R918" s="76"/>
      <c r="S918" s="76"/>
      <c r="T918" s="76"/>
      <c r="U918" s="76" t="s">
        <v>3934</v>
      </c>
      <c r="V918" s="76"/>
      <c r="W918" s="76"/>
      <c r="X918" s="76"/>
    </row>
    <row r="919" ht="18.0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 t="s">
        <v>3935</v>
      </c>
      <c r="L919" s="76"/>
      <c r="M919" s="76" t="s">
        <v>3936</v>
      </c>
      <c r="N919" s="76"/>
      <c r="O919" s="76"/>
      <c r="P919" s="76"/>
      <c r="Q919" s="76"/>
      <c r="R919" s="76"/>
      <c r="S919" s="76"/>
      <c r="T919" s="76"/>
      <c r="U919" s="76" t="s">
        <v>3937</v>
      </c>
      <c r="V919" s="76"/>
      <c r="W919" s="76"/>
      <c r="X919" s="76"/>
    </row>
    <row r="920" ht="18.0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 t="s">
        <v>3938</v>
      </c>
      <c r="L920" s="76"/>
      <c r="M920" s="76" t="s">
        <v>3939</v>
      </c>
      <c r="N920" s="76"/>
      <c r="O920" s="76"/>
      <c r="P920" s="76"/>
      <c r="Q920" s="76"/>
      <c r="R920" s="76"/>
      <c r="S920" s="76"/>
      <c r="T920" s="76"/>
      <c r="U920" s="76" t="s">
        <v>3940</v>
      </c>
      <c r="V920" s="76"/>
      <c r="W920" s="76"/>
      <c r="X920" s="76"/>
    </row>
    <row r="921" ht="18.0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 t="s">
        <v>3941</v>
      </c>
      <c r="L921" s="76"/>
      <c r="M921" s="76" t="s">
        <v>3942</v>
      </c>
      <c r="N921" s="76"/>
      <c r="O921" s="76"/>
      <c r="P921" s="76"/>
      <c r="Q921" s="76"/>
      <c r="R921" s="76"/>
      <c r="S921" s="76"/>
      <c r="T921" s="76"/>
      <c r="U921" s="76" t="s">
        <v>3943</v>
      </c>
      <c r="V921" s="76"/>
      <c r="W921" s="76"/>
      <c r="X921" s="76"/>
    </row>
    <row r="922" ht="18.0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 t="s">
        <v>3944</v>
      </c>
      <c r="L922" s="76"/>
      <c r="M922" s="76" t="s">
        <v>3945</v>
      </c>
      <c r="N922" s="76"/>
      <c r="O922" s="76"/>
      <c r="P922" s="76"/>
      <c r="Q922" s="76"/>
      <c r="R922" s="76"/>
      <c r="S922" s="76"/>
      <c r="T922" s="76"/>
      <c r="U922" s="76" t="s">
        <v>3946</v>
      </c>
      <c r="V922" s="76"/>
      <c r="W922" s="76"/>
      <c r="X922" s="76"/>
    </row>
    <row r="923" ht="18.0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 t="s">
        <v>3947</v>
      </c>
      <c r="L923" s="76"/>
      <c r="M923" s="76" t="s">
        <v>3948</v>
      </c>
      <c r="N923" s="76"/>
      <c r="O923" s="76"/>
      <c r="P923" s="76"/>
      <c r="Q923" s="76"/>
      <c r="R923" s="76"/>
      <c r="S923" s="76"/>
      <c r="T923" s="76"/>
      <c r="U923" s="76" t="s">
        <v>3949</v>
      </c>
      <c r="V923" s="76"/>
      <c r="W923" s="76"/>
      <c r="X923" s="76"/>
    </row>
    <row r="924" ht="18.0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 t="s">
        <v>3950</v>
      </c>
      <c r="L924" s="76"/>
      <c r="M924" s="76" t="s">
        <v>3951</v>
      </c>
      <c r="N924" s="76"/>
      <c r="O924" s="76"/>
      <c r="P924" s="76"/>
      <c r="Q924" s="76"/>
      <c r="R924" s="76"/>
      <c r="S924" s="76"/>
      <c r="T924" s="76"/>
      <c r="U924" s="76" t="s">
        <v>3952</v>
      </c>
      <c r="V924" s="76"/>
      <c r="W924" s="76"/>
      <c r="X924" s="76"/>
    </row>
    <row r="925" ht="18.0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 t="s">
        <v>3953</v>
      </c>
      <c r="L925" s="76"/>
      <c r="M925" s="76" t="s">
        <v>3954</v>
      </c>
      <c r="N925" s="76"/>
      <c r="O925" s="76"/>
      <c r="P925" s="76"/>
      <c r="Q925" s="76"/>
      <c r="R925" s="76"/>
      <c r="S925" s="76"/>
      <c r="T925" s="76"/>
      <c r="U925" s="76" t="s">
        <v>3955</v>
      </c>
      <c r="V925" s="76"/>
      <c r="W925" s="76"/>
      <c r="X925" s="76"/>
    </row>
    <row r="926" ht="18.0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 t="s">
        <v>3956</v>
      </c>
      <c r="L926" s="76"/>
      <c r="M926" s="76" t="s">
        <v>3957</v>
      </c>
      <c r="N926" s="76"/>
      <c r="O926" s="76"/>
      <c r="P926" s="76"/>
      <c r="Q926" s="76"/>
      <c r="R926" s="76"/>
      <c r="S926" s="76"/>
      <c r="T926" s="76"/>
      <c r="U926" s="76" t="s">
        <v>3958</v>
      </c>
      <c r="V926" s="76"/>
      <c r="W926" s="76"/>
      <c r="X926" s="76"/>
    </row>
    <row r="927" ht="18.0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 t="s">
        <v>3959</v>
      </c>
      <c r="L927" s="76"/>
      <c r="M927" s="76" t="s">
        <v>3960</v>
      </c>
      <c r="N927" s="76"/>
      <c r="O927" s="76"/>
      <c r="P927" s="76"/>
      <c r="Q927" s="76"/>
      <c r="R927" s="76"/>
      <c r="S927" s="76"/>
      <c r="T927" s="76"/>
      <c r="U927" s="76" t="s">
        <v>3961</v>
      </c>
      <c r="V927" s="76"/>
      <c r="W927" s="76"/>
      <c r="X927" s="76"/>
    </row>
    <row r="928" ht="18.0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 t="s">
        <v>3962</v>
      </c>
      <c r="L928" s="76"/>
      <c r="M928" s="76" t="s">
        <v>3963</v>
      </c>
      <c r="N928" s="76"/>
      <c r="O928" s="76"/>
      <c r="P928" s="76"/>
      <c r="Q928" s="76"/>
      <c r="R928" s="76"/>
      <c r="S928" s="76"/>
      <c r="T928" s="76"/>
      <c r="U928" s="76" t="s">
        <v>3964</v>
      </c>
      <c r="V928" s="76"/>
      <c r="W928" s="76"/>
      <c r="X928" s="76"/>
    </row>
    <row r="929" ht="18.0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 t="s">
        <v>3965</v>
      </c>
      <c r="L929" s="76"/>
      <c r="M929" s="76" t="s">
        <v>3966</v>
      </c>
      <c r="N929" s="76"/>
      <c r="O929" s="76"/>
      <c r="P929" s="76"/>
      <c r="Q929" s="76"/>
      <c r="R929" s="76"/>
      <c r="S929" s="76"/>
      <c r="T929" s="76"/>
      <c r="U929" s="76" t="s">
        <v>3967</v>
      </c>
      <c r="V929" s="76"/>
      <c r="W929" s="76"/>
      <c r="X929" s="76"/>
    </row>
    <row r="930" ht="18.0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 t="s">
        <v>3968</v>
      </c>
      <c r="L930" s="76"/>
      <c r="M930" s="76" t="s">
        <v>3969</v>
      </c>
      <c r="N930" s="76"/>
      <c r="O930" s="76"/>
      <c r="P930" s="76"/>
      <c r="Q930" s="76"/>
      <c r="R930" s="76"/>
      <c r="S930" s="76"/>
      <c r="T930" s="76"/>
      <c r="U930" s="76" t="s">
        <v>3970</v>
      </c>
      <c r="V930" s="76"/>
      <c r="W930" s="76"/>
      <c r="X930" s="76"/>
    </row>
    <row r="931" ht="18.0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 t="s">
        <v>3971</v>
      </c>
      <c r="L931" s="76"/>
      <c r="M931" s="76" t="s">
        <v>3972</v>
      </c>
      <c r="N931" s="76"/>
      <c r="O931" s="76"/>
      <c r="P931" s="76"/>
      <c r="Q931" s="76"/>
      <c r="R931" s="76"/>
      <c r="S931" s="76"/>
      <c r="T931" s="76"/>
      <c r="U931" s="76" t="s">
        <v>3973</v>
      </c>
      <c r="V931" s="76"/>
      <c r="W931" s="76"/>
      <c r="X931" s="76"/>
    </row>
    <row r="932" ht="18.0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 t="s">
        <v>3974</v>
      </c>
      <c r="L932" s="76"/>
      <c r="M932" s="76" t="s">
        <v>3975</v>
      </c>
      <c r="N932" s="76"/>
      <c r="O932" s="76"/>
      <c r="P932" s="76"/>
      <c r="Q932" s="76"/>
      <c r="R932" s="76"/>
      <c r="S932" s="76"/>
      <c r="T932" s="76"/>
      <c r="U932" s="76" t="s">
        <v>3976</v>
      </c>
      <c r="V932" s="76"/>
      <c r="W932" s="76"/>
      <c r="X932" s="76"/>
    </row>
    <row r="933" ht="18.0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 t="s">
        <v>3977</v>
      </c>
      <c r="L933" s="76"/>
      <c r="M933" s="76" t="s">
        <v>3978</v>
      </c>
      <c r="N933" s="76"/>
      <c r="O933" s="76"/>
      <c r="P933" s="76"/>
      <c r="Q933" s="76"/>
      <c r="R933" s="76"/>
      <c r="S933" s="76"/>
      <c r="T933" s="76"/>
      <c r="U933" s="76" t="s">
        <v>3979</v>
      </c>
      <c r="V933" s="76"/>
      <c r="W933" s="76"/>
      <c r="X933" s="76"/>
    </row>
    <row r="934" ht="18.0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 t="s">
        <v>3980</v>
      </c>
      <c r="L934" s="76"/>
      <c r="M934" s="76" t="s">
        <v>3981</v>
      </c>
      <c r="N934" s="76"/>
      <c r="O934" s="76"/>
      <c r="P934" s="76"/>
      <c r="Q934" s="76"/>
      <c r="R934" s="76"/>
      <c r="S934" s="76"/>
      <c r="T934" s="76"/>
      <c r="U934" s="76" t="s">
        <v>3982</v>
      </c>
      <c r="V934" s="76"/>
      <c r="W934" s="76"/>
      <c r="X934" s="76"/>
    </row>
    <row r="935" ht="18.0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 t="s">
        <v>3983</v>
      </c>
      <c r="L935" s="76"/>
      <c r="M935" s="76" t="s">
        <v>3984</v>
      </c>
      <c r="N935" s="76"/>
      <c r="O935" s="76"/>
      <c r="P935" s="76"/>
      <c r="Q935" s="76"/>
      <c r="R935" s="76"/>
      <c r="S935" s="76"/>
      <c r="T935" s="76"/>
      <c r="U935" s="76" t="s">
        <v>3985</v>
      </c>
      <c r="V935" s="76"/>
      <c r="W935" s="76"/>
      <c r="X935" s="76"/>
    </row>
    <row r="936" ht="18.0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 t="s">
        <v>3986</v>
      </c>
      <c r="L936" s="76"/>
      <c r="M936" s="76" t="s">
        <v>3987</v>
      </c>
      <c r="N936" s="76"/>
      <c r="O936" s="76"/>
      <c r="P936" s="76"/>
      <c r="Q936" s="76"/>
      <c r="R936" s="76"/>
      <c r="S936" s="76"/>
      <c r="T936" s="76"/>
      <c r="U936" s="76" t="s">
        <v>3988</v>
      </c>
      <c r="V936" s="76"/>
      <c r="W936" s="76"/>
      <c r="X936" s="76"/>
    </row>
    <row r="937" ht="18.0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 t="s">
        <v>3989</v>
      </c>
      <c r="L937" s="76"/>
      <c r="M937" s="76" t="s">
        <v>3990</v>
      </c>
      <c r="N937" s="76"/>
      <c r="O937" s="76"/>
      <c r="P937" s="76"/>
      <c r="Q937" s="76"/>
      <c r="R937" s="76"/>
      <c r="S937" s="76"/>
      <c r="T937" s="76"/>
      <c r="U937" s="76" t="s">
        <v>3991</v>
      </c>
      <c r="V937" s="76"/>
      <c r="W937" s="76"/>
      <c r="X937" s="76"/>
    </row>
    <row r="938" ht="18.0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 t="s">
        <v>3992</v>
      </c>
      <c r="L938" s="76"/>
      <c r="M938" s="76" t="s">
        <v>3993</v>
      </c>
      <c r="N938" s="76"/>
      <c r="O938" s="76"/>
      <c r="P938" s="76"/>
      <c r="Q938" s="76"/>
      <c r="R938" s="76"/>
      <c r="S938" s="76"/>
      <c r="T938" s="76"/>
      <c r="U938" s="76" t="s">
        <v>3994</v>
      </c>
      <c r="V938" s="76"/>
      <c r="W938" s="76"/>
      <c r="X938" s="76"/>
    </row>
    <row r="939" ht="18.0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 t="s">
        <v>3995</v>
      </c>
      <c r="L939" s="76"/>
      <c r="M939" s="76" t="s">
        <v>3996</v>
      </c>
      <c r="N939" s="76"/>
      <c r="O939" s="76"/>
      <c r="P939" s="76"/>
      <c r="Q939" s="76"/>
      <c r="R939" s="76"/>
      <c r="S939" s="76"/>
      <c r="T939" s="76"/>
      <c r="U939" s="76" t="s">
        <v>3997</v>
      </c>
      <c r="V939" s="76"/>
      <c r="W939" s="76"/>
      <c r="X939" s="76"/>
    </row>
    <row r="940" ht="18.0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 t="s">
        <v>74</v>
      </c>
      <c r="L940" s="76"/>
      <c r="M940" s="76" t="s">
        <v>3998</v>
      </c>
      <c r="N940" s="76"/>
      <c r="O940" s="76"/>
      <c r="P940" s="76"/>
      <c r="Q940" s="76"/>
      <c r="R940" s="76"/>
      <c r="S940" s="76"/>
      <c r="T940" s="76"/>
      <c r="U940" s="76" t="s">
        <v>3999</v>
      </c>
      <c r="V940" s="76"/>
      <c r="W940" s="76"/>
      <c r="X940" s="76"/>
    </row>
    <row r="941" ht="18.0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 t="s">
        <v>4000</v>
      </c>
      <c r="N941" s="76"/>
      <c r="O941" s="76"/>
      <c r="P941" s="76"/>
      <c r="Q941" s="76"/>
      <c r="R941" s="76"/>
      <c r="S941" s="76"/>
      <c r="T941" s="76"/>
      <c r="U941" s="76" t="s">
        <v>4001</v>
      </c>
      <c r="V941" s="76"/>
      <c r="W941" s="76"/>
      <c r="X941" s="76"/>
    </row>
    <row r="942" ht="18.0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 t="s">
        <v>4002</v>
      </c>
      <c r="N942" s="76"/>
      <c r="O942" s="76"/>
      <c r="P942" s="76"/>
      <c r="Q942" s="76"/>
      <c r="R942" s="76"/>
      <c r="S942" s="76"/>
      <c r="T942" s="76"/>
      <c r="U942" s="76" t="s">
        <v>4003</v>
      </c>
      <c r="V942" s="76"/>
      <c r="W942" s="76"/>
      <c r="X942" s="76"/>
    </row>
    <row r="943" ht="18.0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 t="s">
        <v>4004</v>
      </c>
      <c r="N943" s="76"/>
      <c r="O943" s="76"/>
      <c r="P943" s="76"/>
      <c r="Q943" s="76"/>
      <c r="R943" s="76"/>
      <c r="S943" s="76"/>
      <c r="T943" s="76"/>
      <c r="U943" s="76" t="s">
        <v>4005</v>
      </c>
      <c r="V943" s="76"/>
      <c r="W943" s="76"/>
      <c r="X943" s="76"/>
    </row>
    <row r="944" ht="18.0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 t="s">
        <v>4006</v>
      </c>
      <c r="N944" s="76"/>
      <c r="O944" s="76"/>
      <c r="P944" s="76"/>
      <c r="Q944" s="76"/>
      <c r="R944" s="76"/>
      <c r="S944" s="76"/>
      <c r="T944" s="76"/>
      <c r="U944" s="76" t="s">
        <v>4007</v>
      </c>
      <c r="V944" s="76"/>
      <c r="W944" s="76"/>
      <c r="X944" s="76"/>
    </row>
    <row r="945" ht="18.0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 t="s">
        <v>4008</v>
      </c>
      <c r="N945" s="76"/>
      <c r="O945" s="76"/>
      <c r="P945" s="76"/>
      <c r="Q945" s="76"/>
      <c r="R945" s="76"/>
      <c r="S945" s="76"/>
      <c r="T945" s="76"/>
      <c r="U945" s="76" t="s">
        <v>4009</v>
      </c>
      <c r="V945" s="76"/>
      <c r="W945" s="76"/>
      <c r="X945" s="76"/>
    </row>
    <row r="946" ht="18.0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 t="s">
        <v>4010</v>
      </c>
      <c r="N946" s="76"/>
      <c r="O946" s="76"/>
      <c r="P946" s="76"/>
      <c r="Q946" s="76"/>
      <c r="R946" s="76"/>
      <c r="S946" s="76"/>
      <c r="T946" s="76"/>
      <c r="U946" s="76" t="s">
        <v>4011</v>
      </c>
      <c r="V946" s="76"/>
      <c r="W946" s="76"/>
      <c r="X946" s="76"/>
    </row>
    <row r="947" ht="18.0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 t="s">
        <v>4012</v>
      </c>
      <c r="N947" s="76"/>
      <c r="O947" s="76"/>
      <c r="P947" s="76"/>
      <c r="Q947" s="76"/>
      <c r="R947" s="76"/>
      <c r="S947" s="76"/>
      <c r="T947" s="76"/>
      <c r="U947" s="76" t="s">
        <v>4013</v>
      </c>
      <c r="V947" s="76"/>
      <c r="W947" s="76"/>
      <c r="X947" s="76"/>
    </row>
    <row r="948" ht="18.0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 t="s">
        <v>4014</v>
      </c>
      <c r="N948" s="76"/>
      <c r="O948" s="76"/>
      <c r="P948" s="76"/>
      <c r="Q948" s="76"/>
      <c r="R948" s="76"/>
      <c r="S948" s="76"/>
      <c r="T948" s="76"/>
      <c r="U948" s="76" t="s">
        <v>4015</v>
      </c>
      <c r="V948" s="76"/>
      <c r="W948" s="76"/>
      <c r="X948" s="76"/>
    </row>
    <row r="949" ht="18.0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 t="s">
        <v>4016</v>
      </c>
      <c r="N949" s="76"/>
      <c r="O949" s="76"/>
      <c r="P949" s="76"/>
      <c r="Q949" s="76"/>
      <c r="R949" s="76"/>
      <c r="S949" s="76"/>
      <c r="T949" s="76"/>
      <c r="U949" s="76" t="s">
        <v>4017</v>
      </c>
      <c r="V949" s="76"/>
      <c r="W949" s="76"/>
      <c r="X949" s="76"/>
    </row>
    <row r="950" ht="18.0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 t="s">
        <v>4018</v>
      </c>
      <c r="N950" s="76"/>
      <c r="O950" s="76"/>
      <c r="P950" s="76"/>
      <c r="Q950" s="76"/>
      <c r="R950" s="76"/>
      <c r="S950" s="76"/>
      <c r="T950" s="76"/>
      <c r="U950" s="76" t="s">
        <v>4019</v>
      </c>
      <c r="V950" s="76"/>
      <c r="W950" s="76"/>
      <c r="X950" s="76"/>
    </row>
    <row r="951" ht="18.0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 t="s">
        <v>4020</v>
      </c>
      <c r="N951" s="76"/>
      <c r="O951" s="76"/>
      <c r="P951" s="76"/>
      <c r="Q951" s="76"/>
      <c r="R951" s="76"/>
      <c r="S951" s="76"/>
      <c r="T951" s="76"/>
      <c r="U951" s="76" t="s">
        <v>4021</v>
      </c>
      <c r="V951" s="76"/>
      <c r="W951" s="76"/>
      <c r="X951" s="76"/>
    </row>
    <row r="952" ht="18.0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 t="s">
        <v>4022</v>
      </c>
      <c r="N952" s="76"/>
      <c r="O952" s="76"/>
      <c r="P952" s="76"/>
      <c r="Q952" s="76"/>
      <c r="R952" s="76"/>
      <c r="S952" s="76"/>
      <c r="T952" s="76"/>
      <c r="U952" s="76" t="s">
        <v>4023</v>
      </c>
      <c r="V952" s="76"/>
      <c r="W952" s="76"/>
      <c r="X952" s="76"/>
    </row>
    <row r="953" ht="18.0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 t="s">
        <v>4024</v>
      </c>
      <c r="N953" s="76"/>
      <c r="O953" s="76"/>
      <c r="P953" s="76"/>
      <c r="Q953" s="76"/>
      <c r="R953" s="76"/>
      <c r="S953" s="76"/>
      <c r="T953" s="76"/>
      <c r="U953" s="76" t="s">
        <v>4025</v>
      </c>
      <c r="V953" s="76"/>
      <c r="W953" s="76"/>
      <c r="X953" s="76"/>
    </row>
    <row r="954" ht="18.0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 t="s">
        <v>4026</v>
      </c>
      <c r="N954" s="76"/>
      <c r="O954" s="76"/>
      <c r="P954" s="76"/>
      <c r="Q954" s="76"/>
      <c r="R954" s="76"/>
      <c r="S954" s="76"/>
      <c r="T954" s="76"/>
      <c r="U954" s="76" t="s">
        <v>4027</v>
      </c>
      <c r="V954" s="76"/>
      <c r="W954" s="76"/>
      <c r="X954" s="76"/>
    </row>
    <row r="955" ht="18.0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 t="s">
        <v>4028</v>
      </c>
      <c r="N955" s="76"/>
      <c r="O955" s="76"/>
      <c r="P955" s="76"/>
      <c r="Q955" s="76"/>
      <c r="R955" s="76"/>
      <c r="S955" s="76"/>
      <c r="T955" s="76"/>
      <c r="U955" s="76" t="s">
        <v>4029</v>
      </c>
      <c r="V955" s="76"/>
      <c r="W955" s="76"/>
      <c r="X955" s="76"/>
    </row>
    <row r="956" ht="18.0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 t="s">
        <v>4030</v>
      </c>
      <c r="N956" s="76"/>
      <c r="O956" s="76"/>
      <c r="P956" s="76"/>
      <c r="Q956" s="76"/>
      <c r="R956" s="76"/>
      <c r="S956" s="76"/>
      <c r="T956" s="76"/>
      <c r="U956" s="76" t="s">
        <v>4031</v>
      </c>
      <c r="V956" s="76"/>
      <c r="W956" s="76"/>
      <c r="X956" s="76"/>
    </row>
    <row r="957" ht="18.0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 t="s">
        <v>4032</v>
      </c>
      <c r="N957" s="76"/>
      <c r="O957" s="76"/>
      <c r="P957" s="76"/>
      <c r="Q957" s="76"/>
      <c r="R957" s="76"/>
      <c r="S957" s="76"/>
      <c r="T957" s="76"/>
      <c r="U957" s="76" t="s">
        <v>4033</v>
      </c>
      <c r="V957" s="76"/>
      <c r="W957" s="76"/>
      <c r="X957" s="76"/>
    </row>
    <row r="958" ht="18.0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 t="s">
        <v>4034</v>
      </c>
      <c r="N958" s="76"/>
      <c r="O958" s="76"/>
      <c r="P958" s="76"/>
      <c r="Q958" s="76"/>
      <c r="R958" s="76"/>
      <c r="S958" s="76"/>
      <c r="T958" s="76"/>
      <c r="U958" s="76" t="s">
        <v>4035</v>
      </c>
      <c r="V958" s="76"/>
      <c r="W958" s="76"/>
      <c r="X958" s="76"/>
    </row>
    <row r="959" ht="18.0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 t="s">
        <v>4036</v>
      </c>
      <c r="N959" s="76"/>
      <c r="O959" s="76"/>
      <c r="P959" s="76"/>
      <c r="Q959" s="76"/>
      <c r="R959" s="76"/>
      <c r="S959" s="76"/>
      <c r="T959" s="76"/>
      <c r="U959" s="76" t="s">
        <v>4037</v>
      </c>
      <c r="V959" s="76"/>
      <c r="W959" s="76"/>
      <c r="X959" s="76"/>
    </row>
    <row r="960" ht="18.0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 t="s">
        <v>4038</v>
      </c>
      <c r="N960" s="76"/>
      <c r="O960" s="76"/>
      <c r="P960" s="76"/>
      <c r="Q960" s="76"/>
      <c r="R960" s="76"/>
      <c r="S960" s="76"/>
      <c r="T960" s="76"/>
      <c r="U960" s="76" t="s">
        <v>4039</v>
      </c>
      <c r="V960" s="76"/>
      <c r="W960" s="76"/>
      <c r="X960" s="76"/>
    </row>
    <row r="961" ht="18.0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 t="s">
        <v>4040</v>
      </c>
      <c r="N961" s="76"/>
      <c r="O961" s="76"/>
      <c r="P961" s="76"/>
      <c r="Q961" s="76"/>
      <c r="R961" s="76"/>
      <c r="S961" s="76"/>
      <c r="T961" s="76"/>
      <c r="U961" s="76" t="s">
        <v>4041</v>
      </c>
      <c r="V961" s="76"/>
      <c r="W961" s="76"/>
      <c r="X961" s="76"/>
    </row>
    <row r="962" ht="18.0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 t="s">
        <v>4042</v>
      </c>
      <c r="N962" s="76"/>
      <c r="O962" s="76"/>
      <c r="P962" s="76"/>
      <c r="Q962" s="76"/>
      <c r="R962" s="76"/>
      <c r="S962" s="76"/>
      <c r="T962" s="76"/>
      <c r="U962" s="76" t="s">
        <v>4043</v>
      </c>
      <c r="V962" s="76"/>
      <c r="W962" s="76"/>
      <c r="X962" s="76"/>
    </row>
    <row r="963" ht="18.0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 t="s">
        <v>4044</v>
      </c>
      <c r="N963" s="76"/>
      <c r="O963" s="76"/>
      <c r="P963" s="76"/>
      <c r="Q963" s="76"/>
      <c r="R963" s="76"/>
      <c r="S963" s="76"/>
      <c r="T963" s="76"/>
      <c r="U963" s="76" t="s">
        <v>4045</v>
      </c>
      <c r="V963" s="76"/>
      <c r="W963" s="76"/>
      <c r="X963" s="76"/>
    </row>
    <row r="964" ht="18.0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 t="s">
        <v>4046</v>
      </c>
      <c r="N964" s="76"/>
      <c r="O964" s="76"/>
      <c r="P964" s="76"/>
      <c r="Q964" s="76"/>
      <c r="R964" s="76"/>
      <c r="S964" s="76"/>
      <c r="T964" s="76"/>
      <c r="U964" s="76" t="s">
        <v>4047</v>
      </c>
      <c r="V964" s="76"/>
      <c r="W964" s="76"/>
      <c r="X964" s="76"/>
    </row>
    <row r="965" ht="18.0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 t="s">
        <v>4048</v>
      </c>
      <c r="N965" s="76"/>
      <c r="O965" s="76"/>
      <c r="P965" s="76"/>
      <c r="Q965" s="76"/>
      <c r="R965" s="76"/>
      <c r="S965" s="76"/>
      <c r="T965" s="76"/>
      <c r="U965" s="76" t="s">
        <v>4049</v>
      </c>
      <c r="V965" s="76"/>
      <c r="W965" s="76"/>
      <c r="X965" s="76"/>
    </row>
    <row r="966" ht="18.0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 t="s">
        <v>4050</v>
      </c>
      <c r="N966" s="76"/>
      <c r="O966" s="76"/>
      <c r="P966" s="76"/>
      <c r="Q966" s="76"/>
      <c r="R966" s="76"/>
      <c r="S966" s="76"/>
      <c r="T966" s="76"/>
      <c r="U966" s="76" t="s">
        <v>4051</v>
      </c>
      <c r="V966" s="76"/>
      <c r="W966" s="76"/>
      <c r="X966" s="76"/>
    </row>
    <row r="967" ht="18.0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 t="s">
        <v>4052</v>
      </c>
      <c r="N967" s="76"/>
      <c r="O967" s="76"/>
      <c r="P967" s="76"/>
      <c r="Q967" s="76"/>
      <c r="R967" s="76"/>
      <c r="S967" s="76"/>
      <c r="T967" s="76"/>
      <c r="U967" s="76" t="s">
        <v>4053</v>
      </c>
      <c r="V967" s="76"/>
      <c r="W967" s="76"/>
      <c r="X967" s="76"/>
    </row>
    <row r="968" ht="18.0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 t="s">
        <v>4054</v>
      </c>
      <c r="N968" s="76"/>
      <c r="O968" s="76"/>
      <c r="P968" s="76"/>
      <c r="Q968" s="76"/>
      <c r="R968" s="76"/>
      <c r="S968" s="76"/>
      <c r="T968" s="76"/>
      <c r="U968" s="76" t="s">
        <v>4055</v>
      </c>
      <c r="V968" s="76"/>
      <c r="W968" s="76"/>
      <c r="X968" s="76"/>
    </row>
    <row r="969" ht="18.0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 t="s">
        <v>4056</v>
      </c>
      <c r="N969" s="76"/>
      <c r="O969" s="76"/>
      <c r="P969" s="76"/>
      <c r="Q969" s="76"/>
      <c r="R969" s="76"/>
      <c r="S969" s="76"/>
      <c r="T969" s="76"/>
      <c r="U969" s="76" t="s">
        <v>4057</v>
      </c>
      <c r="V969" s="76"/>
      <c r="W969" s="76"/>
      <c r="X969" s="76"/>
    </row>
    <row r="970" ht="18.0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 t="s">
        <v>4058</v>
      </c>
      <c r="N970" s="76"/>
      <c r="O970" s="76"/>
      <c r="P970" s="76"/>
      <c r="Q970" s="76"/>
      <c r="R970" s="76"/>
      <c r="S970" s="76"/>
      <c r="T970" s="76"/>
      <c r="U970" s="76" t="s">
        <v>4059</v>
      </c>
      <c r="V970" s="76"/>
      <c r="W970" s="76"/>
      <c r="X970" s="76"/>
    </row>
    <row r="971" ht="18.0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 t="s">
        <v>4060</v>
      </c>
      <c r="N971" s="76"/>
      <c r="O971" s="76"/>
      <c r="P971" s="76"/>
      <c r="Q971" s="76"/>
      <c r="R971" s="76"/>
      <c r="S971" s="76"/>
      <c r="T971" s="76"/>
      <c r="U971" s="76" t="s">
        <v>4061</v>
      </c>
      <c r="V971" s="76"/>
      <c r="W971" s="76"/>
      <c r="X971" s="76"/>
    </row>
    <row r="972" ht="18.0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 t="s">
        <v>4062</v>
      </c>
      <c r="N972" s="76"/>
      <c r="O972" s="76"/>
      <c r="P972" s="76"/>
      <c r="Q972" s="76"/>
      <c r="R972" s="76"/>
      <c r="S972" s="76"/>
      <c r="T972" s="76"/>
      <c r="U972" s="76" t="s">
        <v>4063</v>
      </c>
      <c r="V972" s="76"/>
      <c r="W972" s="76"/>
      <c r="X972" s="76"/>
    </row>
    <row r="973" ht="18.0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 t="s">
        <v>4064</v>
      </c>
      <c r="N973" s="76"/>
      <c r="O973" s="76"/>
      <c r="P973" s="76"/>
      <c r="Q973" s="76"/>
      <c r="R973" s="76"/>
      <c r="S973" s="76"/>
      <c r="T973" s="76"/>
      <c r="U973" s="76" t="s">
        <v>4065</v>
      </c>
      <c r="V973" s="76"/>
      <c r="W973" s="76"/>
      <c r="X973" s="76"/>
    </row>
    <row r="974" ht="18.0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 t="s">
        <v>4066</v>
      </c>
      <c r="N974" s="76"/>
      <c r="O974" s="76"/>
      <c r="P974" s="76"/>
      <c r="Q974" s="76"/>
      <c r="R974" s="76"/>
      <c r="S974" s="76"/>
      <c r="T974" s="76"/>
      <c r="U974" s="76" t="s">
        <v>4067</v>
      </c>
      <c r="V974" s="76"/>
      <c r="W974" s="76"/>
      <c r="X974" s="76"/>
    </row>
    <row r="975" ht="18.0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 t="s">
        <v>4068</v>
      </c>
      <c r="N975" s="76"/>
      <c r="O975" s="76"/>
      <c r="P975" s="76"/>
      <c r="Q975" s="76"/>
      <c r="R975" s="76"/>
      <c r="S975" s="76"/>
      <c r="T975" s="76"/>
      <c r="U975" s="76" t="s">
        <v>4069</v>
      </c>
      <c r="V975" s="76"/>
      <c r="W975" s="76"/>
      <c r="X975" s="76"/>
    </row>
    <row r="976" ht="18.0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 t="s">
        <v>4070</v>
      </c>
      <c r="N976" s="76"/>
      <c r="O976" s="76"/>
      <c r="P976" s="76"/>
      <c r="Q976" s="76"/>
      <c r="R976" s="76"/>
      <c r="S976" s="76"/>
      <c r="T976" s="76"/>
      <c r="U976" s="76" t="s">
        <v>4071</v>
      </c>
      <c r="V976" s="76"/>
      <c r="W976" s="76"/>
      <c r="X976" s="76"/>
    </row>
    <row r="977" ht="18.0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 t="s">
        <v>4072</v>
      </c>
      <c r="N977" s="76"/>
      <c r="O977" s="76"/>
      <c r="P977" s="76"/>
      <c r="Q977" s="76"/>
      <c r="R977" s="76"/>
      <c r="S977" s="76"/>
      <c r="T977" s="76"/>
      <c r="U977" s="76" t="s">
        <v>4073</v>
      </c>
      <c r="V977" s="76"/>
      <c r="W977" s="76"/>
      <c r="X977" s="76"/>
    </row>
    <row r="978" ht="18.0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 t="s">
        <v>4074</v>
      </c>
      <c r="N978" s="76"/>
      <c r="O978" s="76"/>
      <c r="P978" s="76"/>
      <c r="Q978" s="76"/>
      <c r="R978" s="76"/>
      <c r="S978" s="76"/>
      <c r="T978" s="76"/>
      <c r="U978" s="76" t="s">
        <v>4075</v>
      </c>
      <c r="V978" s="76"/>
      <c r="W978" s="76"/>
      <c r="X978" s="76"/>
    </row>
    <row r="979" ht="18.0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 t="s">
        <v>4076</v>
      </c>
      <c r="N979" s="76"/>
      <c r="O979" s="76"/>
      <c r="P979" s="76"/>
      <c r="Q979" s="76"/>
      <c r="R979" s="76"/>
      <c r="S979" s="76"/>
      <c r="T979" s="76"/>
      <c r="U979" s="76" t="s">
        <v>4077</v>
      </c>
      <c r="V979" s="76"/>
      <c r="W979" s="76"/>
      <c r="X979" s="76"/>
    </row>
    <row r="980" ht="18.0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 t="s">
        <v>4078</v>
      </c>
      <c r="N980" s="76"/>
      <c r="O980" s="76"/>
      <c r="P980" s="76"/>
      <c r="Q980" s="76"/>
      <c r="R980" s="76"/>
      <c r="S980" s="76"/>
      <c r="T980" s="76"/>
      <c r="U980" s="76" t="s">
        <v>4079</v>
      </c>
      <c r="V980" s="76"/>
      <c r="W980" s="76"/>
      <c r="X980" s="76"/>
    </row>
    <row r="981" ht="18.0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 t="s">
        <v>4080</v>
      </c>
      <c r="N981" s="76"/>
      <c r="O981" s="76"/>
      <c r="P981" s="76"/>
      <c r="Q981" s="76"/>
      <c r="R981" s="76"/>
      <c r="S981" s="76"/>
      <c r="T981" s="76"/>
      <c r="U981" s="76" t="s">
        <v>4081</v>
      </c>
      <c r="V981" s="76"/>
      <c r="W981" s="76"/>
      <c r="X981" s="76"/>
    </row>
    <row r="982" ht="18.0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 t="s">
        <v>4082</v>
      </c>
      <c r="N982" s="76"/>
      <c r="O982" s="76"/>
      <c r="P982" s="76"/>
      <c r="Q982" s="76"/>
      <c r="R982" s="76"/>
      <c r="S982" s="76"/>
      <c r="T982" s="76"/>
      <c r="U982" s="76" t="s">
        <v>4083</v>
      </c>
      <c r="V982" s="76"/>
      <c r="W982" s="76"/>
      <c r="X982" s="76"/>
    </row>
    <row r="983" ht="18.0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 t="s">
        <v>4084</v>
      </c>
      <c r="N983" s="76"/>
      <c r="O983" s="76"/>
      <c r="P983" s="76"/>
      <c r="Q983" s="76"/>
      <c r="R983" s="76"/>
      <c r="S983" s="76"/>
      <c r="T983" s="76"/>
      <c r="U983" s="76" t="s">
        <v>4085</v>
      </c>
      <c r="V983" s="76"/>
      <c r="W983" s="76"/>
      <c r="X983" s="76"/>
    </row>
    <row r="984" ht="18.0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 t="s">
        <v>4086</v>
      </c>
      <c r="N984" s="76"/>
      <c r="O984" s="76"/>
      <c r="P984" s="76"/>
      <c r="Q984" s="76"/>
      <c r="R984" s="76"/>
      <c r="S984" s="76"/>
      <c r="T984" s="76"/>
      <c r="U984" s="76" t="s">
        <v>4087</v>
      </c>
      <c r="V984" s="76"/>
      <c r="W984" s="76"/>
      <c r="X984" s="76"/>
    </row>
    <row r="985" ht="18.0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 t="s">
        <v>4088</v>
      </c>
      <c r="N985" s="76"/>
      <c r="O985" s="76"/>
      <c r="P985" s="76"/>
      <c r="Q985" s="76"/>
      <c r="R985" s="76"/>
      <c r="S985" s="76"/>
      <c r="T985" s="76"/>
      <c r="U985" s="76" t="s">
        <v>4089</v>
      </c>
      <c r="V985" s="76"/>
      <c r="W985" s="76"/>
      <c r="X985" s="76"/>
    </row>
    <row r="986" ht="18.0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 t="s">
        <v>4090</v>
      </c>
      <c r="N986" s="76"/>
      <c r="O986" s="76"/>
      <c r="P986" s="76"/>
      <c r="Q986" s="76"/>
      <c r="R986" s="76"/>
      <c r="S986" s="76"/>
      <c r="T986" s="76"/>
      <c r="U986" s="76" t="s">
        <v>4091</v>
      </c>
      <c r="V986" s="76"/>
      <c r="W986" s="76"/>
      <c r="X986" s="76"/>
    </row>
    <row r="987" ht="18.0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 t="s">
        <v>4092</v>
      </c>
      <c r="N987" s="76"/>
      <c r="O987" s="76"/>
      <c r="P987" s="76"/>
      <c r="Q987" s="76"/>
      <c r="R987" s="76"/>
      <c r="S987" s="76"/>
      <c r="T987" s="76"/>
      <c r="U987" s="76" t="s">
        <v>4093</v>
      </c>
      <c r="V987" s="76"/>
      <c r="W987" s="76"/>
      <c r="X987" s="76"/>
    </row>
    <row r="988" ht="18.0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 t="s">
        <v>4094</v>
      </c>
      <c r="N988" s="76"/>
      <c r="O988" s="76"/>
      <c r="P988" s="76"/>
      <c r="Q988" s="76"/>
      <c r="R988" s="76"/>
      <c r="S988" s="76"/>
      <c r="T988" s="76"/>
      <c r="U988" s="76" t="s">
        <v>4095</v>
      </c>
      <c r="V988" s="76"/>
      <c r="W988" s="76"/>
      <c r="X988" s="76"/>
    </row>
    <row r="989" ht="18.0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 t="s">
        <v>4096</v>
      </c>
      <c r="N989" s="76"/>
      <c r="O989" s="76"/>
      <c r="P989" s="76"/>
      <c r="Q989" s="76"/>
      <c r="R989" s="76"/>
      <c r="S989" s="76"/>
      <c r="T989" s="76"/>
      <c r="U989" s="76" t="s">
        <v>4097</v>
      </c>
      <c r="V989" s="76"/>
      <c r="W989" s="76"/>
      <c r="X989" s="76"/>
    </row>
    <row r="990" ht="18.0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 t="s">
        <v>4098</v>
      </c>
      <c r="N990" s="76"/>
      <c r="O990" s="76"/>
      <c r="P990" s="76"/>
      <c r="Q990" s="76"/>
      <c r="R990" s="76"/>
      <c r="S990" s="76"/>
      <c r="T990" s="76"/>
      <c r="U990" s="76" t="s">
        <v>4099</v>
      </c>
      <c r="V990" s="76"/>
      <c r="W990" s="76"/>
      <c r="X990" s="76"/>
    </row>
    <row r="991" ht="18.0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 t="s">
        <v>4100</v>
      </c>
      <c r="N991" s="76"/>
      <c r="O991" s="76"/>
      <c r="P991" s="76"/>
      <c r="Q991" s="76"/>
      <c r="R991" s="76"/>
      <c r="S991" s="76"/>
      <c r="T991" s="76"/>
      <c r="U991" s="76" t="s">
        <v>4101</v>
      </c>
      <c r="V991" s="76"/>
      <c r="W991" s="76"/>
      <c r="X991" s="76"/>
    </row>
    <row r="992" ht="18.0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 t="s">
        <v>3584</v>
      </c>
      <c r="N992" s="76"/>
      <c r="O992" s="76"/>
      <c r="P992" s="76"/>
      <c r="Q992" s="76"/>
      <c r="R992" s="76"/>
      <c r="S992" s="76"/>
      <c r="T992" s="76"/>
      <c r="U992" s="76" t="s">
        <v>4102</v>
      </c>
      <c r="V992" s="76"/>
      <c r="W992" s="76"/>
      <c r="X992" s="76"/>
    </row>
    <row r="993" ht="18.0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 t="s">
        <v>4103</v>
      </c>
      <c r="N993" s="76"/>
      <c r="O993" s="76"/>
      <c r="P993" s="76"/>
      <c r="Q993" s="76"/>
      <c r="R993" s="76"/>
      <c r="S993" s="76"/>
      <c r="T993" s="76"/>
      <c r="U993" s="76" t="s">
        <v>4104</v>
      </c>
      <c r="V993" s="76"/>
      <c r="W993" s="76"/>
      <c r="X993" s="76"/>
    </row>
    <row r="994" ht="18.0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 t="s">
        <v>4105</v>
      </c>
      <c r="N994" s="76"/>
      <c r="O994" s="76"/>
      <c r="P994" s="76"/>
      <c r="Q994" s="76"/>
      <c r="R994" s="76"/>
      <c r="S994" s="76"/>
      <c r="T994" s="76"/>
      <c r="U994" s="76" t="s">
        <v>4106</v>
      </c>
      <c r="V994" s="76"/>
      <c r="W994" s="76"/>
      <c r="X994" s="76"/>
    </row>
    <row r="995" ht="18.0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 t="s">
        <v>3276</v>
      </c>
      <c r="N995" s="76"/>
      <c r="O995" s="76"/>
      <c r="P995" s="76"/>
      <c r="Q995" s="76"/>
      <c r="R995" s="76"/>
      <c r="S995" s="76"/>
      <c r="T995" s="76"/>
      <c r="U995" s="76" t="s">
        <v>4107</v>
      </c>
      <c r="V995" s="76"/>
      <c r="W995" s="76"/>
      <c r="X995" s="76"/>
    </row>
    <row r="996" ht="18.0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 t="s">
        <v>3291</v>
      </c>
      <c r="N996" s="76"/>
      <c r="O996" s="76"/>
      <c r="P996" s="76"/>
      <c r="Q996" s="76"/>
      <c r="R996" s="76"/>
      <c r="S996" s="76"/>
      <c r="T996" s="76"/>
      <c r="U996" s="76" t="s">
        <v>4108</v>
      </c>
      <c r="V996" s="76"/>
      <c r="W996" s="76"/>
      <c r="X996" s="76"/>
    </row>
    <row r="997" ht="18.0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 t="s">
        <v>3581</v>
      </c>
      <c r="N997" s="76"/>
      <c r="O997" s="76"/>
      <c r="P997" s="76"/>
      <c r="Q997" s="76"/>
      <c r="R997" s="76"/>
      <c r="S997" s="76"/>
      <c r="T997" s="76"/>
      <c r="U997" s="76" t="s">
        <v>4109</v>
      </c>
      <c r="V997" s="76"/>
      <c r="W997" s="76"/>
      <c r="X997" s="76"/>
    </row>
    <row r="998" ht="18.0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 t="s">
        <v>4110</v>
      </c>
      <c r="N998" s="76"/>
      <c r="O998" s="76"/>
      <c r="P998" s="76"/>
      <c r="Q998" s="76"/>
      <c r="R998" s="76"/>
      <c r="S998" s="76"/>
      <c r="T998" s="76"/>
      <c r="U998" s="76" t="s">
        <v>4111</v>
      </c>
      <c r="V998" s="76"/>
      <c r="W998" s="76"/>
      <c r="X998" s="76"/>
    </row>
    <row r="999" ht="18.0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 t="s">
        <v>4112</v>
      </c>
      <c r="N999" s="76"/>
      <c r="O999" s="76"/>
      <c r="P999" s="76"/>
      <c r="Q999" s="76"/>
      <c r="R999" s="76"/>
      <c r="S999" s="76"/>
      <c r="T999" s="76"/>
      <c r="U999" s="76" t="s">
        <v>4113</v>
      </c>
      <c r="V999" s="76"/>
      <c r="W999" s="76"/>
      <c r="X999" s="76"/>
    </row>
    <row r="1000" ht="18.0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 t="s">
        <v>4114</v>
      </c>
      <c r="N1000" s="76"/>
      <c r="O1000" s="76"/>
      <c r="P1000" s="76"/>
      <c r="Q1000" s="76"/>
      <c r="R1000" s="76"/>
      <c r="S1000" s="76"/>
      <c r="T1000" s="76"/>
      <c r="U1000" s="76" t="s">
        <v>4115</v>
      </c>
      <c r="V1000" s="76"/>
      <c r="W1000" s="76"/>
      <c r="X1000" s="76"/>
    </row>
    <row r="1001" ht="18.0" customHeight="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 t="s">
        <v>4116</v>
      </c>
      <c r="N1001" s="76"/>
      <c r="O1001" s="76"/>
      <c r="P1001" s="76"/>
      <c r="Q1001" s="76"/>
      <c r="R1001" s="76"/>
      <c r="S1001" s="76"/>
      <c r="T1001" s="76"/>
      <c r="U1001" s="76" t="s">
        <v>4117</v>
      </c>
      <c r="V1001" s="76"/>
      <c r="W1001" s="76"/>
      <c r="X1001" s="76"/>
    </row>
    <row r="1002" ht="18.0" customHeight="1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 t="s">
        <v>4118</v>
      </c>
      <c r="N1002" s="76"/>
      <c r="O1002" s="76"/>
      <c r="P1002" s="76"/>
      <c r="Q1002" s="76"/>
      <c r="R1002" s="76"/>
      <c r="S1002" s="76"/>
      <c r="T1002" s="76"/>
      <c r="U1002" s="76" t="s">
        <v>4119</v>
      </c>
      <c r="V1002" s="76"/>
      <c r="W1002" s="76"/>
      <c r="X1002" s="76"/>
    </row>
    <row r="1003" ht="18.0" customHeight="1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 t="s">
        <v>4120</v>
      </c>
      <c r="N1003" s="76"/>
      <c r="O1003" s="76"/>
      <c r="P1003" s="76"/>
      <c r="Q1003" s="76"/>
      <c r="R1003" s="76"/>
      <c r="S1003" s="76"/>
      <c r="T1003" s="76"/>
      <c r="U1003" s="76" t="s">
        <v>4121</v>
      </c>
      <c r="V1003" s="76"/>
      <c r="W1003" s="76"/>
      <c r="X1003" s="76"/>
    </row>
    <row r="1004" ht="18.0" customHeight="1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 t="s">
        <v>4122</v>
      </c>
      <c r="N1004" s="76"/>
      <c r="O1004" s="76"/>
      <c r="P1004" s="76"/>
      <c r="Q1004" s="76"/>
      <c r="R1004" s="76"/>
      <c r="S1004" s="76"/>
      <c r="T1004" s="76"/>
      <c r="U1004" s="76" t="s">
        <v>4123</v>
      </c>
      <c r="V1004" s="76"/>
      <c r="W1004" s="76"/>
      <c r="X1004" s="76"/>
    </row>
    <row r="1005" ht="18.0" customHeight="1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 t="s">
        <v>4124</v>
      </c>
      <c r="N1005" s="76"/>
      <c r="O1005" s="76"/>
      <c r="P1005" s="76"/>
      <c r="Q1005" s="76"/>
      <c r="R1005" s="76"/>
      <c r="S1005" s="76"/>
      <c r="T1005" s="76"/>
      <c r="U1005" s="76" t="s">
        <v>4125</v>
      </c>
      <c r="V1005" s="76"/>
      <c r="W1005" s="76"/>
      <c r="X1005" s="76"/>
    </row>
    <row r="1006" ht="18.0" customHeight="1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 t="s">
        <v>4126</v>
      </c>
      <c r="N1006" s="76"/>
      <c r="O1006" s="76"/>
      <c r="P1006" s="76"/>
      <c r="Q1006" s="76"/>
      <c r="R1006" s="76"/>
      <c r="S1006" s="76"/>
      <c r="T1006" s="76"/>
      <c r="U1006" s="76" t="s">
        <v>4127</v>
      </c>
      <c r="V1006" s="76"/>
      <c r="W1006" s="76"/>
      <c r="X1006" s="76"/>
    </row>
    <row r="1007" ht="18.0" customHeight="1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 t="s">
        <v>4128</v>
      </c>
      <c r="N1007" s="76"/>
      <c r="O1007" s="76"/>
      <c r="P1007" s="76"/>
      <c r="Q1007" s="76"/>
      <c r="R1007" s="76"/>
      <c r="S1007" s="76"/>
      <c r="T1007" s="76"/>
      <c r="U1007" s="76" t="s">
        <v>4129</v>
      </c>
      <c r="V1007" s="76"/>
      <c r="W1007" s="76"/>
      <c r="X1007" s="76"/>
    </row>
    <row r="1008" ht="18.0" customHeight="1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 t="s">
        <v>4130</v>
      </c>
      <c r="N1008" s="76"/>
      <c r="O1008" s="76"/>
      <c r="P1008" s="76"/>
      <c r="Q1008" s="76"/>
      <c r="R1008" s="76"/>
      <c r="S1008" s="76"/>
      <c r="T1008" s="76"/>
      <c r="U1008" s="76" t="s">
        <v>4131</v>
      </c>
      <c r="V1008" s="76"/>
      <c r="W1008" s="76"/>
      <c r="X1008" s="76"/>
    </row>
    <row r="1009" ht="18.0" customHeight="1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 t="s">
        <v>4132</v>
      </c>
      <c r="N1009" s="76"/>
      <c r="O1009" s="76"/>
      <c r="P1009" s="76"/>
      <c r="Q1009" s="76"/>
      <c r="R1009" s="76"/>
      <c r="S1009" s="76"/>
      <c r="T1009" s="76"/>
      <c r="U1009" s="76" t="s">
        <v>4133</v>
      </c>
      <c r="V1009" s="76"/>
      <c r="W1009" s="76"/>
      <c r="X1009" s="76"/>
    </row>
    <row r="1010" ht="18.0" customHeight="1">
      <c r="A1010" s="76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 t="s">
        <v>4134</v>
      </c>
      <c r="N1010" s="76"/>
      <c r="O1010" s="76"/>
      <c r="P1010" s="76"/>
      <c r="Q1010" s="76"/>
      <c r="R1010" s="76"/>
      <c r="S1010" s="76"/>
      <c r="T1010" s="76"/>
      <c r="U1010" s="76" t="s">
        <v>4135</v>
      </c>
      <c r="V1010" s="76"/>
      <c r="W1010" s="76"/>
      <c r="X1010" s="76"/>
    </row>
    <row r="1011" ht="18.0" customHeight="1">
      <c r="A1011" s="76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 t="s">
        <v>4136</v>
      </c>
      <c r="N1011" s="76"/>
      <c r="O1011" s="76"/>
      <c r="P1011" s="76"/>
      <c r="Q1011" s="76"/>
      <c r="R1011" s="76"/>
      <c r="S1011" s="76"/>
      <c r="T1011" s="76"/>
      <c r="U1011" s="76" t="s">
        <v>4137</v>
      </c>
      <c r="V1011" s="76"/>
      <c r="W1011" s="76"/>
      <c r="X1011" s="76"/>
    </row>
    <row r="1012" ht="18.0" customHeight="1">
      <c r="A1012" s="76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 t="s">
        <v>4138</v>
      </c>
      <c r="N1012" s="76"/>
      <c r="O1012" s="76"/>
      <c r="P1012" s="76"/>
      <c r="Q1012" s="76"/>
      <c r="R1012" s="76"/>
      <c r="S1012" s="76"/>
      <c r="T1012" s="76"/>
      <c r="U1012" s="76" t="s">
        <v>4139</v>
      </c>
      <c r="V1012" s="76"/>
      <c r="W1012" s="76"/>
      <c r="X1012" s="76"/>
    </row>
    <row r="1013" ht="18.0" customHeight="1">
      <c r="A1013" s="76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6"/>
      <c r="M1013" s="76" t="s">
        <v>4140</v>
      </c>
      <c r="N1013" s="76"/>
      <c r="O1013" s="76"/>
      <c r="P1013" s="76"/>
      <c r="Q1013" s="76"/>
      <c r="R1013" s="76"/>
      <c r="S1013" s="76"/>
      <c r="T1013" s="76"/>
      <c r="U1013" s="76" t="s">
        <v>4141</v>
      </c>
      <c r="V1013" s="76"/>
      <c r="W1013" s="76"/>
      <c r="X1013" s="76"/>
    </row>
    <row r="1014" ht="18.0" customHeight="1">
      <c r="A1014" s="76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 t="s">
        <v>4142</v>
      </c>
      <c r="N1014" s="76"/>
      <c r="O1014" s="76"/>
      <c r="P1014" s="76"/>
      <c r="Q1014" s="76"/>
      <c r="R1014" s="76"/>
      <c r="S1014" s="76"/>
      <c r="T1014" s="76"/>
      <c r="U1014" s="76" t="s">
        <v>4143</v>
      </c>
      <c r="V1014" s="76"/>
      <c r="W1014" s="76"/>
      <c r="X1014" s="76"/>
    </row>
    <row r="1015" ht="18.0" customHeight="1">
      <c r="A1015" s="76"/>
      <c r="B1015" s="76"/>
      <c r="C1015" s="76"/>
      <c r="D1015" s="76"/>
      <c r="E1015" s="76"/>
      <c r="F1015" s="76"/>
      <c r="G1015" s="76"/>
      <c r="H1015" s="76"/>
      <c r="I1015" s="76"/>
      <c r="J1015" s="76"/>
      <c r="K1015" s="76"/>
      <c r="L1015" s="76"/>
      <c r="M1015" s="76" t="s">
        <v>4144</v>
      </c>
      <c r="N1015" s="76"/>
      <c r="O1015" s="76"/>
      <c r="P1015" s="76"/>
      <c r="Q1015" s="76"/>
      <c r="R1015" s="76"/>
      <c r="S1015" s="76"/>
      <c r="T1015" s="76"/>
      <c r="U1015" s="76" t="s">
        <v>4145</v>
      </c>
      <c r="V1015" s="76"/>
      <c r="W1015" s="76"/>
      <c r="X1015" s="76"/>
    </row>
    <row r="1016" ht="18.0" customHeight="1">
      <c r="A1016" s="76"/>
      <c r="B1016" s="76"/>
      <c r="C1016" s="76"/>
      <c r="D1016" s="76"/>
      <c r="E1016" s="76"/>
      <c r="F1016" s="76"/>
      <c r="G1016" s="76"/>
      <c r="H1016" s="76"/>
      <c r="I1016" s="76"/>
      <c r="J1016" s="76"/>
      <c r="K1016" s="76"/>
      <c r="L1016" s="76"/>
      <c r="M1016" s="76" t="s">
        <v>4146</v>
      </c>
      <c r="N1016" s="76"/>
      <c r="O1016" s="76"/>
      <c r="P1016" s="76"/>
      <c r="Q1016" s="76"/>
      <c r="R1016" s="76"/>
      <c r="S1016" s="76"/>
      <c r="T1016" s="76"/>
      <c r="U1016" s="76" t="s">
        <v>4147</v>
      </c>
      <c r="V1016" s="76"/>
      <c r="W1016" s="76"/>
      <c r="X1016" s="76"/>
    </row>
    <row r="1017" ht="18.0" customHeight="1">
      <c r="A1017" s="76"/>
      <c r="B1017" s="76"/>
      <c r="C1017" s="76"/>
      <c r="D1017" s="76"/>
      <c r="E1017" s="76"/>
      <c r="F1017" s="76"/>
      <c r="G1017" s="76"/>
      <c r="H1017" s="76"/>
      <c r="I1017" s="76"/>
      <c r="J1017" s="76"/>
      <c r="K1017" s="76"/>
      <c r="L1017" s="76"/>
      <c r="M1017" s="76" t="s">
        <v>4148</v>
      </c>
      <c r="N1017" s="76"/>
      <c r="O1017" s="76"/>
      <c r="P1017" s="76"/>
      <c r="Q1017" s="76"/>
      <c r="R1017" s="76"/>
      <c r="S1017" s="76"/>
      <c r="T1017" s="76"/>
      <c r="U1017" s="76" t="s">
        <v>4149</v>
      </c>
      <c r="V1017" s="76"/>
      <c r="W1017" s="76"/>
      <c r="X1017" s="76"/>
    </row>
    <row r="1018" ht="18.0" customHeight="1">
      <c r="A1018" s="76"/>
      <c r="B1018" s="76"/>
      <c r="C1018" s="76"/>
      <c r="D1018" s="76"/>
      <c r="E1018" s="76"/>
      <c r="F1018" s="76"/>
      <c r="G1018" s="76"/>
      <c r="H1018" s="76"/>
      <c r="I1018" s="76"/>
      <c r="J1018" s="76"/>
      <c r="K1018" s="76"/>
      <c r="L1018" s="76"/>
      <c r="M1018" s="76" t="s">
        <v>4150</v>
      </c>
      <c r="N1018" s="76"/>
      <c r="O1018" s="76"/>
      <c r="P1018" s="76"/>
      <c r="Q1018" s="76"/>
      <c r="R1018" s="76"/>
      <c r="S1018" s="76"/>
      <c r="T1018" s="76"/>
      <c r="U1018" s="76" t="s">
        <v>4151</v>
      </c>
      <c r="V1018" s="76"/>
      <c r="W1018" s="76"/>
      <c r="X1018" s="76"/>
    </row>
    <row r="1019" ht="18.0" customHeight="1">
      <c r="A1019" s="76"/>
      <c r="B1019" s="76"/>
      <c r="C1019" s="76"/>
      <c r="D1019" s="76"/>
      <c r="E1019" s="76"/>
      <c r="F1019" s="76"/>
      <c r="G1019" s="76"/>
      <c r="H1019" s="76"/>
      <c r="I1019" s="76"/>
      <c r="J1019" s="76"/>
      <c r="K1019" s="76"/>
      <c r="L1019" s="76"/>
      <c r="M1019" s="76" t="s">
        <v>4152</v>
      </c>
      <c r="N1019" s="76"/>
      <c r="O1019" s="76"/>
      <c r="P1019" s="76"/>
      <c r="Q1019" s="76"/>
      <c r="R1019" s="76"/>
      <c r="S1019" s="76"/>
      <c r="T1019" s="76"/>
      <c r="U1019" s="76" t="s">
        <v>4153</v>
      </c>
      <c r="V1019" s="76"/>
      <c r="W1019" s="76"/>
      <c r="X1019" s="76"/>
    </row>
    <row r="1020" ht="18.0" customHeight="1">
      <c r="A1020" s="76"/>
      <c r="B1020" s="76"/>
      <c r="C1020" s="76"/>
      <c r="D1020" s="76"/>
      <c r="E1020" s="76"/>
      <c r="F1020" s="76"/>
      <c r="G1020" s="76"/>
      <c r="H1020" s="76"/>
      <c r="I1020" s="76"/>
      <c r="J1020" s="76"/>
      <c r="K1020" s="76"/>
      <c r="L1020" s="76"/>
      <c r="M1020" s="76" t="s">
        <v>4154</v>
      </c>
      <c r="N1020" s="76"/>
      <c r="O1020" s="76"/>
      <c r="P1020" s="76"/>
      <c r="Q1020" s="76"/>
      <c r="R1020" s="76"/>
      <c r="S1020" s="76"/>
      <c r="T1020" s="76"/>
      <c r="U1020" s="76" t="s">
        <v>4155</v>
      </c>
      <c r="V1020" s="76"/>
      <c r="W1020" s="76"/>
      <c r="X1020" s="76"/>
    </row>
    <row r="1021" ht="18.0" customHeight="1">
      <c r="A1021" s="76"/>
      <c r="B1021" s="76"/>
      <c r="C1021" s="76"/>
      <c r="D1021" s="76"/>
      <c r="E1021" s="76"/>
      <c r="F1021" s="76"/>
      <c r="G1021" s="76"/>
      <c r="H1021" s="76"/>
      <c r="I1021" s="76"/>
      <c r="J1021" s="76"/>
      <c r="K1021" s="76"/>
      <c r="L1021" s="76"/>
      <c r="M1021" s="76" t="s">
        <v>4156</v>
      </c>
      <c r="N1021" s="76"/>
      <c r="O1021" s="76"/>
      <c r="P1021" s="76"/>
      <c r="Q1021" s="76"/>
      <c r="R1021" s="76"/>
      <c r="S1021" s="76"/>
      <c r="T1021" s="76"/>
      <c r="U1021" s="76" t="s">
        <v>4157</v>
      </c>
      <c r="V1021" s="76"/>
      <c r="W1021" s="76"/>
      <c r="X1021" s="76"/>
    </row>
    <row r="1022" ht="18.0" customHeight="1">
      <c r="A1022" s="76"/>
      <c r="B1022" s="76"/>
      <c r="C1022" s="76"/>
      <c r="D1022" s="76"/>
      <c r="E1022" s="76"/>
      <c r="F1022" s="76"/>
      <c r="G1022" s="76"/>
      <c r="H1022" s="76"/>
      <c r="I1022" s="76"/>
      <c r="J1022" s="76"/>
      <c r="K1022" s="76"/>
      <c r="L1022" s="76"/>
      <c r="M1022" s="76" t="s">
        <v>4158</v>
      </c>
      <c r="N1022" s="76"/>
      <c r="O1022" s="76"/>
      <c r="P1022" s="76"/>
      <c r="Q1022" s="76"/>
      <c r="R1022" s="76"/>
      <c r="S1022" s="76"/>
      <c r="T1022" s="76"/>
      <c r="U1022" s="76" t="s">
        <v>4159</v>
      </c>
      <c r="V1022" s="76"/>
      <c r="W1022" s="76"/>
      <c r="X1022" s="76"/>
    </row>
    <row r="1023" ht="18.0" customHeight="1">
      <c r="A1023" s="76"/>
      <c r="B1023" s="76"/>
      <c r="C1023" s="76"/>
      <c r="D1023" s="76"/>
      <c r="E1023" s="76"/>
      <c r="F1023" s="76"/>
      <c r="G1023" s="76"/>
      <c r="H1023" s="76"/>
      <c r="I1023" s="76"/>
      <c r="J1023" s="76"/>
      <c r="K1023" s="76"/>
      <c r="L1023" s="76"/>
      <c r="M1023" s="76" t="s">
        <v>4160</v>
      </c>
      <c r="N1023" s="76"/>
      <c r="O1023" s="76"/>
      <c r="P1023" s="76"/>
      <c r="Q1023" s="76"/>
      <c r="R1023" s="76"/>
      <c r="S1023" s="76"/>
      <c r="T1023" s="76"/>
      <c r="U1023" s="76" t="s">
        <v>4161</v>
      </c>
      <c r="V1023" s="76"/>
      <c r="W1023" s="76"/>
      <c r="X1023" s="76"/>
    </row>
    <row r="1024" ht="18.0" customHeight="1">
      <c r="A1024" s="76"/>
      <c r="B1024" s="76"/>
      <c r="C1024" s="76"/>
      <c r="D1024" s="76"/>
      <c r="E1024" s="76"/>
      <c r="F1024" s="76"/>
      <c r="G1024" s="76"/>
      <c r="H1024" s="76"/>
      <c r="I1024" s="76"/>
      <c r="J1024" s="76"/>
      <c r="K1024" s="76"/>
      <c r="L1024" s="76"/>
      <c r="M1024" s="76" t="s">
        <v>4162</v>
      </c>
      <c r="N1024" s="76"/>
      <c r="O1024" s="76"/>
      <c r="P1024" s="76"/>
      <c r="Q1024" s="76"/>
      <c r="R1024" s="76"/>
      <c r="S1024" s="76"/>
      <c r="T1024" s="76"/>
      <c r="U1024" s="76" t="s">
        <v>4163</v>
      </c>
      <c r="V1024" s="76"/>
      <c r="W1024" s="76"/>
      <c r="X1024" s="76"/>
    </row>
    <row r="1025" ht="18.0" customHeight="1">
      <c r="A1025" s="76"/>
      <c r="B1025" s="76"/>
      <c r="C1025" s="76"/>
      <c r="D1025" s="76"/>
      <c r="E1025" s="76"/>
      <c r="F1025" s="76"/>
      <c r="G1025" s="76"/>
      <c r="H1025" s="76"/>
      <c r="I1025" s="76"/>
      <c r="J1025" s="76"/>
      <c r="K1025" s="76"/>
      <c r="L1025" s="76"/>
      <c r="M1025" s="76" t="s">
        <v>4164</v>
      </c>
      <c r="N1025" s="76"/>
      <c r="O1025" s="76"/>
      <c r="P1025" s="76"/>
      <c r="Q1025" s="76"/>
      <c r="R1025" s="76"/>
      <c r="S1025" s="76"/>
      <c r="T1025" s="76"/>
      <c r="U1025" s="76" t="s">
        <v>4165</v>
      </c>
      <c r="V1025" s="76"/>
      <c r="W1025" s="76"/>
      <c r="X1025" s="76"/>
    </row>
    <row r="1026" ht="18.0" customHeight="1">
      <c r="A1026" s="76"/>
      <c r="B1026" s="76"/>
      <c r="C1026" s="76"/>
      <c r="D1026" s="76"/>
      <c r="E1026" s="76"/>
      <c r="F1026" s="76"/>
      <c r="G1026" s="76"/>
      <c r="H1026" s="76"/>
      <c r="I1026" s="76"/>
      <c r="J1026" s="76"/>
      <c r="K1026" s="76"/>
      <c r="L1026" s="76"/>
      <c r="M1026" s="76" t="s">
        <v>4166</v>
      </c>
      <c r="N1026" s="76"/>
      <c r="O1026" s="76"/>
      <c r="P1026" s="76"/>
      <c r="Q1026" s="76"/>
      <c r="R1026" s="76"/>
      <c r="S1026" s="76"/>
      <c r="T1026" s="76"/>
      <c r="U1026" s="76" t="s">
        <v>4167</v>
      </c>
      <c r="V1026" s="76"/>
      <c r="W1026" s="76"/>
      <c r="X1026" s="76"/>
    </row>
    <row r="1027" ht="18.0" customHeight="1">
      <c r="A1027" s="76"/>
      <c r="B1027" s="76"/>
      <c r="C1027" s="76"/>
      <c r="D1027" s="76"/>
      <c r="E1027" s="76"/>
      <c r="F1027" s="76"/>
      <c r="G1027" s="76"/>
      <c r="H1027" s="76"/>
      <c r="I1027" s="76"/>
      <c r="J1027" s="76"/>
      <c r="K1027" s="76"/>
      <c r="L1027" s="76"/>
      <c r="M1027" s="76" t="s">
        <v>4168</v>
      </c>
      <c r="N1027" s="76"/>
      <c r="O1027" s="76"/>
      <c r="P1027" s="76"/>
      <c r="Q1027" s="76"/>
      <c r="R1027" s="76"/>
      <c r="S1027" s="76"/>
      <c r="T1027" s="76"/>
      <c r="U1027" s="76" t="s">
        <v>4169</v>
      </c>
      <c r="V1027" s="76"/>
      <c r="W1027" s="76"/>
      <c r="X1027" s="76"/>
    </row>
    <row r="1028" ht="18.0" customHeight="1">
      <c r="A1028" s="76"/>
      <c r="B1028" s="76"/>
      <c r="C1028" s="76"/>
      <c r="D1028" s="76"/>
      <c r="E1028" s="76"/>
      <c r="F1028" s="76"/>
      <c r="G1028" s="76"/>
      <c r="H1028" s="76"/>
      <c r="I1028" s="76"/>
      <c r="J1028" s="76"/>
      <c r="K1028" s="76"/>
      <c r="L1028" s="76"/>
      <c r="M1028" s="76" t="s">
        <v>4170</v>
      </c>
      <c r="N1028" s="76"/>
      <c r="O1028" s="76"/>
      <c r="P1028" s="76"/>
      <c r="Q1028" s="76"/>
      <c r="R1028" s="76"/>
      <c r="S1028" s="76"/>
      <c r="T1028" s="76"/>
      <c r="U1028" s="76" t="s">
        <v>4171</v>
      </c>
      <c r="V1028" s="76"/>
      <c r="W1028" s="76"/>
      <c r="X1028" s="76"/>
    </row>
    <row r="1029" ht="18.0" customHeight="1">
      <c r="A1029" s="76"/>
      <c r="B1029" s="76"/>
      <c r="C1029" s="76"/>
      <c r="D1029" s="76"/>
      <c r="E1029" s="76"/>
      <c r="F1029" s="76"/>
      <c r="G1029" s="76"/>
      <c r="H1029" s="76"/>
      <c r="I1029" s="76"/>
      <c r="J1029" s="76"/>
      <c r="K1029" s="76"/>
      <c r="L1029" s="76"/>
      <c r="M1029" s="76" t="s">
        <v>4172</v>
      </c>
      <c r="N1029" s="76"/>
      <c r="O1029" s="76"/>
      <c r="P1029" s="76"/>
      <c r="Q1029" s="76"/>
      <c r="R1029" s="76"/>
      <c r="S1029" s="76"/>
      <c r="T1029" s="76"/>
      <c r="U1029" s="76" t="s">
        <v>4173</v>
      </c>
      <c r="V1029" s="76"/>
      <c r="W1029" s="76"/>
      <c r="X1029" s="76"/>
    </row>
    <row r="1030" ht="18.0" customHeight="1">
      <c r="A1030" s="76"/>
      <c r="B1030" s="76"/>
      <c r="C1030" s="76"/>
      <c r="D1030" s="76"/>
      <c r="E1030" s="76"/>
      <c r="F1030" s="76"/>
      <c r="G1030" s="76"/>
      <c r="H1030" s="76"/>
      <c r="I1030" s="76"/>
      <c r="J1030" s="76"/>
      <c r="K1030" s="76"/>
      <c r="L1030" s="76"/>
      <c r="M1030" s="76" t="s">
        <v>4174</v>
      </c>
      <c r="N1030" s="76"/>
      <c r="O1030" s="76"/>
      <c r="P1030" s="76"/>
      <c r="Q1030" s="76"/>
      <c r="R1030" s="76"/>
      <c r="S1030" s="76"/>
      <c r="T1030" s="76"/>
      <c r="U1030" s="76" t="s">
        <v>4175</v>
      </c>
      <c r="V1030" s="76"/>
      <c r="W1030" s="76"/>
      <c r="X1030" s="76"/>
    </row>
    <row r="1031" ht="18.0" customHeight="1">
      <c r="A1031" s="76"/>
      <c r="B1031" s="76"/>
      <c r="C1031" s="76"/>
      <c r="D1031" s="76"/>
      <c r="E1031" s="76"/>
      <c r="F1031" s="76"/>
      <c r="G1031" s="76"/>
      <c r="H1031" s="76"/>
      <c r="I1031" s="76"/>
      <c r="J1031" s="76"/>
      <c r="K1031" s="76"/>
      <c r="L1031" s="76"/>
      <c r="M1031" s="76" t="s">
        <v>4176</v>
      </c>
      <c r="N1031" s="76"/>
      <c r="O1031" s="76"/>
      <c r="P1031" s="76"/>
      <c r="Q1031" s="76"/>
      <c r="R1031" s="76"/>
      <c r="S1031" s="76"/>
      <c r="T1031" s="76"/>
      <c r="U1031" s="76" t="s">
        <v>4177</v>
      </c>
      <c r="V1031" s="76"/>
      <c r="W1031" s="76"/>
      <c r="X1031" s="76"/>
    </row>
    <row r="1032" ht="18.0" customHeight="1">
      <c r="A1032" s="76"/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 t="s">
        <v>4178</v>
      </c>
      <c r="N1032" s="76"/>
      <c r="O1032" s="76"/>
      <c r="P1032" s="76"/>
      <c r="Q1032" s="76"/>
      <c r="R1032" s="76"/>
      <c r="S1032" s="76"/>
      <c r="T1032" s="76"/>
      <c r="U1032" s="76" t="s">
        <v>4179</v>
      </c>
      <c r="V1032" s="76"/>
      <c r="W1032" s="76"/>
      <c r="X1032" s="76"/>
    </row>
    <row r="1033" ht="18.0" customHeight="1">
      <c r="A1033" s="76"/>
      <c r="B1033" s="76"/>
      <c r="C1033" s="76"/>
      <c r="D1033" s="76"/>
      <c r="E1033" s="76"/>
      <c r="F1033" s="76"/>
      <c r="G1033" s="76"/>
      <c r="H1033" s="76"/>
      <c r="I1033" s="76"/>
      <c r="J1033" s="76"/>
      <c r="K1033" s="76"/>
      <c r="L1033" s="76"/>
      <c r="M1033" s="76" t="s">
        <v>4180</v>
      </c>
      <c r="N1033" s="76"/>
      <c r="O1033" s="76"/>
      <c r="P1033" s="76"/>
      <c r="Q1033" s="76"/>
      <c r="R1033" s="76"/>
      <c r="S1033" s="76"/>
      <c r="T1033" s="76"/>
      <c r="U1033" s="76" t="s">
        <v>4181</v>
      </c>
      <c r="V1033" s="76"/>
      <c r="W1033" s="76"/>
      <c r="X1033" s="76"/>
    </row>
    <row r="1034" ht="18.0" customHeight="1">
      <c r="A1034" s="76"/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 t="s">
        <v>4182</v>
      </c>
      <c r="N1034" s="76"/>
      <c r="O1034" s="76"/>
      <c r="P1034" s="76"/>
      <c r="Q1034" s="76"/>
      <c r="R1034" s="76"/>
      <c r="S1034" s="76"/>
      <c r="T1034" s="76"/>
      <c r="U1034" s="76" t="s">
        <v>4183</v>
      </c>
      <c r="V1034" s="76"/>
      <c r="W1034" s="76"/>
      <c r="X1034" s="76"/>
    </row>
    <row r="1035" ht="18.0" customHeight="1">
      <c r="A1035" s="76"/>
      <c r="B1035" s="76"/>
      <c r="C1035" s="76"/>
      <c r="D1035" s="76"/>
      <c r="E1035" s="76"/>
      <c r="F1035" s="76"/>
      <c r="G1035" s="76"/>
      <c r="H1035" s="76"/>
      <c r="I1035" s="76"/>
      <c r="J1035" s="76"/>
      <c r="K1035" s="76"/>
      <c r="L1035" s="76"/>
      <c r="M1035" s="76" t="s">
        <v>4184</v>
      </c>
      <c r="N1035" s="76"/>
      <c r="O1035" s="76"/>
      <c r="P1035" s="76"/>
      <c r="Q1035" s="76"/>
      <c r="R1035" s="76"/>
      <c r="S1035" s="76"/>
      <c r="T1035" s="76"/>
      <c r="U1035" s="76" t="s">
        <v>4185</v>
      </c>
      <c r="V1035" s="76"/>
      <c r="W1035" s="76"/>
      <c r="X1035" s="76"/>
    </row>
    <row r="1036" ht="18.0" customHeight="1">
      <c r="A1036" s="76"/>
      <c r="B1036" s="76"/>
      <c r="C1036" s="76"/>
      <c r="D1036" s="76"/>
      <c r="E1036" s="76"/>
      <c r="F1036" s="76"/>
      <c r="G1036" s="76"/>
      <c r="H1036" s="76"/>
      <c r="I1036" s="76"/>
      <c r="J1036" s="76"/>
      <c r="K1036" s="76"/>
      <c r="L1036" s="76"/>
      <c r="M1036" s="76" t="s">
        <v>4186</v>
      </c>
      <c r="N1036" s="76"/>
      <c r="O1036" s="76"/>
      <c r="P1036" s="76"/>
      <c r="Q1036" s="76"/>
      <c r="R1036" s="76"/>
      <c r="S1036" s="76"/>
      <c r="T1036" s="76"/>
      <c r="U1036" s="76" t="s">
        <v>4187</v>
      </c>
      <c r="V1036" s="76"/>
      <c r="W1036" s="76"/>
      <c r="X1036" s="76"/>
    </row>
    <row r="1037" ht="18.0" customHeight="1">
      <c r="A1037" s="76"/>
      <c r="B1037" s="76"/>
      <c r="C1037" s="76"/>
      <c r="D1037" s="76"/>
      <c r="E1037" s="76"/>
      <c r="F1037" s="76"/>
      <c r="G1037" s="76"/>
      <c r="H1037" s="76"/>
      <c r="I1037" s="76"/>
      <c r="J1037" s="76"/>
      <c r="K1037" s="76"/>
      <c r="L1037" s="76"/>
      <c r="M1037" s="76" t="s">
        <v>4188</v>
      </c>
      <c r="N1037" s="76"/>
      <c r="O1037" s="76"/>
      <c r="P1037" s="76"/>
      <c r="Q1037" s="76"/>
      <c r="R1037" s="76"/>
      <c r="S1037" s="76"/>
      <c r="T1037" s="76"/>
      <c r="U1037" s="76" t="s">
        <v>4189</v>
      </c>
      <c r="V1037" s="76"/>
      <c r="W1037" s="76"/>
      <c r="X1037" s="76"/>
    </row>
    <row r="1038" ht="18.0" customHeight="1">
      <c r="A1038" s="76"/>
      <c r="B1038" s="76"/>
      <c r="C1038" s="76"/>
      <c r="D1038" s="76"/>
      <c r="E1038" s="76"/>
      <c r="F1038" s="76"/>
      <c r="G1038" s="76"/>
      <c r="H1038" s="76"/>
      <c r="I1038" s="76"/>
      <c r="J1038" s="76"/>
      <c r="K1038" s="76"/>
      <c r="L1038" s="76"/>
      <c r="M1038" s="76" t="s">
        <v>4190</v>
      </c>
      <c r="N1038" s="76"/>
      <c r="O1038" s="76"/>
      <c r="P1038" s="76"/>
      <c r="Q1038" s="76"/>
      <c r="R1038" s="76"/>
      <c r="S1038" s="76"/>
      <c r="T1038" s="76"/>
      <c r="U1038" s="76" t="s">
        <v>4191</v>
      </c>
      <c r="V1038" s="76"/>
      <c r="W1038" s="76"/>
      <c r="X1038" s="76"/>
    </row>
    <row r="1039" ht="18.0" customHeight="1">
      <c r="A1039" s="76"/>
      <c r="B1039" s="76"/>
      <c r="C1039" s="76"/>
      <c r="D1039" s="76"/>
      <c r="E1039" s="76"/>
      <c r="F1039" s="76"/>
      <c r="G1039" s="76"/>
      <c r="H1039" s="76"/>
      <c r="I1039" s="76"/>
      <c r="J1039" s="76"/>
      <c r="K1039" s="76"/>
      <c r="L1039" s="76"/>
      <c r="M1039" s="76" t="s">
        <v>4192</v>
      </c>
      <c r="N1039" s="76"/>
      <c r="O1039" s="76"/>
      <c r="P1039" s="76"/>
      <c r="Q1039" s="76"/>
      <c r="R1039" s="76"/>
      <c r="S1039" s="76"/>
      <c r="T1039" s="76"/>
      <c r="U1039" s="76" t="s">
        <v>4193</v>
      </c>
      <c r="V1039" s="76"/>
      <c r="W1039" s="76"/>
      <c r="X1039" s="76"/>
    </row>
    <row r="1040" ht="18.0" customHeight="1">
      <c r="A1040" s="76"/>
      <c r="B1040" s="76"/>
      <c r="C1040" s="76"/>
      <c r="D1040" s="76"/>
      <c r="E1040" s="76"/>
      <c r="F1040" s="76"/>
      <c r="G1040" s="76"/>
      <c r="H1040" s="76"/>
      <c r="I1040" s="76"/>
      <c r="J1040" s="76"/>
      <c r="K1040" s="76"/>
      <c r="L1040" s="76"/>
      <c r="M1040" s="76" t="s">
        <v>4194</v>
      </c>
      <c r="N1040" s="76"/>
      <c r="O1040" s="76"/>
      <c r="P1040" s="76"/>
      <c r="Q1040" s="76"/>
      <c r="R1040" s="76"/>
      <c r="S1040" s="76"/>
      <c r="T1040" s="76"/>
      <c r="U1040" s="76" t="s">
        <v>4195</v>
      </c>
      <c r="V1040" s="76"/>
      <c r="W1040" s="76"/>
      <c r="X1040" s="76"/>
    </row>
    <row r="1041" ht="18.0" customHeight="1">
      <c r="A1041" s="76"/>
      <c r="B1041" s="76"/>
      <c r="C1041" s="76"/>
      <c r="D1041" s="76"/>
      <c r="E1041" s="76"/>
      <c r="F1041" s="76"/>
      <c r="G1041" s="76"/>
      <c r="H1041" s="76"/>
      <c r="I1041" s="76"/>
      <c r="J1041" s="76"/>
      <c r="K1041" s="76"/>
      <c r="L1041" s="76"/>
      <c r="M1041" s="76" t="s">
        <v>4196</v>
      </c>
      <c r="N1041" s="76"/>
      <c r="O1041" s="76"/>
      <c r="P1041" s="76"/>
      <c r="Q1041" s="76"/>
      <c r="R1041" s="76"/>
      <c r="S1041" s="76"/>
      <c r="T1041" s="76"/>
      <c r="U1041" s="76" t="s">
        <v>4197</v>
      </c>
      <c r="V1041" s="76"/>
      <c r="W1041" s="76"/>
      <c r="X1041" s="76"/>
    </row>
    <row r="1042" ht="18.0" customHeight="1">
      <c r="A1042" s="76"/>
      <c r="B1042" s="76"/>
      <c r="C1042" s="76"/>
      <c r="D1042" s="76"/>
      <c r="E1042" s="76"/>
      <c r="F1042" s="76"/>
      <c r="G1042" s="76"/>
      <c r="H1042" s="76"/>
      <c r="I1042" s="76"/>
      <c r="J1042" s="76"/>
      <c r="K1042" s="76"/>
      <c r="L1042" s="76"/>
      <c r="M1042" s="76" t="s">
        <v>4198</v>
      </c>
      <c r="N1042" s="76"/>
      <c r="O1042" s="76"/>
      <c r="P1042" s="76"/>
      <c r="Q1042" s="76"/>
      <c r="R1042" s="76"/>
      <c r="S1042" s="76"/>
      <c r="T1042" s="76"/>
      <c r="U1042" s="76" t="s">
        <v>4199</v>
      </c>
      <c r="V1042" s="76"/>
      <c r="W1042" s="76"/>
      <c r="X1042" s="76"/>
    </row>
    <row r="1043" ht="18.0" customHeight="1">
      <c r="A1043" s="76"/>
      <c r="B1043" s="76"/>
      <c r="C1043" s="76"/>
      <c r="D1043" s="76"/>
      <c r="E1043" s="76"/>
      <c r="F1043" s="76"/>
      <c r="G1043" s="76"/>
      <c r="H1043" s="76"/>
      <c r="I1043" s="76"/>
      <c r="J1043" s="76"/>
      <c r="K1043" s="76"/>
      <c r="L1043" s="76"/>
      <c r="M1043" s="76" t="s">
        <v>4200</v>
      </c>
      <c r="N1043" s="76"/>
      <c r="O1043" s="76"/>
      <c r="P1043" s="76"/>
      <c r="Q1043" s="76"/>
      <c r="R1043" s="76"/>
      <c r="S1043" s="76"/>
      <c r="T1043" s="76"/>
      <c r="U1043" s="76" t="s">
        <v>4201</v>
      </c>
      <c r="V1043" s="76"/>
      <c r="W1043" s="76"/>
      <c r="X1043" s="76"/>
    </row>
    <row r="1044" ht="18.0" customHeight="1">
      <c r="A1044" s="76"/>
      <c r="B1044" s="76"/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 t="s">
        <v>4202</v>
      </c>
      <c r="N1044" s="76"/>
      <c r="O1044" s="76"/>
      <c r="P1044" s="76"/>
      <c r="Q1044" s="76"/>
      <c r="R1044" s="76"/>
      <c r="S1044" s="76"/>
      <c r="T1044" s="76"/>
      <c r="U1044" s="76" t="s">
        <v>4203</v>
      </c>
      <c r="V1044" s="76"/>
      <c r="W1044" s="76"/>
      <c r="X1044" s="76"/>
    </row>
    <row r="1045" ht="18.0" customHeight="1">
      <c r="A1045" s="76"/>
      <c r="B1045" s="76"/>
      <c r="C1045" s="76"/>
      <c r="D1045" s="76"/>
      <c r="E1045" s="76"/>
      <c r="F1045" s="76"/>
      <c r="G1045" s="76"/>
      <c r="H1045" s="76"/>
      <c r="I1045" s="76"/>
      <c r="J1045" s="76"/>
      <c r="K1045" s="76"/>
      <c r="L1045" s="76"/>
      <c r="M1045" s="76" t="s">
        <v>4204</v>
      </c>
      <c r="N1045" s="76"/>
      <c r="O1045" s="76"/>
      <c r="P1045" s="76"/>
      <c r="Q1045" s="76"/>
      <c r="R1045" s="76"/>
      <c r="S1045" s="76"/>
      <c r="T1045" s="76"/>
      <c r="U1045" s="76" t="s">
        <v>4205</v>
      </c>
      <c r="V1045" s="76"/>
      <c r="W1045" s="76"/>
      <c r="X1045" s="76"/>
    </row>
    <row r="1046" ht="18.0" customHeight="1">
      <c r="A1046" s="76"/>
      <c r="B1046" s="76"/>
      <c r="C1046" s="76"/>
      <c r="D1046" s="76"/>
      <c r="E1046" s="76"/>
      <c r="F1046" s="76"/>
      <c r="G1046" s="76"/>
      <c r="H1046" s="76"/>
      <c r="I1046" s="76"/>
      <c r="J1046" s="76"/>
      <c r="K1046" s="76"/>
      <c r="L1046" s="76"/>
      <c r="M1046" s="76" t="s">
        <v>4206</v>
      </c>
      <c r="N1046" s="76"/>
      <c r="O1046" s="76"/>
      <c r="P1046" s="76"/>
      <c r="Q1046" s="76"/>
      <c r="R1046" s="76"/>
      <c r="S1046" s="76"/>
      <c r="T1046" s="76"/>
      <c r="U1046" s="76" t="s">
        <v>4207</v>
      </c>
      <c r="V1046" s="76"/>
      <c r="W1046" s="76"/>
      <c r="X1046" s="76"/>
    </row>
    <row r="1047" ht="18.0" customHeight="1">
      <c r="A1047" s="76"/>
      <c r="B1047" s="76"/>
      <c r="C1047" s="76"/>
      <c r="D1047" s="76"/>
      <c r="E1047" s="76"/>
      <c r="F1047" s="76"/>
      <c r="G1047" s="76"/>
      <c r="H1047" s="76"/>
      <c r="I1047" s="76"/>
      <c r="J1047" s="76"/>
      <c r="K1047" s="76"/>
      <c r="L1047" s="76"/>
      <c r="M1047" s="76" t="s">
        <v>4208</v>
      </c>
      <c r="N1047" s="76"/>
      <c r="O1047" s="76"/>
      <c r="P1047" s="76"/>
      <c r="Q1047" s="76"/>
      <c r="R1047" s="76"/>
      <c r="S1047" s="76"/>
      <c r="T1047" s="76"/>
      <c r="U1047" s="76" t="s">
        <v>4209</v>
      </c>
      <c r="V1047" s="76"/>
      <c r="W1047" s="76"/>
      <c r="X1047" s="76"/>
    </row>
    <row r="1048" ht="18.0" customHeight="1">
      <c r="A1048" s="76"/>
      <c r="B1048" s="76"/>
      <c r="C1048" s="76"/>
      <c r="D1048" s="76"/>
      <c r="E1048" s="76"/>
      <c r="F1048" s="76"/>
      <c r="G1048" s="76"/>
      <c r="H1048" s="76"/>
      <c r="I1048" s="76"/>
      <c r="J1048" s="76"/>
      <c r="K1048" s="76"/>
      <c r="L1048" s="76"/>
      <c r="M1048" s="76" t="s">
        <v>4210</v>
      </c>
      <c r="N1048" s="76"/>
      <c r="O1048" s="76"/>
      <c r="P1048" s="76"/>
      <c r="Q1048" s="76"/>
      <c r="R1048" s="76"/>
      <c r="S1048" s="76"/>
      <c r="T1048" s="76"/>
      <c r="U1048" s="76" t="s">
        <v>4211</v>
      </c>
      <c r="V1048" s="76"/>
      <c r="W1048" s="76"/>
      <c r="X1048" s="76"/>
    </row>
    <row r="1049" ht="18.0" customHeight="1">
      <c r="A1049" s="76"/>
      <c r="B1049" s="76"/>
      <c r="C1049" s="76"/>
      <c r="D1049" s="76"/>
      <c r="E1049" s="76"/>
      <c r="F1049" s="76"/>
      <c r="G1049" s="76"/>
      <c r="H1049" s="76"/>
      <c r="I1049" s="76"/>
      <c r="J1049" s="76"/>
      <c r="K1049" s="76"/>
      <c r="L1049" s="76"/>
      <c r="M1049" s="76" t="s">
        <v>4212</v>
      </c>
      <c r="N1049" s="76"/>
      <c r="O1049" s="76"/>
      <c r="P1049" s="76"/>
      <c r="Q1049" s="76"/>
      <c r="R1049" s="76"/>
      <c r="S1049" s="76"/>
      <c r="T1049" s="76"/>
      <c r="U1049" s="76" t="s">
        <v>4213</v>
      </c>
      <c r="V1049" s="76"/>
      <c r="W1049" s="76"/>
      <c r="X1049" s="76"/>
    </row>
    <row r="1050" ht="18.0" customHeight="1">
      <c r="A1050" s="76"/>
      <c r="B1050" s="76"/>
      <c r="C1050" s="76"/>
      <c r="D1050" s="76"/>
      <c r="E1050" s="76"/>
      <c r="F1050" s="76"/>
      <c r="G1050" s="76"/>
      <c r="H1050" s="76"/>
      <c r="I1050" s="76"/>
      <c r="J1050" s="76"/>
      <c r="K1050" s="76"/>
      <c r="L1050" s="76"/>
      <c r="M1050" s="76" t="s">
        <v>4214</v>
      </c>
      <c r="N1050" s="76"/>
      <c r="O1050" s="76"/>
      <c r="P1050" s="76"/>
      <c r="Q1050" s="76"/>
      <c r="R1050" s="76"/>
      <c r="S1050" s="76"/>
      <c r="T1050" s="76"/>
      <c r="U1050" s="76" t="s">
        <v>4215</v>
      </c>
      <c r="V1050" s="76"/>
      <c r="W1050" s="76"/>
      <c r="X1050" s="76"/>
    </row>
    <row r="1051" ht="18.0" customHeight="1">
      <c r="A1051" s="76"/>
      <c r="B1051" s="76"/>
      <c r="C1051" s="76"/>
      <c r="D1051" s="76"/>
      <c r="E1051" s="76"/>
      <c r="F1051" s="76"/>
      <c r="G1051" s="76"/>
      <c r="H1051" s="76"/>
      <c r="I1051" s="76"/>
      <c r="J1051" s="76"/>
      <c r="K1051" s="76"/>
      <c r="L1051" s="76"/>
      <c r="M1051" s="76" t="s">
        <v>4216</v>
      </c>
      <c r="N1051" s="76"/>
      <c r="O1051" s="76"/>
      <c r="P1051" s="76"/>
      <c r="Q1051" s="76"/>
      <c r="R1051" s="76"/>
      <c r="S1051" s="76"/>
      <c r="T1051" s="76"/>
      <c r="U1051" s="76" t="s">
        <v>4217</v>
      </c>
      <c r="V1051" s="76"/>
      <c r="W1051" s="76"/>
      <c r="X1051" s="76"/>
    </row>
    <row r="1052" ht="18.0" customHeight="1">
      <c r="A1052" s="76"/>
      <c r="B1052" s="76"/>
      <c r="C1052" s="76"/>
      <c r="D1052" s="76"/>
      <c r="E1052" s="76"/>
      <c r="F1052" s="76"/>
      <c r="G1052" s="76"/>
      <c r="H1052" s="76"/>
      <c r="I1052" s="76"/>
      <c r="J1052" s="76"/>
      <c r="K1052" s="76"/>
      <c r="L1052" s="76"/>
      <c r="M1052" s="76" t="s">
        <v>4218</v>
      </c>
      <c r="N1052" s="76"/>
      <c r="O1052" s="76"/>
      <c r="P1052" s="76"/>
      <c r="Q1052" s="76"/>
      <c r="R1052" s="76"/>
      <c r="S1052" s="76"/>
      <c r="T1052" s="76"/>
      <c r="U1052" s="76" t="s">
        <v>4219</v>
      </c>
      <c r="V1052" s="76"/>
      <c r="W1052" s="76"/>
      <c r="X1052" s="76"/>
    </row>
    <row r="1053" ht="18.0" customHeight="1">
      <c r="A1053" s="76"/>
      <c r="B1053" s="76"/>
      <c r="C1053" s="76"/>
      <c r="D1053" s="76"/>
      <c r="E1053" s="76"/>
      <c r="F1053" s="76"/>
      <c r="G1053" s="76"/>
      <c r="H1053" s="76"/>
      <c r="I1053" s="76"/>
      <c r="J1053" s="76"/>
      <c r="K1053" s="76"/>
      <c r="L1053" s="76"/>
      <c r="M1053" s="76" t="s">
        <v>4220</v>
      </c>
      <c r="N1053" s="76"/>
      <c r="O1053" s="76"/>
      <c r="P1053" s="76"/>
      <c r="Q1053" s="76"/>
      <c r="R1053" s="76"/>
      <c r="S1053" s="76"/>
      <c r="T1053" s="76"/>
      <c r="U1053" s="76" t="s">
        <v>4221</v>
      </c>
      <c r="V1053" s="76"/>
      <c r="W1053" s="76"/>
      <c r="X1053" s="76"/>
    </row>
    <row r="1054" ht="18.0" customHeight="1">
      <c r="A1054" s="76"/>
      <c r="B1054" s="76"/>
      <c r="C1054" s="76"/>
      <c r="D1054" s="76"/>
      <c r="E1054" s="76"/>
      <c r="F1054" s="76"/>
      <c r="G1054" s="76"/>
      <c r="H1054" s="76"/>
      <c r="I1054" s="76"/>
      <c r="J1054" s="76"/>
      <c r="K1054" s="76"/>
      <c r="L1054" s="76"/>
      <c r="M1054" s="76" t="s">
        <v>4222</v>
      </c>
      <c r="N1054" s="76"/>
      <c r="O1054" s="76"/>
      <c r="P1054" s="76"/>
      <c r="Q1054" s="76"/>
      <c r="R1054" s="76"/>
      <c r="S1054" s="76"/>
      <c r="T1054" s="76"/>
      <c r="U1054" s="76" t="s">
        <v>4223</v>
      </c>
      <c r="V1054" s="76"/>
      <c r="W1054" s="76"/>
      <c r="X1054" s="76"/>
    </row>
    <row r="1055" ht="18.0" customHeight="1">
      <c r="A1055" s="76"/>
      <c r="B1055" s="76"/>
      <c r="C1055" s="76"/>
      <c r="D1055" s="76"/>
      <c r="E1055" s="76"/>
      <c r="F1055" s="76"/>
      <c r="G1055" s="76"/>
      <c r="H1055" s="76"/>
      <c r="I1055" s="76"/>
      <c r="J1055" s="76"/>
      <c r="K1055" s="76"/>
      <c r="L1055" s="76"/>
      <c r="M1055" s="76" t="s">
        <v>4224</v>
      </c>
      <c r="N1055" s="76"/>
      <c r="O1055" s="76"/>
      <c r="P1055" s="76"/>
      <c r="Q1055" s="76"/>
      <c r="R1055" s="76"/>
      <c r="S1055" s="76"/>
      <c r="T1055" s="76"/>
      <c r="U1055" s="76" t="s">
        <v>4225</v>
      </c>
      <c r="V1055" s="76"/>
      <c r="W1055" s="76"/>
      <c r="X1055" s="76"/>
    </row>
    <row r="1056" ht="18.0" customHeight="1">
      <c r="A1056" s="76"/>
      <c r="B1056" s="76"/>
      <c r="C1056" s="76"/>
      <c r="D1056" s="76"/>
      <c r="E1056" s="76"/>
      <c r="F1056" s="76"/>
      <c r="G1056" s="76"/>
      <c r="H1056" s="76"/>
      <c r="I1056" s="76"/>
      <c r="J1056" s="76"/>
      <c r="K1056" s="76"/>
      <c r="L1056" s="76"/>
      <c r="M1056" s="76" t="s">
        <v>4226</v>
      </c>
      <c r="N1056" s="76"/>
      <c r="O1056" s="76"/>
      <c r="P1056" s="76"/>
      <c r="Q1056" s="76"/>
      <c r="R1056" s="76"/>
      <c r="S1056" s="76"/>
      <c r="T1056" s="76"/>
      <c r="U1056" s="76" t="s">
        <v>4227</v>
      </c>
      <c r="V1056" s="76"/>
      <c r="W1056" s="76"/>
      <c r="X1056" s="76"/>
    </row>
    <row r="1057" ht="18.0" customHeight="1">
      <c r="A1057" s="76"/>
      <c r="B1057" s="76"/>
      <c r="C1057" s="76"/>
      <c r="D1057" s="76"/>
      <c r="E1057" s="76"/>
      <c r="F1057" s="76"/>
      <c r="G1057" s="76"/>
      <c r="H1057" s="76"/>
      <c r="I1057" s="76"/>
      <c r="J1057" s="76"/>
      <c r="K1057" s="76"/>
      <c r="L1057" s="76"/>
      <c r="M1057" s="76" t="s">
        <v>4228</v>
      </c>
      <c r="N1057" s="76"/>
      <c r="O1057" s="76"/>
      <c r="P1057" s="76"/>
      <c r="Q1057" s="76"/>
      <c r="R1057" s="76"/>
      <c r="S1057" s="76"/>
      <c r="T1057" s="76"/>
      <c r="U1057" s="76" t="s">
        <v>4229</v>
      </c>
      <c r="V1057" s="76"/>
      <c r="W1057" s="76"/>
      <c r="X1057" s="76"/>
    </row>
    <row r="1058" ht="18.0" customHeight="1">
      <c r="A1058" s="76"/>
      <c r="B1058" s="76"/>
      <c r="C1058" s="76"/>
      <c r="D1058" s="76"/>
      <c r="E1058" s="76"/>
      <c r="F1058" s="76"/>
      <c r="G1058" s="76"/>
      <c r="H1058" s="76"/>
      <c r="I1058" s="76"/>
      <c r="J1058" s="76"/>
      <c r="K1058" s="76"/>
      <c r="L1058" s="76"/>
      <c r="M1058" s="76" t="s">
        <v>4230</v>
      </c>
      <c r="N1058" s="76"/>
      <c r="O1058" s="76"/>
      <c r="P1058" s="76"/>
      <c r="Q1058" s="76"/>
      <c r="R1058" s="76"/>
      <c r="S1058" s="76"/>
      <c r="T1058" s="76"/>
      <c r="U1058" s="76" t="s">
        <v>4231</v>
      </c>
      <c r="V1058" s="76"/>
      <c r="W1058" s="76"/>
      <c r="X1058" s="76"/>
    </row>
    <row r="1059" ht="18.0" customHeight="1">
      <c r="A1059" s="76"/>
      <c r="B1059" s="76"/>
      <c r="C1059" s="76"/>
      <c r="D1059" s="76"/>
      <c r="E1059" s="76"/>
      <c r="F1059" s="76"/>
      <c r="G1059" s="76"/>
      <c r="H1059" s="76"/>
      <c r="I1059" s="76"/>
      <c r="J1059" s="76"/>
      <c r="K1059" s="76"/>
      <c r="L1059" s="76"/>
      <c r="M1059" s="76" t="s">
        <v>4232</v>
      </c>
      <c r="N1059" s="76"/>
      <c r="O1059" s="76"/>
      <c r="P1059" s="76"/>
      <c r="Q1059" s="76"/>
      <c r="R1059" s="76"/>
      <c r="S1059" s="76"/>
      <c r="T1059" s="76"/>
      <c r="U1059" s="76" t="s">
        <v>4233</v>
      </c>
      <c r="V1059" s="76"/>
      <c r="W1059" s="76"/>
      <c r="X1059" s="76"/>
    </row>
    <row r="1060" ht="18.0" customHeight="1">
      <c r="A1060" s="76"/>
      <c r="B1060" s="76"/>
      <c r="C1060" s="76"/>
      <c r="D1060" s="76"/>
      <c r="E1060" s="76"/>
      <c r="F1060" s="76"/>
      <c r="G1060" s="76"/>
      <c r="H1060" s="76"/>
      <c r="I1060" s="76"/>
      <c r="J1060" s="76"/>
      <c r="K1060" s="76"/>
      <c r="L1060" s="76"/>
      <c r="M1060" s="76" t="s">
        <v>4234</v>
      </c>
      <c r="N1060" s="76"/>
      <c r="O1060" s="76"/>
      <c r="P1060" s="76"/>
      <c r="Q1060" s="76"/>
      <c r="R1060" s="76"/>
      <c r="S1060" s="76"/>
      <c r="T1060" s="76"/>
      <c r="U1060" s="76" t="s">
        <v>4235</v>
      </c>
      <c r="V1060" s="76"/>
      <c r="W1060" s="76"/>
      <c r="X1060" s="76"/>
    </row>
    <row r="1061" ht="18.0" customHeight="1">
      <c r="A1061" s="76"/>
      <c r="B1061" s="76"/>
      <c r="C1061" s="76"/>
      <c r="D1061" s="76"/>
      <c r="E1061" s="76"/>
      <c r="F1061" s="76"/>
      <c r="G1061" s="76"/>
      <c r="H1061" s="76"/>
      <c r="I1061" s="76"/>
      <c r="J1061" s="76"/>
      <c r="K1061" s="76"/>
      <c r="L1061" s="76"/>
      <c r="M1061" s="76" t="s">
        <v>4236</v>
      </c>
      <c r="N1061" s="76"/>
      <c r="O1061" s="76"/>
      <c r="P1061" s="76"/>
      <c r="Q1061" s="76"/>
      <c r="R1061" s="76"/>
      <c r="S1061" s="76"/>
      <c r="T1061" s="76"/>
      <c r="U1061" s="76" t="s">
        <v>4237</v>
      </c>
      <c r="V1061" s="76"/>
      <c r="W1061" s="76"/>
      <c r="X1061" s="76"/>
    </row>
    <row r="1062" ht="18.0" customHeight="1">
      <c r="A1062" s="76"/>
      <c r="B1062" s="76"/>
      <c r="C1062" s="76"/>
      <c r="D1062" s="76"/>
      <c r="E1062" s="76"/>
      <c r="F1062" s="76"/>
      <c r="G1062" s="76"/>
      <c r="H1062" s="76"/>
      <c r="I1062" s="76"/>
      <c r="J1062" s="76"/>
      <c r="K1062" s="76"/>
      <c r="L1062" s="76"/>
      <c r="M1062" s="76" t="s">
        <v>4238</v>
      </c>
      <c r="N1062" s="76"/>
      <c r="O1062" s="76"/>
      <c r="P1062" s="76"/>
      <c r="Q1062" s="76"/>
      <c r="R1062" s="76"/>
      <c r="S1062" s="76"/>
      <c r="T1062" s="76"/>
      <c r="U1062" s="76" t="s">
        <v>4239</v>
      </c>
      <c r="V1062" s="76"/>
      <c r="W1062" s="76"/>
      <c r="X1062" s="76"/>
    </row>
    <row r="1063" ht="18.0" customHeight="1">
      <c r="A1063" s="76"/>
      <c r="B1063" s="76"/>
      <c r="C1063" s="76"/>
      <c r="D1063" s="76"/>
      <c r="E1063" s="76"/>
      <c r="F1063" s="76"/>
      <c r="G1063" s="76"/>
      <c r="H1063" s="76"/>
      <c r="I1063" s="76"/>
      <c r="J1063" s="76"/>
      <c r="K1063" s="76"/>
      <c r="L1063" s="76"/>
      <c r="M1063" s="76" t="s">
        <v>4240</v>
      </c>
      <c r="N1063" s="76"/>
      <c r="O1063" s="76"/>
      <c r="P1063" s="76"/>
      <c r="Q1063" s="76"/>
      <c r="R1063" s="76"/>
      <c r="S1063" s="76"/>
      <c r="T1063" s="76"/>
      <c r="U1063" s="76" t="s">
        <v>4241</v>
      </c>
      <c r="V1063" s="76"/>
      <c r="W1063" s="76"/>
      <c r="X1063" s="76"/>
    </row>
    <row r="1064" ht="18.0" customHeight="1">
      <c r="A1064" s="76"/>
      <c r="B1064" s="76"/>
      <c r="C1064" s="76"/>
      <c r="D1064" s="76"/>
      <c r="E1064" s="76"/>
      <c r="F1064" s="76"/>
      <c r="G1064" s="76"/>
      <c r="H1064" s="76"/>
      <c r="I1064" s="76"/>
      <c r="J1064" s="76"/>
      <c r="K1064" s="76"/>
      <c r="L1064" s="76"/>
      <c r="M1064" s="76" t="s">
        <v>4242</v>
      </c>
      <c r="N1064" s="76"/>
      <c r="O1064" s="76"/>
      <c r="P1064" s="76"/>
      <c r="Q1064" s="76"/>
      <c r="R1064" s="76"/>
      <c r="S1064" s="76"/>
      <c r="T1064" s="76"/>
      <c r="U1064" s="76" t="s">
        <v>4243</v>
      </c>
      <c r="V1064" s="76"/>
      <c r="W1064" s="76"/>
      <c r="X1064" s="76"/>
    </row>
    <row r="1065" ht="18.0" customHeight="1">
      <c r="A1065" s="76"/>
      <c r="B1065" s="76"/>
      <c r="C1065" s="76"/>
      <c r="D1065" s="76"/>
      <c r="E1065" s="76"/>
      <c r="F1065" s="76"/>
      <c r="G1065" s="76"/>
      <c r="H1065" s="76"/>
      <c r="I1065" s="76"/>
      <c r="J1065" s="76"/>
      <c r="K1065" s="76"/>
      <c r="L1065" s="76"/>
      <c r="M1065" s="76" t="s">
        <v>4244</v>
      </c>
      <c r="N1065" s="76"/>
      <c r="O1065" s="76"/>
      <c r="P1065" s="76"/>
      <c r="Q1065" s="76"/>
      <c r="R1065" s="76"/>
      <c r="S1065" s="76"/>
      <c r="T1065" s="76"/>
      <c r="U1065" s="76" t="s">
        <v>4245</v>
      </c>
      <c r="V1065" s="76"/>
      <c r="W1065" s="76"/>
      <c r="X1065" s="76"/>
    </row>
    <row r="1066" ht="18.0" customHeight="1">
      <c r="A1066" s="76"/>
      <c r="B1066" s="76"/>
      <c r="C1066" s="76"/>
      <c r="D1066" s="76"/>
      <c r="E1066" s="76"/>
      <c r="F1066" s="76"/>
      <c r="G1066" s="76"/>
      <c r="H1066" s="76"/>
      <c r="I1066" s="76"/>
      <c r="J1066" s="76"/>
      <c r="K1066" s="76"/>
      <c r="L1066" s="76"/>
      <c r="M1066" s="76" t="s">
        <v>4246</v>
      </c>
      <c r="N1066" s="76"/>
      <c r="O1066" s="76"/>
      <c r="P1066" s="76"/>
      <c r="Q1066" s="76"/>
      <c r="R1066" s="76"/>
      <c r="S1066" s="76"/>
      <c r="T1066" s="76"/>
      <c r="U1066" s="76" t="s">
        <v>4247</v>
      </c>
      <c r="V1066" s="76"/>
      <c r="W1066" s="76"/>
      <c r="X1066" s="76"/>
    </row>
    <row r="1067" ht="18.0" customHeight="1">
      <c r="A1067" s="76"/>
      <c r="B1067" s="76"/>
      <c r="C1067" s="76"/>
      <c r="D1067" s="76"/>
      <c r="E1067" s="76"/>
      <c r="F1067" s="76"/>
      <c r="G1067" s="76"/>
      <c r="H1067" s="76"/>
      <c r="I1067" s="76"/>
      <c r="J1067" s="76"/>
      <c r="K1067" s="76"/>
      <c r="L1067" s="76"/>
      <c r="M1067" s="76" t="s">
        <v>4248</v>
      </c>
      <c r="N1067" s="76"/>
      <c r="O1067" s="76"/>
      <c r="P1067" s="76"/>
      <c r="Q1067" s="76"/>
      <c r="R1067" s="76"/>
      <c r="S1067" s="76"/>
      <c r="T1067" s="76"/>
      <c r="U1067" s="76" t="s">
        <v>4249</v>
      </c>
      <c r="V1067" s="76"/>
      <c r="W1067" s="76"/>
      <c r="X1067" s="76"/>
    </row>
    <row r="1068" ht="18.0" customHeight="1">
      <c r="A1068" s="76"/>
      <c r="B1068" s="76"/>
      <c r="C1068" s="76"/>
      <c r="D1068" s="76"/>
      <c r="E1068" s="76"/>
      <c r="F1068" s="76"/>
      <c r="G1068" s="76"/>
      <c r="H1068" s="76"/>
      <c r="I1068" s="76"/>
      <c r="J1068" s="76"/>
      <c r="K1068" s="76"/>
      <c r="L1068" s="76"/>
      <c r="M1068" s="76" t="s">
        <v>4250</v>
      </c>
      <c r="N1068" s="76"/>
      <c r="O1068" s="76"/>
      <c r="P1068" s="76"/>
      <c r="Q1068" s="76"/>
      <c r="R1068" s="76"/>
      <c r="S1068" s="76"/>
      <c r="T1068" s="76"/>
      <c r="U1068" s="76" t="s">
        <v>4251</v>
      </c>
      <c r="V1068" s="76"/>
      <c r="W1068" s="76"/>
      <c r="X1068" s="76"/>
    </row>
    <row r="1069" ht="18.0" customHeight="1">
      <c r="A1069" s="76"/>
      <c r="B1069" s="76"/>
      <c r="C1069" s="76"/>
      <c r="D1069" s="76"/>
      <c r="E1069" s="76"/>
      <c r="F1069" s="76"/>
      <c r="G1069" s="76"/>
      <c r="H1069" s="76"/>
      <c r="I1069" s="76"/>
      <c r="J1069" s="76"/>
      <c r="K1069" s="76"/>
      <c r="L1069" s="76"/>
      <c r="M1069" s="76" t="s">
        <v>4252</v>
      </c>
      <c r="N1069" s="76"/>
      <c r="O1069" s="76"/>
      <c r="P1069" s="76"/>
      <c r="Q1069" s="76"/>
      <c r="R1069" s="76"/>
      <c r="S1069" s="76"/>
      <c r="T1069" s="76"/>
      <c r="U1069" s="76" t="s">
        <v>4253</v>
      </c>
      <c r="V1069" s="76"/>
      <c r="W1069" s="76"/>
      <c r="X1069" s="76"/>
    </row>
    <row r="1070" ht="18.0" customHeight="1">
      <c r="A1070" s="76"/>
      <c r="B1070" s="76"/>
      <c r="C1070" s="76"/>
      <c r="D1070" s="76"/>
      <c r="E1070" s="76"/>
      <c r="F1070" s="76"/>
      <c r="G1070" s="76"/>
      <c r="H1070" s="76"/>
      <c r="I1070" s="76"/>
      <c r="J1070" s="76"/>
      <c r="K1070" s="76"/>
      <c r="L1070" s="76"/>
      <c r="M1070" s="76" t="s">
        <v>4254</v>
      </c>
      <c r="N1070" s="76"/>
      <c r="O1070" s="76"/>
      <c r="P1070" s="76"/>
      <c r="Q1070" s="76"/>
      <c r="R1070" s="76"/>
      <c r="S1070" s="76"/>
      <c r="T1070" s="76"/>
      <c r="U1070" s="76" t="s">
        <v>4255</v>
      </c>
      <c r="V1070" s="76"/>
      <c r="W1070" s="76"/>
      <c r="X1070" s="76"/>
    </row>
    <row r="1071" ht="18.0" customHeight="1">
      <c r="A1071" s="76"/>
      <c r="B1071" s="76"/>
      <c r="C1071" s="76"/>
      <c r="D1071" s="76"/>
      <c r="E1071" s="76"/>
      <c r="F1071" s="76"/>
      <c r="G1071" s="76"/>
      <c r="H1071" s="76"/>
      <c r="I1071" s="76"/>
      <c r="J1071" s="76"/>
      <c r="K1071" s="76"/>
      <c r="L1071" s="76"/>
      <c r="M1071" s="76" t="s">
        <v>4256</v>
      </c>
      <c r="N1071" s="76"/>
      <c r="O1071" s="76"/>
      <c r="P1071" s="76"/>
      <c r="Q1071" s="76"/>
      <c r="R1071" s="76"/>
      <c r="S1071" s="76"/>
      <c r="T1071" s="76"/>
      <c r="U1071" s="76" t="s">
        <v>4257</v>
      </c>
      <c r="V1071" s="76"/>
      <c r="W1071" s="76"/>
      <c r="X1071" s="76"/>
    </row>
    <row r="1072" ht="18.0" customHeight="1">
      <c r="A1072" s="76"/>
      <c r="B1072" s="76"/>
      <c r="C1072" s="76"/>
      <c r="D1072" s="76"/>
      <c r="E1072" s="76"/>
      <c r="F1072" s="76"/>
      <c r="G1072" s="76"/>
      <c r="H1072" s="76"/>
      <c r="I1072" s="76"/>
      <c r="J1072" s="76"/>
      <c r="K1072" s="76"/>
      <c r="L1072" s="76"/>
      <c r="M1072" s="76" t="s">
        <v>4258</v>
      </c>
      <c r="N1072" s="76"/>
      <c r="O1072" s="76"/>
      <c r="P1072" s="76"/>
      <c r="Q1072" s="76"/>
      <c r="R1072" s="76"/>
      <c r="S1072" s="76"/>
      <c r="T1072" s="76"/>
      <c r="U1072" s="76" t="s">
        <v>4259</v>
      </c>
      <c r="V1072" s="76"/>
      <c r="W1072" s="76"/>
      <c r="X1072" s="76"/>
    </row>
    <row r="1073" ht="18.0" customHeight="1">
      <c r="A1073" s="76"/>
      <c r="B1073" s="76"/>
      <c r="C1073" s="76"/>
      <c r="D1073" s="76"/>
      <c r="E1073" s="76"/>
      <c r="F1073" s="76"/>
      <c r="G1073" s="76"/>
      <c r="H1073" s="76"/>
      <c r="I1073" s="76"/>
      <c r="J1073" s="76"/>
      <c r="K1073" s="76"/>
      <c r="L1073" s="76"/>
      <c r="M1073" s="76" t="s">
        <v>4260</v>
      </c>
      <c r="N1073" s="76"/>
      <c r="O1073" s="76"/>
      <c r="P1073" s="76"/>
      <c r="Q1073" s="76"/>
      <c r="R1073" s="76"/>
      <c r="S1073" s="76"/>
      <c r="T1073" s="76"/>
      <c r="U1073" s="76" t="s">
        <v>4261</v>
      </c>
      <c r="V1073" s="76"/>
      <c r="W1073" s="76"/>
      <c r="X1073" s="76"/>
    </row>
    <row r="1074" ht="18.0" customHeight="1">
      <c r="A1074" s="76"/>
      <c r="B1074" s="76"/>
      <c r="C1074" s="76"/>
      <c r="D1074" s="76"/>
      <c r="E1074" s="76"/>
      <c r="F1074" s="76"/>
      <c r="G1074" s="76"/>
      <c r="H1074" s="76"/>
      <c r="I1074" s="76"/>
      <c r="J1074" s="76"/>
      <c r="K1074" s="76"/>
      <c r="L1074" s="76"/>
      <c r="M1074" s="76" t="s">
        <v>4262</v>
      </c>
      <c r="N1074" s="76"/>
      <c r="O1074" s="76"/>
      <c r="P1074" s="76"/>
      <c r="Q1074" s="76"/>
      <c r="R1074" s="76"/>
      <c r="S1074" s="76"/>
      <c r="T1074" s="76"/>
      <c r="U1074" s="76" t="s">
        <v>4263</v>
      </c>
      <c r="V1074" s="76"/>
      <c r="W1074" s="76"/>
      <c r="X1074" s="76"/>
    </row>
    <row r="1075" ht="18.0" customHeight="1">
      <c r="A1075" s="76"/>
      <c r="B1075" s="76"/>
      <c r="C1075" s="76"/>
      <c r="D1075" s="76"/>
      <c r="E1075" s="76"/>
      <c r="F1075" s="76"/>
      <c r="G1075" s="76"/>
      <c r="H1075" s="76"/>
      <c r="I1075" s="76"/>
      <c r="J1075" s="76"/>
      <c r="K1075" s="76"/>
      <c r="L1075" s="76"/>
      <c r="M1075" s="76" t="s">
        <v>4264</v>
      </c>
      <c r="N1075" s="76"/>
      <c r="O1075" s="76"/>
      <c r="P1075" s="76"/>
      <c r="Q1075" s="76"/>
      <c r="R1075" s="76"/>
      <c r="S1075" s="76"/>
      <c r="T1075" s="76"/>
      <c r="U1075" s="76" t="s">
        <v>4265</v>
      </c>
      <c r="V1075" s="76"/>
      <c r="W1075" s="76"/>
      <c r="X1075" s="76"/>
    </row>
    <row r="1076" ht="18.0" customHeight="1">
      <c r="A1076" s="76"/>
      <c r="B1076" s="76"/>
      <c r="C1076" s="76"/>
      <c r="D1076" s="76"/>
      <c r="E1076" s="76"/>
      <c r="F1076" s="76"/>
      <c r="G1076" s="76"/>
      <c r="H1076" s="76"/>
      <c r="I1076" s="76"/>
      <c r="J1076" s="76"/>
      <c r="K1076" s="76"/>
      <c r="L1076" s="76"/>
      <c r="M1076" s="76" t="s">
        <v>4266</v>
      </c>
      <c r="N1076" s="76"/>
      <c r="O1076" s="76"/>
      <c r="P1076" s="76"/>
      <c r="Q1076" s="76"/>
      <c r="R1076" s="76"/>
      <c r="S1076" s="76"/>
      <c r="T1076" s="76"/>
      <c r="U1076" s="76" t="s">
        <v>4267</v>
      </c>
      <c r="V1076" s="76"/>
      <c r="W1076" s="76"/>
      <c r="X1076" s="76"/>
    </row>
    <row r="1077" ht="18.0" customHeight="1">
      <c r="A1077" s="76"/>
      <c r="B1077" s="76"/>
      <c r="C1077" s="76"/>
      <c r="D1077" s="76"/>
      <c r="E1077" s="76"/>
      <c r="F1077" s="76"/>
      <c r="G1077" s="76"/>
      <c r="H1077" s="76"/>
      <c r="I1077" s="76"/>
      <c r="J1077" s="76"/>
      <c r="K1077" s="76"/>
      <c r="L1077" s="76"/>
      <c r="M1077" s="76" t="s">
        <v>4268</v>
      </c>
      <c r="N1077" s="76"/>
      <c r="O1077" s="76"/>
      <c r="P1077" s="76"/>
      <c r="Q1077" s="76"/>
      <c r="R1077" s="76"/>
      <c r="S1077" s="76"/>
      <c r="T1077" s="76"/>
      <c r="U1077" s="76" t="s">
        <v>4269</v>
      </c>
      <c r="V1077" s="76"/>
      <c r="W1077" s="76"/>
      <c r="X1077" s="76"/>
    </row>
    <row r="1078" ht="18.0" customHeight="1">
      <c r="A1078" s="76"/>
      <c r="B1078" s="76"/>
      <c r="C1078" s="76"/>
      <c r="D1078" s="76"/>
      <c r="E1078" s="76"/>
      <c r="F1078" s="76"/>
      <c r="G1078" s="76"/>
      <c r="H1078" s="76"/>
      <c r="I1078" s="76"/>
      <c r="J1078" s="76"/>
      <c r="K1078" s="76"/>
      <c r="L1078" s="76"/>
      <c r="M1078" s="76" t="s">
        <v>4270</v>
      </c>
      <c r="N1078" s="76"/>
      <c r="O1078" s="76"/>
      <c r="P1078" s="76"/>
      <c r="Q1078" s="76"/>
      <c r="R1078" s="76"/>
      <c r="S1078" s="76"/>
      <c r="T1078" s="76"/>
      <c r="U1078" s="76" t="s">
        <v>4271</v>
      </c>
      <c r="V1078" s="76"/>
      <c r="W1078" s="76"/>
      <c r="X1078" s="76"/>
    </row>
    <row r="1079" ht="18.0" customHeight="1">
      <c r="A1079" s="76"/>
      <c r="B1079" s="76"/>
      <c r="C1079" s="76"/>
      <c r="D1079" s="76"/>
      <c r="E1079" s="76"/>
      <c r="F1079" s="76"/>
      <c r="G1079" s="76"/>
      <c r="H1079" s="76"/>
      <c r="I1079" s="76"/>
      <c r="J1079" s="76"/>
      <c r="K1079" s="76"/>
      <c r="L1079" s="76"/>
      <c r="M1079" s="76" t="s">
        <v>4272</v>
      </c>
      <c r="N1079" s="76"/>
      <c r="O1079" s="76"/>
      <c r="P1079" s="76"/>
      <c r="Q1079" s="76"/>
      <c r="R1079" s="76"/>
      <c r="S1079" s="76"/>
      <c r="T1079" s="76"/>
      <c r="U1079" s="76" t="s">
        <v>4273</v>
      </c>
      <c r="V1079" s="76"/>
      <c r="W1079" s="76"/>
      <c r="X1079" s="76"/>
    </row>
    <row r="1080" ht="18.0" customHeight="1">
      <c r="A1080" s="76"/>
      <c r="B1080" s="76"/>
      <c r="C1080" s="76"/>
      <c r="D1080" s="76"/>
      <c r="E1080" s="76"/>
      <c r="F1080" s="76"/>
      <c r="G1080" s="76"/>
      <c r="H1080" s="76"/>
      <c r="I1080" s="76"/>
      <c r="J1080" s="76"/>
      <c r="K1080" s="76"/>
      <c r="L1080" s="76"/>
      <c r="M1080" s="76" t="s">
        <v>4274</v>
      </c>
      <c r="N1080" s="76"/>
      <c r="O1080" s="76"/>
      <c r="P1080" s="76"/>
      <c r="Q1080" s="76"/>
      <c r="R1080" s="76"/>
      <c r="S1080" s="76"/>
      <c r="T1080" s="76"/>
      <c r="U1080" s="76" t="s">
        <v>4275</v>
      </c>
      <c r="V1080" s="76"/>
      <c r="W1080" s="76"/>
      <c r="X1080" s="76"/>
    </row>
    <row r="1081" ht="18.0" customHeight="1">
      <c r="A1081" s="76"/>
      <c r="B1081" s="76"/>
      <c r="C1081" s="76"/>
      <c r="D1081" s="76"/>
      <c r="E1081" s="76"/>
      <c r="F1081" s="76"/>
      <c r="G1081" s="76"/>
      <c r="H1081" s="76"/>
      <c r="I1081" s="76"/>
      <c r="J1081" s="76"/>
      <c r="K1081" s="76"/>
      <c r="L1081" s="76"/>
      <c r="M1081" s="76" t="s">
        <v>4276</v>
      </c>
      <c r="N1081" s="76"/>
      <c r="O1081" s="76"/>
      <c r="P1081" s="76"/>
      <c r="Q1081" s="76"/>
      <c r="R1081" s="76"/>
      <c r="S1081" s="76"/>
      <c r="T1081" s="76"/>
      <c r="U1081" s="76" t="s">
        <v>4277</v>
      </c>
      <c r="V1081" s="76"/>
      <c r="W1081" s="76"/>
      <c r="X1081" s="76"/>
    </row>
    <row r="1082" ht="18.0" customHeight="1">
      <c r="A1082" s="76"/>
      <c r="B1082" s="76"/>
      <c r="C1082" s="76"/>
      <c r="D1082" s="76"/>
      <c r="E1082" s="76"/>
      <c r="F1082" s="76"/>
      <c r="G1082" s="76"/>
      <c r="H1082" s="76"/>
      <c r="I1082" s="76"/>
      <c r="J1082" s="76"/>
      <c r="K1082" s="76"/>
      <c r="L1082" s="76"/>
      <c r="M1082" s="76" t="s">
        <v>4278</v>
      </c>
      <c r="N1082" s="76"/>
      <c r="O1082" s="76"/>
      <c r="P1082" s="76"/>
      <c r="Q1082" s="76"/>
      <c r="R1082" s="76"/>
      <c r="S1082" s="76"/>
      <c r="T1082" s="76"/>
      <c r="U1082" s="76" t="s">
        <v>4279</v>
      </c>
      <c r="V1082" s="76"/>
      <c r="W1082" s="76"/>
      <c r="X1082" s="76"/>
    </row>
    <row r="1083" ht="18.0" customHeight="1">
      <c r="A1083" s="76"/>
      <c r="B1083" s="76"/>
      <c r="C1083" s="76"/>
      <c r="D1083" s="76"/>
      <c r="E1083" s="76"/>
      <c r="F1083" s="76"/>
      <c r="G1083" s="76"/>
      <c r="H1083" s="76"/>
      <c r="I1083" s="76"/>
      <c r="J1083" s="76"/>
      <c r="K1083" s="76"/>
      <c r="L1083" s="76"/>
      <c r="M1083" s="76" t="s">
        <v>4280</v>
      </c>
      <c r="N1083" s="76"/>
      <c r="O1083" s="76"/>
      <c r="P1083" s="76"/>
      <c r="Q1083" s="76"/>
      <c r="R1083" s="76"/>
      <c r="S1083" s="76"/>
      <c r="T1083" s="76"/>
      <c r="U1083" s="76" t="s">
        <v>4281</v>
      </c>
      <c r="V1083" s="76"/>
      <c r="W1083" s="76"/>
      <c r="X1083" s="76"/>
    </row>
    <row r="1084" ht="18.0" customHeight="1">
      <c r="A1084" s="76"/>
      <c r="B1084" s="76"/>
      <c r="C1084" s="76"/>
      <c r="D1084" s="76"/>
      <c r="E1084" s="76"/>
      <c r="F1084" s="76"/>
      <c r="G1084" s="76"/>
      <c r="H1084" s="76"/>
      <c r="I1084" s="76"/>
      <c r="J1084" s="76"/>
      <c r="K1084" s="76"/>
      <c r="L1084" s="76"/>
      <c r="M1084" s="76" t="s">
        <v>4282</v>
      </c>
      <c r="N1084" s="76"/>
      <c r="O1084" s="76"/>
      <c r="P1084" s="76"/>
      <c r="Q1084" s="76"/>
      <c r="R1084" s="76"/>
      <c r="S1084" s="76"/>
      <c r="T1084" s="76"/>
      <c r="U1084" s="76" t="s">
        <v>4283</v>
      </c>
      <c r="V1084" s="76"/>
      <c r="W1084" s="76"/>
      <c r="X1084" s="76"/>
    </row>
    <row r="1085" ht="18.0" customHeight="1">
      <c r="A1085" s="76"/>
      <c r="B1085" s="76"/>
      <c r="C1085" s="76"/>
      <c r="D1085" s="76"/>
      <c r="E1085" s="76"/>
      <c r="F1085" s="76"/>
      <c r="G1085" s="76"/>
      <c r="H1085" s="76"/>
      <c r="I1085" s="76"/>
      <c r="J1085" s="76"/>
      <c r="K1085" s="76"/>
      <c r="L1085" s="76"/>
      <c r="M1085" s="76" t="s">
        <v>4284</v>
      </c>
      <c r="N1085" s="76"/>
      <c r="O1085" s="76"/>
      <c r="P1085" s="76"/>
      <c r="Q1085" s="76"/>
      <c r="R1085" s="76"/>
      <c r="S1085" s="76"/>
      <c r="T1085" s="76"/>
      <c r="U1085" s="76" t="s">
        <v>4285</v>
      </c>
      <c r="V1085" s="76"/>
      <c r="W1085" s="76"/>
      <c r="X1085" s="76"/>
    </row>
    <row r="1086" ht="18.0" customHeight="1">
      <c r="A1086" s="76"/>
      <c r="B1086" s="76"/>
      <c r="C1086" s="76"/>
      <c r="D1086" s="76"/>
      <c r="E1086" s="76"/>
      <c r="F1086" s="76"/>
      <c r="G1086" s="76"/>
      <c r="H1086" s="76"/>
      <c r="I1086" s="76"/>
      <c r="J1086" s="76"/>
      <c r="K1086" s="76"/>
      <c r="L1086" s="76"/>
      <c r="M1086" s="76" t="s">
        <v>4286</v>
      </c>
      <c r="N1086" s="76"/>
      <c r="O1086" s="76"/>
      <c r="P1086" s="76"/>
      <c r="Q1086" s="76"/>
      <c r="R1086" s="76"/>
      <c r="S1086" s="76"/>
      <c r="T1086" s="76"/>
      <c r="U1086" s="76" t="s">
        <v>4287</v>
      </c>
      <c r="V1086" s="76"/>
      <c r="W1086" s="76"/>
      <c r="X1086" s="76"/>
    </row>
    <row r="1087" ht="18.0" customHeight="1">
      <c r="A1087" s="76"/>
      <c r="B1087" s="76"/>
      <c r="C1087" s="76"/>
      <c r="D1087" s="76"/>
      <c r="E1087" s="76"/>
      <c r="F1087" s="76"/>
      <c r="G1087" s="76"/>
      <c r="H1087" s="76"/>
      <c r="I1087" s="76"/>
      <c r="J1087" s="76"/>
      <c r="K1087" s="76"/>
      <c r="L1087" s="76"/>
      <c r="M1087" s="76" t="s">
        <v>4288</v>
      </c>
      <c r="N1087" s="76"/>
      <c r="O1087" s="76"/>
      <c r="P1087" s="76"/>
      <c r="Q1087" s="76"/>
      <c r="R1087" s="76"/>
      <c r="S1087" s="76"/>
      <c r="T1087" s="76"/>
      <c r="U1087" s="76" t="s">
        <v>4289</v>
      </c>
      <c r="V1087" s="76"/>
      <c r="W1087" s="76"/>
      <c r="X1087" s="76"/>
    </row>
    <row r="1088" ht="18.0" customHeight="1">
      <c r="A1088" s="76"/>
      <c r="B1088" s="76"/>
      <c r="C1088" s="76"/>
      <c r="D1088" s="76"/>
      <c r="E1088" s="76"/>
      <c r="F1088" s="76"/>
      <c r="G1088" s="76"/>
      <c r="H1088" s="76"/>
      <c r="I1088" s="76"/>
      <c r="J1088" s="76"/>
      <c r="K1088" s="76"/>
      <c r="L1088" s="76"/>
      <c r="M1088" s="76" t="s">
        <v>4290</v>
      </c>
      <c r="N1088" s="76"/>
      <c r="O1088" s="76"/>
      <c r="P1088" s="76"/>
      <c r="Q1088" s="76"/>
      <c r="R1088" s="76"/>
      <c r="S1088" s="76"/>
      <c r="T1088" s="76"/>
      <c r="U1088" s="76" t="s">
        <v>4291</v>
      </c>
      <c r="V1088" s="76"/>
      <c r="W1088" s="76"/>
      <c r="X1088" s="76"/>
    </row>
    <row r="1089" ht="18.0" customHeight="1">
      <c r="A1089" s="76"/>
      <c r="B1089" s="76"/>
      <c r="C1089" s="76"/>
      <c r="D1089" s="76"/>
      <c r="E1089" s="76"/>
      <c r="F1089" s="76"/>
      <c r="G1089" s="76"/>
      <c r="H1089" s="76"/>
      <c r="I1089" s="76"/>
      <c r="J1089" s="76"/>
      <c r="K1089" s="76"/>
      <c r="L1089" s="76"/>
      <c r="M1089" s="76" t="s">
        <v>4292</v>
      </c>
      <c r="N1089" s="76"/>
      <c r="O1089" s="76"/>
      <c r="P1089" s="76"/>
      <c r="Q1089" s="76"/>
      <c r="R1089" s="76"/>
      <c r="S1089" s="76"/>
      <c r="T1089" s="76"/>
      <c r="U1089" s="76" t="s">
        <v>4293</v>
      </c>
      <c r="V1089" s="76"/>
      <c r="W1089" s="76"/>
      <c r="X1089" s="76"/>
    </row>
    <row r="1090" ht="18.0" customHeight="1">
      <c r="A1090" s="76"/>
      <c r="B1090" s="76"/>
      <c r="C1090" s="76"/>
      <c r="D1090" s="76"/>
      <c r="E1090" s="76"/>
      <c r="F1090" s="76"/>
      <c r="G1090" s="76"/>
      <c r="H1090" s="76"/>
      <c r="I1090" s="76"/>
      <c r="J1090" s="76"/>
      <c r="K1090" s="76"/>
      <c r="L1090" s="76"/>
      <c r="M1090" s="76" t="s">
        <v>4294</v>
      </c>
      <c r="N1090" s="76"/>
      <c r="O1090" s="76"/>
      <c r="P1090" s="76"/>
      <c r="Q1090" s="76"/>
      <c r="R1090" s="76"/>
      <c r="S1090" s="76"/>
      <c r="T1090" s="76"/>
      <c r="U1090" s="76" t="s">
        <v>4295</v>
      </c>
      <c r="V1090" s="76"/>
      <c r="W1090" s="76"/>
      <c r="X1090" s="76"/>
    </row>
    <row r="1091" ht="18.0" customHeight="1">
      <c r="A1091" s="76"/>
      <c r="B1091" s="76"/>
      <c r="C1091" s="76"/>
      <c r="D1091" s="76"/>
      <c r="E1091" s="76"/>
      <c r="F1091" s="76"/>
      <c r="G1091" s="76"/>
      <c r="H1091" s="76"/>
      <c r="I1091" s="76"/>
      <c r="J1091" s="76"/>
      <c r="K1091" s="76"/>
      <c r="L1091" s="76"/>
      <c r="M1091" s="76" t="s">
        <v>4296</v>
      </c>
      <c r="N1091" s="76"/>
      <c r="O1091" s="76"/>
      <c r="P1091" s="76"/>
      <c r="Q1091" s="76"/>
      <c r="R1091" s="76"/>
      <c r="S1091" s="76"/>
      <c r="T1091" s="76"/>
      <c r="U1091" s="76" t="s">
        <v>4297</v>
      </c>
      <c r="V1091" s="76"/>
      <c r="W1091" s="76"/>
      <c r="X1091" s="76"/>
    </row>
    <row r="1092" ht="18.0" customHeight="1">
      <c r="A1092" s="76"/>
      <c r="B1092" s="76"/>
      <c r="C1092" s="76"/>
      <c r="D1092" s="76"/>
      <c r="E1092" s="76"/>
      <c r="F1092" s="76"/>
      <c r="G1092" s="76"/>
      <c r="H1092" s="76"/>
      <c r="I1092" s="76"/>
      <c r="J1092" s="76"/>
      <c r="K1092" s="76"/>
      <c r="L1092" s="76"/>
      <c r="M1092" s="76" t="s">
        <v>4298</v>
      </c>
      <c r="N1092" s="76"/>
      <c r="O1092" s="76"/>
      <c r="P1092" s="76"/>
      <c r="Q1092" s="76"/>
      <c r="R1092" s="76"/>
      <c r="S1092" s="76"/>
      <c r="T1092" s="76"/>
      <c r="U1092" s="76" t="s">
        <v>4299</v>
      </c>
      <c r="V1092" s="76"/>
      <c r="W1092" s="76"/>
      <c r="X1092" s="76"/>
    </row>
    <row r="1093" ht="18.0" customHeight="1">
      <c r="A1093" s="76"/>
      <c r="B1093" s="76"/>
      <c r="C1093" s="76"/>
      <c r="D1093" s="76"/>
      <c r="E1093" s="76"/>
      <c r="F1093" s="76"/>
      <c r="G1093" s="76"/>
      <c r="H1093" s="76"/>
      <c r="I1093" s="76"/>
      <c r="J1093" s="76"/>
      <c r="K1093" s="76"/>
      <c r="L1093" s="76"/>
      <c r="M1093" s="76" t="s">
        <v>4300</v>
      </c>
      <c r="N1093" s="76"/>
      <c r="O1093" s="76"/>
      <c r="P1093" s="76"/>
      <c r="Q1093" s="76"/>
      <c r="R1093" s="76"/>
      <c r="S1093" s="76"/>
      <c r="T1093" s="76"/>
      <c r="U1093" s="76" t="s">
        <v>4301</v>
      </c>
      <c r="V1093" s="76"/>
      <c r="W1093" s="76"/>
      <c r="X1093" s="76"/>
    </row>
    <row r="1094" ht="18.0" customHeight="1">
      <c r="A1094" s="76"/>
      <c r="B1094" s="76"/>
      <c r="C1094" s="76"/>
      <c r="D1094" s="76"/>
      <c r="E1094" s="76"/>
      <c r="F1094" s="76"/>
      <c r="G1094" s="76"/>
      <c r="H1094" s="76"/>
      <c r="I1094" s="76"/>
      <c r="J1094" s="76"/>
      <c r="K1094" s="76"/>
      <c r="L1094" s="76"/>
      <c r="M1094" s="76" t="s">
        <v>4302</v>
      </c>
      <c r="N1094" s="76"/>
      <c r="O1094" s="76"/>
      <c r="P1094" s="76"/>
      <c r="Q1094" s="76"/>
      <c r="R1094" s="76"/>
      <c r="S1094" s="76"/>
      <c r="T1094" s="76"/>
      <c r="U1094" s="76" t="s">
        <v>4303</v>
      </c>
      <c r="V1094" s="76"/>
      <c r="W1094" s="76"/>
      <c r="X1094" s="76"/>
    </row>
    <row r="1095" ht="18.0" customHeight="1">
      <c r="A1095" s="76"/>
      <c r="B1095" s="76"/>
      <c r="C1095" s="76"/>
      <c r="D1095" s="76"/>
      <c r="E1095" s="76"/>
      <c r="F1095" s="76"/>
      <c r="G1095" s="76"/>
      <c r="H1095" s="76"/>
      <c r="I1095" s="76"/>
      <c r="J1095" s="76"/>
      <c r="K1095" s="76"/>
      <c r="L1095" s="76"/>
      <c r="M1095" s="76" t="s">
        <v>4304</v>
      </c>
      <c r="N1095" s="76"/>
      <c r="O1095" s="76"/>
      <c r="P1095" s="76"/>
      <c r="Q1095" s="76"/>
      <c r="R1095" s="76"/>
      <c r="S1095" s="76"/>
      <c r="T1095" s="76"/>
      <c r="U1095" s="76" t="s">
        <v>4305</v>
      </c>
      <c r="V1095" s="76"/>
      <c r="W1095" s="76"/>
      <c r="X1095" s="76"/>
    </row>
    <row r="1096" ht="18.0" customHeight="1">
      <c r="A1096" s="76"/>
      <c r="B1096" s="76"/>
      <c r="C1096" s="76"/>
      <c r="D1096" s="76"/>
      <c r="E1096" s="76"/>
      <c r="F1096" s="76"/>
      <c r="G1096" s="76"/>
      <c r="H1096" s="76"/>
      <c r="I1096" s="76"/>
      <c r="J1096" s="76"/>
      <c r="K1096" s="76"/>
      <c r="L1096" s="76"/>
      <c r="M1096" s="76" t="s">
        <v>4306</v>
      </c>
      <c r="N1096" s="76"/>
      <c r="O1096" s="76"/>
      <c r="P1096" s="76"/>
      <c r="Q1096" s="76"/>
      <c r="R1096" s="76"/>
      <c r="S1096" s="76"/>
      <c r="T1096" s="76"/>
      <c r="U1096" s="76" t="s">
        <v>4307</v>
      </c>
      <c r="V1096" s="76"/>
      <c r="W1096" s="76"/>
      <c r="X1096" s="76"/>
    </row>
    <row r="1097" ht="18.0" customHeight="1">
      <c r="A1097" s="76"/>
      <c r="B1097" s="76"/>
      <c r="C1097" s="76"/>
      <c r="D1097" s="76"/>
      <c r="E1097" s="76"/>
      <c r="F1097" s="76"/>
      <c r="G1097" s="76"/>
      <c r="H1097" s="76"/>
      <c r="I1097" s="76"/>
      <c r="J1097" s="76"/>
      <c r="K1097" s="76"/>
      <c r="L1097" s="76"/>
      <c r="M1097" s="76" t="s">
        <v>4308</v>
      </c>
      <c r="N1097" s="76"/>
      <c r="O1097" s="76"/>
      <c r="P1097" s="76"/>
      <c r="Q1097" s="76"/>
      <c r="R1097" s="76"/>
      <c r="S1097" s="76"/>
      <c r="T1097" s="76"/>
      <c r="U1097" s="76" t="s">
        <v>4309</v>
      </c>
      <c r="V1097" s="76"/>
      <c r="W1097" s="76"/>
      <c r="X1097" s="76"/>
    </row>
    <row r="1098" ht="18.0" customHeight="1">
      <c r="A1098" s="76"/>
      <c r="B1098" s="76"/>
      <c r="C1098" s="76"/>
      <c r="D1098" s="76"/>
      <c r="E1098" s="76"/>
      <c r="F1098" s="76"/>
      <c r="G1098" s="76"/>
      <c r="H1098" s="76"/>
      <c r="I1098" s="76"/>
      <c r="J1098" s="76"/>
      <c r="K1098" s="76"/>
      <c r="L1098" s="76"/>
      <c r="M1098" s="76" t="s">
        <v>4310</v>
      </c>
      <c r="N1098" s="76"/>
      <c r="O1098" s="76"/>
      <c r="P1098" s="76"/>
      <c r="Q1098" s="76"/>
      <c r="R1098" s="76"/>
      <c r="S1098" s="76"/>
      <c r="T1098" s="76"/>
      <c r="U1098" s="76" t="s">
        <v>4311</v>
      </c>
      <c r="V1098" s="76"/>
      <c r="W1098" s="76"/>
      <c r="X1098" s="76"/>
    </row>
    <row r="1099" ht="18.0" customHeight="1">
      <c r="A1099" s="76"/>
      <c r="B1099" s="76"/>
      <c r="C1099" s="76"/>
      <c r="D1099" s="76"/>
      <c r="E1099" s="76"/>
      <c r="F1099" s="76"/>
      <c r="G1099" s="76"/>
      <c r="H1099" s="76"/>
      <c r="I1099" s="76"/>
      <c r="J1099" s="76"/>
      <c r="K1099" s="76"/>
      <c r="L1099" s="76"/>
      <c r="M1099" s="76" t="s">
        <v>4312</v>
      </c>
      <c r="N1099" s="76"/>
      <c r="O1099" s="76"/>
      <c r="P1099" s="76"/>
      <c r="Q1099" s="76"/>
      <c r="R1099" s="76"/>
      <c r="S1099" s="76"/>
      <c r="T1099" s="76"/>
      <c r="U1099" s="76" t="s">
        <v>4313</v>
      </c>
      <c r="V1099" s="76"/>
      <c r="W1099" s="76"/>
      <c r="X1099" s="76"/>
    </row>
    <row r="1100" ht="18.0" customHeight="1">
      <c r="A1100" s="76"/>
      <c r="B1100" s="76"/>
      <c r="C1100" s="76"/>
      <c r="D1100" s="76"/>
      <c r="E1100" s="76"/>
      <c r="F1100" s="76"/>
      <c r="G1100" s="76"/>
      <c r="H1100" s="76"/>
      <c r="I1100" s="76"/>
      <c r="J1100" s="76"/>
      <c r="K1100" s="76"/>
      <c r="L1100" s="76"/>
      <c r="M1100" s="76" t="s">
        <v>4314</v>
      </c>
      <c r="N1100" s="76"/>
      <c r="O1100" s="76"/>
      <c r="P1100" s="76"/>
      <c r="Q1100" s="76"/>
      <c r="R1100" s="76"/>
      <c r="S1100" s="76"/>
      <c r="T1100" s="76"/>
      <c r="U1100" s="76" t="s">
        <v>4315</v>
      </c>
      <c r="V1100" s="76"/>
      <c r="W1100" s="76"/>
      <c r="X1100" s="76"/>
    </row>
    <row r="1101" ht="18.0" customHeight="1">
      <c r="A1101" s="76"/>
      <c r="B1101" s="76"/>
      <c r="C1101" s="76"/>
      <c r="D1101" s="76"/>
      <c r="E1101" s="76"/>
      <c r="F1101" s="76"/>
      <c r="G1101" s="76"/>
      <c r="H1101" s="76"/>
      <c r="I1101" s="76"/>
      <c r="J1101" s="76"/>
      <c r="K1101" s="76"/>
      <c r="L1101" s="76"/>
      <c r="M1101" s="76" t="s">
        <v>4316</v>
      </c>
      <c r="N1101" s="76"/>
      <c r="O1101" s="76"/>
      <c r="P1101" s="76"/>
      <c r="Q1101" s="76"/>
      <c r="R1101" s="76"/>
      <c r="S1101" s="76"/>
      <c r="T1101" s="76"/>
      <c r="U1101" s="76" t="s">
        <v>4317</v>
      </c>
      <c r="V1101" s="76"/>
      <c r="W1101" s="76"/>
      <c r="X1101" s="76"/>
    </row>
    <row r="1102" ht="18.0" customHeight="1">
      <c r="A1102" s="76"/>
      <c r="B1102" s="76"/>
      <c r="C1102" s="76"/>
      <c r="D1102" s="76"/>
      <c r="E1102" s="76"/>
      <c r="F1102" s="76"/>
      <c r="G1102" s="76"/>
      <c r="H1102" s="76"/>
      <c r="I1102" s="76"/>
      <c r="J1102" s="76"/>
      <c r="K1102" s="76"/>
      <c r="L1102" s="76"/>
      <c r="M1102" s="76" t="s">
        <v>4318</v>
      </c>
      <c r="N1102" s="76"/>
      <c r="O1102" s="76"/>
      <c r="P1102" s="76"/>
      <c r="Q1102" s="76"/>
      <c r="R1102" s="76"/>
      <c r="S1102" s="76"/>
      <c r="T1102" s="76"/>
      <c r="U1102" s="76" t="s">
        <v>4319</v>
      </c>
      <c r="V1102" s="76"/>
      <c r="W1102" s="76"/>
      <c r="X1102" s="76"/>
    </row>
    <row r="1103" ht="18.0" customHeight="1">
      <c r="A1103" s="76"/>
      <c r="B1103" s="76"/>
      <c r="C1103" s="76"/>
      <c r="D1103" s="76"/>
      <c r="E1103" s="76"/>
      <c r="F1103" s="76"/>
      <c r="G1103" s="76"/>
      <c r="H1103" s="76"/>
      <c r="I1103" s="76"/>
      <c r="J1103" s="76"/>
      <c r="K1103" s="76"/>
      <c r="L1103" s="76"/>
      <c r="M1103" s="76" t="s">
        <v>4320</v>
      </c>
      <c r="N1103" s="76"/>
      <c r="O1103" s="76"/>
      <c r="P1103" s="76"/>
      <c r="Q1103" s="76"/>
      <c r="R1103" s="76"/>
      <c r="S1103" s="76"/>
      <c r="T1103" s="76"/>
      <c r="U1103" s="76" t="s">
        <v>4321</v>
      </c>
      <c r="V1103" s="76"/>
      <c r="W1103" s="76"/>
      <c r="X1103" s="76"/>
    </row>
    <row r="1104" ht="18.0" customHeight="1">
      <c r="A1104" s="76"/>
      <c r="B1104" s="76"/>
      <c r="C1104" s="76"/>
      <c r="D1104" s="76"/>
      <c r="E1104" s="76"/>
      <c r="F1104" s="76"/>
      <c r="G1104" s="76"/>
      <c r="H1104" s="76"/>
      <c r="I1104" s="76"/>
      <c r="J1104" s="76"/>
      <c r="K1104" s="76"/>
      <c r="L1104" s="76"/>
      <c r="M1104" s="76" t="s">
        <v>4322</v>
      </c>
      <c r="N1104" s="76"/>
      <c r="O1104" s="76"/>
      <c r="P1104" s="76"/>
      <c r="Q1104" s="76"/>
      <c r="R1104" s="76"/>
      <c r="S1104" s="76"/>
      <c r="T1104" s="76"/>
      <c r="U1104" s="76" t="s">
        <v>4323</v>
      </c>
      <c r="V1104" s="76"/>
      <c r="W1104" s="76"/>
      <c r="X1104" s="76"/>
    </row>
    <row r="1105" ht="18.0" customHeight="1">
      <c r="A1105" s="76"/>
      <c r="B1105" s="76"/>
      <c r="C1105" s="76"/>
      <c r="D1105" s="76"/>
      <c r="E1105" s="76"/>
      <c r="F1105" s="76"/>
      <c r="G1105" s="76"/>
      <c r="H1105" s="76"/>
      <c r="I1105" s="76"/>
      <c r="J1105" s="76"/>
      <c r="K1105" s="76"/>
      <c r="L1105" s="76"/>
      <c r="M1105" s="76" t="s">
        <v>4324</v>
      </c>
      <c r="N1105" s="76"/>
      <c r="O1105" s="76"/>
      <c r="P1105" s="76"/>
      <c r="Q1105" s="76"/>
      <c r="R1105" s="76"/>
      <c r="S1105" s="76"/>
      <c r="T1105" s="76"/>
      <c r="U1105" s="76" t="s">
        <v>4325</v>
      </c>
      <c r="V1105" s="76"/>
      <c r="W1105" s="76"/>
      <c r="X1105" s="76"/>
    </row>
    <row r="1106" ht="18.0" customHeight="1">
      <c r="A1106" s="76"/>
      <c r="B1106" s="76"/>
      <c r="C1106" s="76"/>
      <c r="D1106" s="76"/>
      <c r="E1106" s="76"/>
      <c r="F1106" s="76"/>
      <c r="G1106" s="76"/>
      <c r="H1106" s="76"/>
      <c r="I1106" s="76"/>
      <c r="J1106" s="76"/>
      <c r="K1106" s="76"/>
      <c r="L1106" s="76"/>
      <c r="M1106" s="76" t="s">
        <v>4326</v>
      </c>
      <c r="N1106" s="76"/>
      <c r="O1106" s="76"/>
      <c r="P1106" s="76"/>
      <c r="Q1106" s="76"/>
      <c r="R1106" s="76"/>
      <c r="S1106" s="76"/>
      <c r="T1106" s="76"/>
      <c r="U1106" s="76" t="s">
        <v>4327</v>
      </c>
      <c r="V1106" s="76"/>
      <c r="W1106" s="76"/>
      <c r="X1106" s="76"/>
    </row>
    <row r="1107" ht="18.0" customHeight="1">
      <c r="A1107" s="76"/>
      <c r="B1107" s="76"/>
      <c r="C1107" s="76"/>
      <c r="D1107" s="76"/>
      <c r="E1107" s="76"/>
      <c r="F1107" s="76"/>
      <c r="G1107" s="76"/>
      <c r="H1107" s="76"/>
      <c r="I1107" s="76"/>
      <c r="J1107" s="76"/>
      <c r="K1107" s="76"/>
      <c r="L1107" s="76"/>
      <c r="M1107" s="76" t="s">
        <v>4328</v>
      </c>
      <c r="N1107" s="76"/>
      <c r="O1107" s="76"/>
      <c r="P1107" s="76"/>
      <c r="Q1107" s="76"/>
      <c r="R1107" s="76"/>
      <c r="S1107" s="76"/>
      <c r="T1107" s="76"/>
      <c r="U1107" s="76" t="s">
        <v>4329</v>
      </c>
      <c r="V1107" s="76"/>
      <c r="W1107" s="76"/>
      <c r="X1107" s="76"/>
    </row>
    <row r="1108" ht="18.0" customHeight="1">
      <c r="A1108" s="76"/>
      <c r="B1108" s="76"/>
      <c r="C1108" s="76"/>
      <c r="D1108" s="76"/>
      <c r="E1108" s="76"/>
      <c r="F1108" s="76"/>
      <c r="G1108" s="76"/>
      <c r="H1108" s="76"/>
      <c r="I1108" s="76"/>
      <c r="J1108" s="76"/>
      <c r="K1108" s="76"/>
      <c r="L1108" s="76"/>
      <c r="M1108" s="76" t="s">
        <v>4330</v>
      </c>
      <c r="N1108" s="76"/>
      <c r="O1108" s="76"/>
      <c r="P1108" s="76"/>
      <c r="Q1108" s="76"/>
      <c r="R1108" s="76"/>
      <c r="S1108" s="76"/>
      <c r="T1108" s="76"/>
      <c r="U1108" s="76" t="s">
        <v>4331</v>
      </c>
      <c r="V1108" s="76"/>
      <c r="W1108" s="76"/>
      <c r="X1108" s="76"/>
    </row>
    <row r="1109" ht="18.0" customHeight="1">
      <c r="A1109" s="76"/>
      <c r="B1109" s="76"/>
      <c r="C1109" s="76"/>
      <c r="D1109" s="76"/>
      <c r="E1109" s="76"/>
      <c r="F1109" s="76"/>
      <c r="G1109" s="76"/>
      <c r="H1109" s="76"/>
      <c r="I1109" s="76"/>
      <c r="J1109" s="76"/>
      <c r="K1109" s="76"/>
      <c r="L1109" s="76"/>
      <c r="M1109" s="76" t="s">
        <v>4332</v>
      </c>
      <c r="N1109" s="76"/>
      <c r="O1109" s="76"/>
      <c r="P1109" s="76"/>
      <c r="Q1109" s="76"/>
      <c r="R1109" s="76"/>
      <c r="S1109" s="76"/>
      <c r="T1109" s="76"/>
      <c r="U1109" s="76" t="s">
        <v>4333</v>
      </c>
      <c r="V1109" s="76"/>
      <c r="W1109" s="76"/>
      <c r="X1109" s="76"/>
    </row>
    <row r="1110" ht="18.0" customHeight="1">
      <c r="A1110" s="76"/>
      <c r="B1110" s="76"/>
      <c r="C1110" s="76"/>
      <c r="D1110" s="76"/>
      <c r="E1110" s="76"/>
      <c r="F1110" s="76"/>
      <c r="G1110" s="76"/>
      <c r="H1110" s="76"/>
      <c r="I1110" s="76"/>
      <c r="J1110" s="76"/>
      <c r="K1110" s="76"/>
      <c r="L1110" s="76"/>
      <c r="M1110" s="76" t="s">
        <v>4334</v>
      </c>
      <c r="N1110" s="76"/>
      <c r="O1110" s="76"/>
      <c r="P1110" s="76"/>
      <c r="Q1110" s="76"/>
      <c r="R1110" s="76"/>
      <c r="S1110" s="76"/>
      <c r="T1110" s="76"/>
      <c r="U1110" s="76" t="s">
        <v>4335</v>
      </c>
      <c r="V1110" s="76"/>
      <c r="W1110" s="76"/>
      <c r="X1110" s="76"/>
    </row>
    <row r="1111" ht="18.0" customHeight="1">
      <c r="A1111" s="76"/>
      <c r="B1111" s="76"/>
      <c r="C1111" s="76"/>
      <c r="D1111" s="76"/>
      <c r="E1111" s="76"/>
      <c r="F1111" s="76"/>
      <c r="G1111" s="76"/>
      <c r="H1111" s="76"/>
      <c r="I1111" s="76"/>
      <c r="J1111" s="76"/>
      <c r="K1111" s="76"/>
      <c r="L1111" s="76"/>
      <c r="M1111" s="76" t="s">
        <v>4336</v>
      </c>
      <c r="N1111" s="76"/>
      <c r="O1111" s="76"/>
      <c r="P1111" s="76"/>
      <c r="Q1111" s="76"/>
      <c r="R1111" s="76"/>
      <c r="S1111" s="76"/>
      <c r="T1111" s="76"/>
      <c r="U1111" s="76" t="s">
        <v>4337</v>
      </c>
      <c r="V1111" s="76"/>
      <c r="W1111" s="76"/>
      <c r="X1111" s="76"/>
    </row>
    <row r="1112" ht="18.0" customHeight="1">
      <c r="A1112" s="76"/>
      <c r="B1112" s="76"/>
      <c r="C1112" s="76"/>
      <c r="D1112" s="76"/>
      <c r="E1112" s="76"/>
      <c r="F1112" s="76"/>
      <c r="G1112" s="76"/>
      <c r="H1112" s="76"/>
      <c r="I1112" s="76"/>
      <c r="J1112" s="76"/>
      <c r="K1112" s="76"/>
      <c r="L1112" s="76"/>
      <c r="M1112" s="76" t="s">
        <v>4338</v>
      </c>
      <c r="N1112" s="76"/>
      <c r="O1112" s="76"/>
      <c r="P1112" s="76"/>
      <c r="Q1112" s="76"/>
      <c r="R1112" s="76"/>
      <c r="S1112" s="76"/>
      <c r="T1112" s="76"/>
      <c r="U1112" s="76" t="s">
        <v>4339</v>
      </c>
      <c r="V1112" s="76"/>
      <c r="W1112" s="76"/>
      <c r="X1112" s="76"/>
    </row>
    <row r="1113" ht="18.0" customHeight="1">
      <c r="A1113" s="76"/>
      <c r="B1113" s="76"/>
      <c r="C1113" s="76"/>
      <c r="D1113" s="76"/>
      <c r="E1113" s="76"/>
      <c r="F1113" s="76"/>
      <c r="G1113" s="76"/>
      <c r="H1113" s="76"/>
      <c r="I1113" s="76"/>
      <c r="J1113" s="76"/>
      <c r="K1113" s="76"/>
      <c r="L1113" s="76"/>
      <c r="M1113" s="76" t="s">
        <v>4340</v>
      </c>
      <c r="N1113" s="76"/>
      <c r="O1113" s="76"/>
      <c r="P1113" s="76"/>
      <c r="Q1113" s="76"/>
      <c r="R1113" s="76"/>
      <c r="S1113" s="76"/>
      <c r="T1113" s="76"/>
      <c r="U1113" s="76" t="s">
        <v>4341</v>
      </c>
      <c r="V1113" s="76"/>
      <c r="W1113" s="76"/>
      <c r="X1113" s="76"/>
    </row>
    <row r="1114" ht="18.0" customHeight="1">
      <c r="A1114" s="76"/>
      <c r="B1114" s="76"/>
      <c r="C1114" s="76"/>
      <c r="D1114" s="76"/>
      <c r="E1114" s="76"/>
      <c r="F1114" s="76"/>
      <c r="G1114" s="76"/>
      <c r="H1114" s="76"/>
      <c r="I1114" s="76"/>
      <c r="J1114" s="76"/>
      <c r="K1114" s="76"/>
      <c r="L1114" s="76"/>
      <c r="M1114" s="76" t="s">
        <v>4342</v>
      </c>
      <c r="N1114" s="76"/>
      <c r="O1114" s="76"/>
      <c r="P1114" s="76"/>
      <c r="Q1114" s="76"/>
      <c r="R1114" s="76"/>
      <c r="S1114" s="76"/>
      <c r="T1114" s="76"/>
      <c r="U1114" s="76" t="s">
        <v>4343</v>
      </c>
      <c r="V1114" s="76"/>
      <c r="W1114" s="76"/>
      <c r="X1114" s="76"/>
    </row>
    <row r="1115" ht="18.0" customHeight="1">
      <c r="A1115" s="76"/>
      <c r="B1115" s="76"/>
      <c r="C1115" s="76"/>
      <c r="D1115" s="76"/>
      <c r="E1115" s="76"/>
      <c r="F1115" s="76"/>
      <c r="G1115" s="76"/>
      <c r="H1115" s="76"/>
      <c r="I1115" s="76"/>
      <c r="J1115" s="76"/>
      <c r="K1115" s="76"/>
      <c r="L1115" s="76"/>
      <c r="M1115" s="76" t="s">
        <v>4344</v>
      </c>
      <c r="N1115" s="76"/>
      <c r="O1115" s="76"/>
      <c r="P1115" s="76"/>
      <c r="Q1115" s="76"/>
      <c r="R1115" s="76"/>
      <c r="S1115" s="76"/>
      <c r="T1115" s="76"/>
      <c r="U1115" s="76" t="s">
        <v>4345</v>
      </c>
      <c r="V1115" s="76"/>
      <c r="W1115" s="76"/>
      <c r="X1115" s="76"/>
    </row>
    <row r="1116" ht="18.0" customHeight="1">
      <c r="A1116" s="76"/>
      <c r="B1116" s="76"/>
      <c r="C1116" s="76"/>
      <c r="D1116" s="76"/>
      <c r="E1116" s="76"/>
      <c r="F1116" s="76"/>
      <c r="G1116" s="76"/>
      <c r="H1116" s="76"/>
      <c r="I1116" s="76"/>
      <c r="J1116" s="76"/>
      <c r="K1116" s="76"/>
      <c r="L1116" s="76"/>
      <c r="M1116" s="76" t="s">
        <v>4346</v>
      </c>
      <c r="N1116" s="76"/>
      <c r="O1116" s="76"/>
      <c r="P1116" s="76"/>
      <c r="Q1116" s="76"/>
      <c r="R1116" s="76"/>
      <c r="S1116" s="76"/>
      <c r="T1116" s="76"/>
      <c r="U1116" s="76" t="s">
        <v>4347</v>
      </c>
      <c r="V1116" s="76"/>
      <c r="W1116" s="76"/>
      <c r="X1116" s="76"/>
    </row>
    <row r="1117" ht="18.0" customHeight="1">
      <c r="A1117" s="76"/>
      <c r="B1117" s="76"/>
      <c r="C1117" s="76"/>
      <c r="D1117" s="76"/>
      <c r="E1117" s="76"/>
      <c r="F1117" s="76"/>
      <c r="G1117" s="76"/>
      <c r="H1117" s="76"/>
      <c r="I1117" s="76"/>
      <c r="J1117" s="76"/>
      <c r="K1117" s="76"/>
      <c r="L1117" s="76"/>
      <c r="M1117" s="76" t="s">
        <v>4348</v>
      </c>
      <c r="N1117" s="76"/>
      <c r="O1117" s="76"/>
      <c r="P1117" s="76"/>
      <c r="Q1117" s="76"/>
      <c r="R1117" s="76"/>
      <c r="S1117" s="76"/>
      <c r="T1117" s="76"/>
      <c r="U1117" s="76" t="s">
        <v>4349</v>
      </c>
      <c r="V1117" s="76"/>
      <c r="W1117" s="76"/>
      <c r="X1117" s="76"/>
    </row>
    <row r="1118" ht="18.0" customHeight="1">
      <c r="A1118" s="76"/>
      <c r="B1118" s="76"/>
      <c r="C1118" s="76"/>
      <c r="D1118" s="76"/>
      <c r="E1118" s="76"/>
      <c r="F1118" s="76"/>
      <c r="G1118" s="76"/>
      <c r="H1118" s="76"/>
      <c r="I1118" s="76"/>
      <c r="J1118" s="76"/>
      <c r="K1118" s="76"/>
      <c r="L1118" s="76"/>
      <c r="M1118" s="76" t="s">
        <v>4350</v>
      </c>
      <c r="N1118" s="76"/>
      <c r="O1118" s="76"/>
      <c r="P1118" s="76"/>
      <c r="Q1118" s="76"/>
      <c r="R1118" s="76"/>
      <c r="S1118" s="76"/>
      <c r="T1118" s="76"/>
      <c r="U1118" s="76" t="s">
        <v>4351</v>
      </c>
      <c r="V1118" s="76"/>
      <c r="W1118" s="76"/>
      <c r="X1118" s="76"/>
    </row>
    <row r="1119" ht="18.0" customHeight="1">
      <c r="A1119" s="76"/>
      <c r="B1119" s="76"/>
      <c r="C1119" s="76"/>
      <c r="D1119" s="76"/>
      <c r="E1119" s="76"/>
      <c r="F1119" s="76"/>
      <c r="G1119" s="76"/>
      <c r="H1119" s="76"/>
      <c r="I1119" s="76"/>
      <c r="J1119" s="76"/>
      <c r="K1119" s="76"/>
      <c r="L1119" s="76"/>
      <c r="M1119" s="76" t="s">
        <v>4352</v>
      </c>
      <c r="N1119" s="76"/>
      <c r="O1119" s="76"/>
      <c r="P1119" s="76"/>
      <c r="Q1119" s="76"/>
      <c r="R1119" s="76"/>
      <c r="S1119" s="76"/>
      <c r="T1119" s="76"/>
      <c r="U1119" s="76" t="s">
        <v>4353</v>
      </c>
      <c r="V1119" s="76"/>
      <c r="W1119" s="76"/>
      <c r="X1119" s="76"/>
    </row>
    <row r="1120" ht="18.0" customHeight="1">
      <c r="A1120" s="76"/>
      <c r="B1120" s="76"/>
      <c r="C1120" s="76"/>
      <c r="D1120" s="76"/>
      <c r="E1120" s="76"/>
      <c r="F1120" s="76"/>
      <c r="G1120" s="76"/>
      <c r="H1120" s="76"/>
      <c r="I1120" s="76"/>
      <c r="J1120" s="76"/>
      <c r="K1120" s="76"/>
      <c r="L1120" s="76"/>
      <c r="M1120" s="76" t="s">
        <v>4354</v>
      </c>
      <c r="N1120" s="76"/>
      <c r="O1120" s="76"/>
      <c r="P1120" s="76"/>
      <c r="Q1120" s="76"/>
      <c r="R1120" s="76"/>
      <c r="S1120" s="76"/>
      <c r="T1120" s="76"/>
      <c r="U1120" s="76" t="s">
        <v>4355</v>
      </c>
      <c r="V1120" s="76"/>
      <c r="W1120" s="76"/>
      <c r="X1120" s="76"/>
    </row>
    <row r="1121" ht="18.0" customHeight="1">
      <c r="A1121" s="76"/>
      <c r="B1121" s="76"/>
      <c r="C1121" s="76"/>
      <c r="D1121" s="76"/>
      <c r="E1121" s="76"/>
      <c r="F1121" s="76"/>
      <c r="G1121" s="76"/>
      <c r="H1121" s="76"/>
      <c r="I1121" s="76"/>
      <c r="J1121" s="76"/>
      <c r="K1121" s="76"/>
      <c r="L1121" s="76"/>
      <c r="M1121" s="76" t="s">
        <v>4356</v>
      </c>
      <c r="N1121" s="76"/>
      <c r="O1121" s="76"/>
      <c r="P1121" s="76"/>
      <c r="Q1121" s="76"/>
      <c r="R1121" s="76"/>
      <c r="S1121" s="76"/>
      <c r="T1121" s="76"/>
      <c r="U1121" s="76" t="s">
        <v>4357</v>
      </c>
      <c r="V1121" s="76"/>
      <c r="W1121" s="76"/>
      <c r="X1121" s="76"/>
    </row>
    <row r="1122" ht="18.0" customHeight="1">
      <c r="A1122" s="76"/>
      <c r="B1122" s="76"/>
      <c r="C1122" s="76"/>
      <c r="D1122" s="76"/>
      <c r="E1122" s="76"/>
      <c r="F1122" s="76"/>
      <c r="G1122" s="76"/>
      <c r="H1122" s="76"/>
      <c r="I1122" s="76"/>
      <c r="J1122" s="76"/>
      <c r="K1122" s="76"/>
      <c r="L1122" s="76"/>
      <c r="M1122" s="76" t="s">
        <v>4358</v>
      </c>
      <c r="N1122" s="76"/>
      <c r="O1122" s="76"/>
      <c r="P1122" s="76"/>
      <c r="Q1122" s="76"/>
      <c r="R1122" s="76"/>
      <c r="S1122" s="76"/>
      <c r="T1122" s="76"/>
      <c r="U1122" s="76" t="s">
        <v>4359</v>
      </c>
      <c r="V1122" s="76"/>
      <c r="W1122" s="76"/>
      <c r="X1122" s="76"/>
    </row>
    <row r="1123" ht="18.0" customHeight="1">
      <c r="A1123" s="76"/>
      <c r="B1123" s="76"/>
      <c r="C1123" s="76"/>
      <c r="D1123" s="76"/>
      <c r="E1123" s="76"/>
      <c r="F1123" s="76"/>
      <c r="G1123" s="76"/>
      <c r="H1123" s="76"/>
      <c r="I1123" s="76"/>
      <c r="J1123" s="76"/>
      <c r="K1123" s="76"/>
      <c r="L1123" s="76"/>
      <c r="M1123" s="76" t="s">
        <v>4360</v>
      </c>
      <c r="N1123" s="76"/>
      <c r="O1123" s="76"/>
      <c r="P1123" s="76"/>
      <c r="Q1123" s="76"/>
      <c r="R1123" s="76"/>
      <c r="S1123" s="76"/>
      <c r="T1123" s="76"/>
      <c r="U1123" s="76" t="s">
        <v>4361</v>
      </c>
      <c r="V1123" s="76"/>
      <c r="W1123" s="76"/>
      <c r="X1123" s="76"/>
    </row>
    <row r="1124" ht="18.0" customHeight="1">
      <c r="A1124" s="76"/>
      <c r="B1124" s="76"/>
      <c r="C1124" s="76"/>
      <c r="D1124" s="76"/>
      <c r="E1124" s="76"/>
      <c r="F1124" s="76"/>
      <c r="G1124" s="76"/>
      <c r="H1124" s="76"/>
      <c r="I1124" s="76"/>
      <c r="J1124" s="76"/>
      <c r="K1124" s="76"/>
      <c r="L1124" s="76"/>
      <c r="M1124" s="76" t="s">
        <v>4362</v>
      </c>
      <c r="N1124" s="76"/>
      <c r="O1124" s="76"/>
      <c r="P1124" s="76"/>
      <c r="Q1124" s="76"/>
      <c r="R1124" s="76"/>
      <c r="S1124" s="76"/>
      <c r="T1124" s="76"/>
      <c r="U1124" s="76" t="s">
        <v>4363</v>
      </c>
      <c r="V1124" s="76"/>
      <c r="W1124" s="76"/>
      <c r="X1124" s="76"/>
    </row>
    <row r="1125" ht="18.0" customHeight="1">
      <c r="A1125" s="76"/>
      <c r="B1125" s="76"/>
      <c r="C1125" s="76"/>
      <c r="D1125" s="76"/>
      <c r="E1125" s="76"/>
      <c r="F1125" s="76"/>
      <c r="G1125" s="76"/>
      <c r="H1125" s="76"/>
      <c r="I1125" s="76"/>
      <c r="J1125" s="76"/>
      <c r="K1125" s="76"/>
      <c r="L1125" s="76"/>
      <c r="M1125" s="76" t="s">
        <v>4364</v>
      </c>
      <c r="N1125" s="76"/>
      <c r="O1125" s="76"/>
      <c r="P1125" s="76"/>
      <c r="Q1125" s="76"/>
      <c r="R1125" s="76"/>
      <c r="S1125" s="76"/>
      <c r="T1125" s="76"/>
      <c r="U1125" s="76" t="s">
        <v>4365</v>
      </c>
      <c r="V1125" s="76"/>
      <c r="W1125" s="76"/>
      <c r="X1125" s="76"/>
    </row>
    <row r="1126" ht="18.0" customHeight="1">
      <c r="A1126" s="76"/>
      <c r="B1126" s="76"/>
      <c r="C1126" s="76"/>
      <c r="D1126" s="76"/>
      <c r="E1126" s="76"/>
      <c r="F1126" s="76"/>
      <c r="G1126" s="76"/>
      <c r="H1126" s="76"/>
      <c r="I1126" s="76"/>
      <c r="J1126" s="76"/>
      <c r="K1126" s="76"/>
      <c r="L1126" s="76"/>
      <c r="M1126" s="76" t="s">
        <v>4366</v>
      </c>
      <c r="N1126" s="76"/>
      <c r="O1126" s="76"/>
      <c r="P1126" s="76"/>
      <c r="Q1126" s="76"/>
      <c r="R1126" s="76"/>
      <c r="S1126" s="76"/>
      <c r="T1126" s="76"/>
      <c r="U1126" s="76" t="s">
        <v>4367</v>
      </c>
      <c r="V1126" s="76"/>
      <c r="W1126" s="76"/>
      <c r="X1126" s="76"/>
    </row>
    <row r="1127" ht="18.0" customHeight="1">
      <c r="A1127" s="76"/>
      <c r="B1127" s="76"/>
      <c r="C1127" s="76"/>
      <c r="D1127" s="76"/>
      <c r="E1127" s="76"/>
      <c r="F1127" s="76"/>
      <c r="G1127" s="76"/>
      <c r="H1127" s="76"/>
      <c r="I1127" s="76"/>
      <c r="J1127" s="76"/>
      <c r="K1127" s="76"/>
      <c r="L1127" s="76"/>
      <c r="M1127" s="76" t="s">
        <v>4368</v>
      </c>
      <c r="N1127" s="76"/>
      <c r="O1127" s="76"/>
      <c r="P1127" s="76"/>
      <c r="Q1127" s="76"/>
      <c r="R1127" s="76"/>
      <c r="S1127" s="76"/>
      <c r="T1127" s="76"/>
      <c r="U1127" s="76" t="s">
        <v>4369</v>
      </c>
      <c r="V1127" s="76"/>
      <c r="W1127" s="76"/>
      <c r="X1127" s="76"/>
    </row>
    <row r="1128" ht="18.0" customHeight="1">
      <c r="A1128" s="76"/>
      <c r="B1128" s="76"/>
      <c r="C1128" s="76"/>
      <c r="D1128" s="76"/>
      <c r="E1128" s="76"/>
      <c r="F1128" s="76"/>
      <c r="G1128" s="76"/>
      <c r="H1128" s="76"/>
      <c r="I1128" s="76"/>
      <c r="J1128" s="76"/>
      <c r="K1128" s="76"/>
      <c r="L1128" s="76"/>
      <c r="M1128" s="76" t="s">
        <v>4370</v>
      </c>
      <c r="N1128" s="76"/>
      <c r="O1128" s="76"/>
      <c r="P1128" s="76"/>
      <c r="Q1128" s="76"/>
      <c r="R1128" s="76"/>
      <c r="S1128" s="76"/>
      <c r="T1128" s="76"/>
      <c r="U1128" s="76" t="s">
        <v>4371</v>
      </c>
      <c r="V1128" s="76"/>
      <c r="W1128" s="76"/>
      <c r="X1128" s="76"/>
    </row>
    <row r="1129" ht="18.0" customHeight="1">
      <c r="A1129" s="76"/>
      <c r="B1129" s="76"/>
      <c r="C1129" s="76"/>
      <c r="D1129" s="76"/>
      <c r="E1129" s="76"/>
      <c r="F1129" s="76"/>
      <c r="G1129" s="76"/>
      <c r="H1129" s="76"/>
      <c r="I1129" s="76"/>
      <c r="J1129" s="76"/>
      <c r="K1129" s="76"/>
      <c r="L1129" s="76"/>
      <c r="M1129" s="76" t="s">
        <v>4372</v>
      </c>
      <c r="N1129" s="76"/>
      <c r="O1129" s="76"/>
      <c r="P1129" s="76"/>
      <c r="Q1129" s="76"/>
      <c r="R1129" s="76"/>
      <c r="S1129" s="76"/>
      <c r="T1129" s="76"/>
      <c r="U1129" s="76" t="s">
        <v>4373</v>
      </c>
      <c r="V1129" s="76"/>
      <c r="W1129" s="76"/>
      <c r="X1129" s="76"/>
    </row>
    <row r="1130" ht="18.0" customHeight="1">
      <c r="A1130" s="76"/>
      <c r="B1130" s="76"/>
      <c r="C1130" s="76"/>
      <c r="D1130" s="76"/>
      <c r="E1130" s="76"/>
      <c r="F1130" s="76"/>
      <c r="G1130" s="76"/>
      <c r="H1130" s="76"/>
      <c r="I1130" s="76"/>
      <c r="J1130" s="76"/>
      <c r="K1130" s="76"/>
      <c r="L1130" s="76"/>
      <c r="M1130" s="76" t="s">
        <v>4374</v>
      </c>
      <c r="N1130" s="76"/>
      <c r="O1130" s="76"/>
      <c r="P1130" s="76"/>
      <c r="Q1130" s="76"/>
      <c r="R1130" s="76"/>
      <c r="S1130" s="76"/>
      <c r="T1130" s="76"/>
      <c r="U1130" s="76" t="s">
        <v>4375</v>
      </c>
      <c r="V1130" s="76"/>
      <c r="W1130" s="76"/>
      <c r="X1130" s="76"/>
    </row>
    <row r="1131" ht="18.0" customHeight="1">
      <c r="A1131" s="76"/>
      <c r="B1131" s="76"/>
      <c r="C1131" s="76"/>
      <c r="D1131" s="76"/>
      <c r="E1131" s="76"/>
      <c r="F1131" s="76"/>
      <c r="G1131" s="76"/>
      <c r="H1131" s="76"/>
      <c r="I1131" s="76"/>
      <c r="J1131" s="76"/>
      <c r="K1131" s="76"/>
      <c r="L1131" s="76"/>
      <c r="M1131" s="76" t="s">
        <v>4376</v>
      </c>
      <c r="N1131" s="76"/>
      <c r="O1131" s="76"/>
      <c r="P1131" s="76"/>
      <c r="Q1131" s="76"/>
      <c r="R1131" s="76"/>
      <c r="S1131" s="76"/>
      <c r="T1131" s="76"/>
      <c r="U1131" s="76" t="s">
        <v>4377</v>
      </c>
      <c r="V1131" s="76"/>
      <c r="W1131" s="76"/>
      <c r="X1131" s="76"/>
    </row>
    <row r="1132" ht="18.0" customHeight="1">
      <c r="A1132" s="76"/>
      <c r="B1132" s="76"/>
      <c r="C1132" s="76"/>
      <c r="D1132" s="76"/>
      <c r="E1132" s="76"/>
      <c r="F1132" s="76"/>
      <c r="G1132" s="76"/>
      <c r="H1132" s="76"/>
      <c r="I1132" s="76"/>
      <c r="J1132" s="76"/>
      <c r="K1132" s="76"/>
      <c r="L1132" s="76"/>
      <c r="M1132" s="76" t="s">
        <v>4378</v>
      </c>
      <c r="N1132" s="76"/>
      <c r="O1132" s="76"/>
      <c r="P1132" s="76"/>
      <c r="Q1132" s="76"/>
      <c r="R1132" s="76"/>
      <c r="S1132" s="76"/>
      <c r="T1132" s="76"/>
      <c r="U1132" s="76" t="s">
        <v>4379</v>
      </c>
      <c r="V1132" s="76"/>
      <c r="W1132" s="76"/>
      <c r="X1132" s="76"/>
    </row>
    <row r="1133" ht="18.0" customHeight="1">
      <c r="A1133" s="76"/>
      <c r="B1133" s="76"/>
      <c r="C1133" s="76"/>
      <c r="D1133" s="76"/>
      <c r="E1133" s="76"/>
      <c r="F1133" s="76"/>
      <c r="G1133" s="76"/>
      <c r="H1133" s="76"/>
      <c r="I1133" s="76"/>
      <c r="J1133" s="76"/>
      <c r="K1133" s="76"/>
      <c r="L1133" s="76"/>
      <c r="M1133" s="76" t="s">
        <v>4380</v>
      </c>
      <c r="N1133" s="76"/>
      <c r="O1133" s="76"/>
      <c r="P1133" s="76"/>
      <c r="Q1133" s="76"/>
      <c r="R1133" s="76"/>
      <c r="S1133" s="76"/>
      <c r="T1133" s="76"/>
      <c r="U1133" s="76" t="s">
        <v>4381</v>
      </c>
      <c r="V1133" s="76"/>
      <c r="W1133" s="76"/>
      <c r="X1133" s="76"/>
    </row>
    <row r="1134" ht="18.0" customHeight="1">
      <c r="A1134" s="76"/>
      <c r="B1134" s="76"/>
      <c r="C1134" s="76"/>
      <c r="D1134" s="76"/>
      <c r="E1134" s="76"/>
      <c r="F1134" s="76"/>
      <c r="G1134" s="76"/>
      <c r="H1134" s="76"/>
      <c r="I1134" s="76"/>
      <c r="J1134" s="76"/>
      <c r="K1134" s="76"/>
      <c r="L1134" s="76"/>
      <c r="M1134" s="76" t="s">
        <v>4382</v>
      </c>
      <c r="N1134" s="76"/>
      <c r="O1134" s="76"/>
      <c r="P1134" s="76"/>
      <c r="Q1134" s="76"/>
      <c r="R1134" s="76"/>
      <c r="S1134" s="76"/>
      <c r="T1134" s="76"/>
      <c r="U1134" s="76" t="s">
        <v>4383</v>
      </c>
      <c r="V1134" s="76"/>
      <c r="W1134" s="76"/>
      <c r="X1134" s="76"/>
    </row>
    <row r="1135" ht="18.0" customHeight="1">
      <c r="A1135" s="76"/>
      <c r="B1135" s="76"/>
      <c r="C1135" s="76"/>
      <c r="D1135" s="76"/>
      <c r="E1135" s="76"/>
      <c r="F1135" s="76"/>
      <c r="G1135" s="76"/>
      <c r="H1135" s="76"/>
      <c r="I1135" s="76"/>
      <c r="J1135" s="76"/>
      <c r="K1135" s="76"/>
      <c r="L1135" s="76"/>
      <c r="M1135" s="76" t="s">
        <v>4384</v>
      </c>
      <c r="N1135" s="76"/>
      <c r="O1135" s="76"/>
      <c r="P1135" s="76"/>
      <c r="Q1135" s="76"/>
      <c r="R1135" s="76"/>
      <c r="S1135" s="76"/>
      <c r="T1135" s="76"/>
      <c r="U1135" s="76" t="s">
        <v>4385</v>
      </c>
      <c r="V1135" s="76"/>
      <c r="W1135" s="76"/>
      <c r="X1135" s="76"/>
    </row>
    <row r="1136" ht="18.0" customHeight="1">
      <c r="A1136" s="76"/>
      <c r="B1136" s="76"/>
      <c r="C1136" s="76"/>
      <c r="D1136" s="76"/>
      <c r="E1136" s="76"/>
      <c r="F1136" s="76"/>
      <c r="G1136" s="76"/>
      <c r="H1136" s="76"/>
      <c r="I1136" s="76"/>
      <c r="J1136" s="76"/>
      <c r="K1136" s="76"/>
      <c r="L1136" s="76"/>
      <c r="M1136" s="76" t="s">
        <v>4386</v>
      </c>
      <c r="N1136" s="76"/>
      <c r="O1136" s="76"/>
      <c r="P1136" s="76"/>
      <c r="Q1136" s="76"/>
      <c r="R1136" s="76"/>
      <c r="S1136" s="76"/>
      <c r="T1136" s="76"/>
      <c r="U1136" s="76" t="s">
        <v>4387</v>
      </c>
      <c r="V1136" s="76"/>
      <c r="W1136" s="76"/>
      <c r="X1136" s="76"/>
    </row>
    <row r="1137" ht="18.0" customHeight="1">
      <c r="A1137" s="76"/>
      <c r="B1137" s="76"/>
      <c r="C1137" s="76"/>
      <c r="D1137" s="76"/>
      <c r="E1137" s="76"/>
      <c r="F1137" s="76"/>
      <c r="G1137" s="76"/>
      <c r="H1137" s="76"/>
      <c r="I1137" s="76"/>
      <c r="J1137" s="76"/>
      <c r="K1137" s="76"/>
      <c r="L1137" s="76"/>
      <c r="M1137" s="76" t="s">
        <v>4388</v>
      </c>
      <c r="N1137" s="76"/>
      <c r="O1137" s="76"/>
      <c r="P1137" s="76"/>
      <c r="Q1137" s="76"/>
      <c r="R1137" s="76"/>
      <c r="S1137" s="76"/>
      <c r="T1137" s="76"/>
      <c r="U1137" s="76" t="s">
        <v>4389</v>
      </c>
      <c r="V1137" s="76"/>
      <c r="W1137" s="76"/>
      <c r="X1137" s="76"/>
    </row>
    <row r="1138" ht="18.0" customHeight="1">
      <c r="A1138" s="76"/>
      <c r="B1138" s="76"/>
      <c r="C1138" s="76"/>
      <c r="D1138" s="76"/>
      <c r="E1138" s="76"/>
      <c r="F1138" s="76"/>
      <c r="G1138" s="76"/>
      <c r="H1138" s="76"/>
      <c r="I1138" s="76"/>
      <c r="J1138" s="76"/>
      <c r="K1138" s="76"/>
      <c r="L1138" s="76"/>
      <c r="M1138" s="76" t="s">
        <v>4390</v>
      </c>
      <c r="N1138" s="76"/>
      <c r="O1138" s="76"/>
      <c r="P1138" s="76"/>
      <c r="Q1138" s="76"/>
      <c r="R1138" s="76"/>
      <c r="S1138" s="76"/>
      <c r="T1138" s="76"/>
      <c r="U1138" s="76" t="s">
        <v>4391</v>
      </c>
      <c r="V1138" s="76"/>
      <c r="W1138" s="76"/>
      <c r="X1138" s="76"/>
    </row>
    <row r="1139" ht="18.0" customHeight="1">
      <c r="A1139" s="76"/>
      <c r="B1139" s="76"/>
      <c r="C1139" s="76"/>
      <c r="D1139" s="76"/>
      <c r="E1139" s="76"/>
      <c r="F1139" s="76"/>
      <c r="G1139" s="76"/>
      <c r="H1139" s="76"/>
      <c r="I1139" s="76"/>
      <c r="J1139" s="76"/>
      <c r="K1139" s="76"/>
      <c r="L1139" s="76"/>
      <c r="M1139" s="76" t="s">
        <v>4392</v>
      </c>
      <c r="N1139" s="76"/>
      <c r="O1139" s="76"/>
      <c r="P1139" s="76"/>
      <c r="Q1139" s="76"/>
      <c r="R1139" s="76"/>
      <c r="S1139" s="76"/>
      <c r="T1139" s="76"/>
      <c r="U1139" s="76" t="s">
        <v>4393</v>
      </c>
      <c r="V1139" s="76"/>
      <c r="W1139" s="76"/>
      <c r="X1139" s="76"/>
    </row>
    <row r="1140" ht="18.0" customHeight="1">
      <c r="A1140" s="76"/>
      <c r="B1140" s="76"/>
      <c r="C1140" s="76"/>
      <c r="D1140" s="76"/>
      <c r="E1140" s="76"/>
      <c r="F1140" s="76"/>
      <c r="G1140" s="76"/>
      <c r="H1140" s="76"/>
      <c r="I1140" s="76"/>
      <c r="J1140" s="76"/>
      <c r="K1140" s="76"/>
      <c r="L1140" s="76"/>
      <c r="M1140" s="76" t="s">
        <v>4394</v>
      </c>
      <c r="N1140" s="76"/>
      <c r="O1140" s="76"/>
      <c r="P1140" s="76"/>
      <c r="Q1140" s="76"/>
      <c r="R1140" s="76"/>
      <c r="S1140" s="76"/>
      <c r="T1140" s="76"/>
      <c r="U1140" s="76" t="s">
        <v>4395</v>
      </c>
      <c r="V1140" s="76"/>
      <c r="W1140" s="76"/>
      <c r="X1140" s="76"/>
    </row>
    <row r="1141" ht="18.0" customHeight="1">
      <c r="A1141" s="76"/>
      <c r="B1141" s="76"/>
      <c r="C1141" s="76"/>
      <c r="D1141" s="76"/>
      <c r="E1141" s="76"/>
      <c r="F1141" s="76"/>
      <c r="G1141" s="76"/>
      <c r="H1141" s="76"/>
      <c r="I1141" s="76"/>
      <c r="J1141" s="76"/>
      <c r="K1141" s="76"/>
      <c r="L1141" s="76"/>
      <c r="M1141" s="76" t="s">
        <v>4396</v>
      </c>
      <c r="N1141" s="76"/>
      <c r="O1141" s="76"/>
      <c r="P1141" s="76"/>
      <c r="Q1141" s="76"/>
      <c r="R1141" s="76"/>
      <c r="S1141" s="76"/>
      <c r="T1141" s="76"/>
      <c r="U1141" s="76" t="s">
        <v>4397</v>
      </c>
      <c r="V1141" s="76"/>
      <c r="W1141" s="76"/>
      <c r="X1141" s="76"/>
    </row>
    <row r="1142" ht="18.0" customHeight="1">
      <c r="A1142" s="76"/>
      <c r="B1142" s="76"/>
      <c r="C1142" s="76"/>
      <c r="D1142" s="76"/>
      <c r="E1142" s="76"/>
      <c r="F1142" s="76"/>
      <c r="G1142" s="76"/>
      <c r="H1142" s="76"/>
      <c r="I1142" s="76"/>
      <c r="J1142" s="76"/>
      <c r="K1142" s="76"/>
      <c r="L1142" s="76"/>
      <c r="M1142" s="76" t="s">
        <v>4398</v>
      </c>
      <c r="N1142" s="76"/>
      <c r="O1142" s="76"/>
      <c r="P1142" s="76"/>
      <c r="Q1142" s="76"/>
      <c r="R1142" s="76"/>
      <c r="S1142" s="76"/>
      <c r="T1142" s="76"/>
      <c r="U1142" s="76" t="s">
        <v>4399</v>
      </c>
      <c r="V1142" s="76"/>
      <c r="W1142" s="76"/>
      <c r="X1142" s="76"/>
    </row>
    <row r="1143" ht="18.0" customHeight="1">
      <c r="A1143" s="76"/>
      <c r="B1143" s="76"/>
      <c r="C1143" s="76"/>
      <c r="D1143" s="76"/>
      <c r="E1143" s="76"/>
      <c r="F1143" s="76"/>
      <c r="G1143" s="76"/>
      <c r="H1143" s="76"/>
      <c r="I1143" s="76"/>
      <c r="J1143" s="76"/>
      <c r="K1143" s="76"/>
      <c r="L1143" s="76"/>
      <c r="M1143" s="76" t="s">
        <v>4400</v>
      </c>
      <c r="N1143" s="76"/>
      <c r="O1143" s="76"/>
      <c r="P1143" s="76"/>
      <c r="Q1143" s="76"/>
      <c r="R1143" s="76"/>
      <c r="S1143" s="76"/>
      <c r="T1143" s="76"/>
      <c r="U1143" s="76" t="s">
        <v>4401</v>
      </c>
      <c r="V1143" s="76"/>
      <c r="W1143" s="76"/>
      <c r="X1143" s="76"/>
    </row>
    <row r="1144" ht="18.0" customHeight="1">
      <c r="A1144" s="76"/>
      <c r="B1144" s="76"/>
      <c r="C1144" s="76"/>
      <c r="D1144" s="76"/>
      <c r="E1144" s="76"/>
      <c r="F1144" s="76"/>
      <c r="G1144" s="76"/>
      <c r="H1144" s="76"/>
      <c r="I1144" s="76"/>
      <c r="J1144" s="76"/>
      <c r="K1144" s="76"/>
      <c r="L1144" s="76"/>
      <c r="M1144" s="76" t="s">
        <v>4402</v>
      </c>
      <c r="N1144" s="76"/>
      <c r="O1144" s="76"/>
      <c r="P1144" s="76"/>
      <c r="Q1144" s="76"/>
      <c r="R1144" s="76"/>
      <c r="S1144" s="76"/>
      <c r="T1144" s="76"/>
      <c r="U1144" s="76" t="s">
        <v>4403</v>
      </c>
      <c r="V1144" s="76"/>
      <c r="W1144" s="76"/>
      <c r="X1144" s="76"/>
    </row>
    <row r="1145" ht="18.0" customHeight="1">
      <c r="A1145" s="76"/>
      <c r="B1145" s="76"/>
      <c r="C1145" s="76"/>
      <c r="D1145" s="76"/>
      <c r="E1145" s="76"/>
      <c r="F1145" s="76"/>
      <c r="G1145" s="76"/>
      <c r="H1145" s="76"/>
      <c r="I1145" s="76"/>
      <c r="J1145" s="76"/>
      <c r="K1145" s="76"/>
      <c r="L1145" s="76"/>
      <c r="M1145" s="76" t="s">
        <v>4404</v>
      </c>
      <c r="N1145" s="76"/>
      <c r="O1145" s="76"/>
      <c r="P1145" s="76"/>
      <c r="Q1145" s="76"/>
      <c r="R1145" s="76"/>
      <c r="S1145" s="76"/>
      <c r="T1145" s="76"/>
      <c r="U1145" s="76" t="s">
        <v>4405</v>
      </c>
      <c r="V1145" s="76"/>
      <c r="W1145" s="76"/>
      <c r="X1145" s="76"/>
    </row>
    <row r="1146" ht="18.0" customHeight="1">
      <c r="A1146" s="76"/>
      <c r="B1146" s="76"/>
      <c r="C1146" s="76"/>
      <c r="D1146" s="76"/>
      <c r="E1146" s="76"/>
      <c r="F1146" s="76"/>
      <c r="G1146" s="76"/>
      <c r="H1146" s="76"/>
      <c r="I1146" s="76"/>
      <c r="J1146" s="76"/>
      <c r="K1146" s="76"/>
      <c r="L1146" s="76"/>
      <c r="M1146" s="76" t="s">
        <v>4406</v>
      </c>
      <c r="N1146" s="76"/>
      <c r="O1146" s="76"/>
      <c r="P1146" s="76"/>
      <c r="Q1146" s="76"/>
      <c r="R1146" s="76"/>
      <c r="S1146" s="76"/>
      <c r="T1146" s="76"/>
      <c r="U1146" s="76" t="s">
        <v>4407</v>
      </c>
      <c r="V1146" s="76"/>
      <c r="W1146" s="76"/>
      <c r="X1146" s="76"/>
    </row>
    <row r="1147" ht="18.0" customHeight="1">
      <c r="A1147" s="76"/>
      <c r="B1147" s="76"/>
      <c r="C1147" s="76"/>
      <c r="D1147" s="76"/>
      <c r="E1147" s="76"/>
      <c r="F1147" s="76"/>
      <c r="G1147" s="76"/>
      <c r="H1147" s="76"/>
      <c r="I1147" s="76"/>
      <c r="J1147" s="76"/>
      <c r="K1147" s="76"/>
      <c r="L1147" s="76"/>
      <c r="M1147" s="76" t="s">
        <v>4408</v>
      </c>
      <c r="N1147" s="76"/>
      <c r="O1147" s="76"/>
      <c r="P1147" s="76"/>
      <c r="Q1147" s="76"/>
      <c r="R1147" s="76"/>
      <c r="S1147" s="76"/>
      <c r="T1147" s="76"/>
      <c r="U1147" s="76" t="s">
        <v>4409</v>
      </c>
      <c r="V1147" s="76"/>
      <c r="W1147" s="76"/>
      <c r="X1147" s="76"/>
    </row>
    <row r="1148" ht="18.0" customHeight="1">
      <c r="A1148" s="76"/>
      <c r="B1148" s="76"/>
      <c r="C1148" s="76"/>
      <c r="D1148" s="76"/>
      <c r="E1148" s="76"/>
      <c r="F1148" s="76"/>
      <c r="G1148" s="76"/>
      <c r="H1148" s="76"/>
      <c r="I1148" s="76"/>
      <c r="J1148" s="76"/>
      <c r="K1148" s="76"/>
      <c r="L1148" s="76"/>
      <c r="M1148" s="76" t="s">
        <v>4410</v>
      </c>
      <c r="N1148" s="76"/>
      <c r="O1148" s="76"/>
      <c r="P1148" s="76"/>
      <c r="Q1148" s="76"/>
      <c r="R1148" s="76"/>
      <c r="S1148" s="76"/>
      <c r="T1148" s="76"/>
      <c r="U1148" s="76" t="s">
        <v>4411</v>
      </c>
      <c r="V1148" s="76"/>
      <c r="W1148" s="76"/>
      <c r="X1148" s="76"/>
    </row>
    <row r="1149" ht="18.0" customHeight="1">
      <c r="A1149" s="76"/>
      <c r="B1149" s="76"/>
      <c r="C1149" s="76"/>
      <c r="D1149" s="76"/>
      <c r="E1149" s="76"/>
      <c r="F1149" s="76"/>
      <c r="G1149" s="76"/>
      <c r="H1149" s="76"/>
      <c r="I1149" s="76"/>
      <c r="J1149" s="76"/>
      <c r="K1149" s="76"/>
      <c r="L1149" s="76"/>
      <c r="M1149" s="76" t="s">
        <v>4412</v>
      </c>
      <c r="N1149" s="76"/>
      <c r="O1149" s="76"/>
      <c r="P1149" s="76"/>
      <c r="Q1149" s="76"/>
      <c r="R1149" s="76"/>
      <c r="S1149" s="76"/>
      <c r="T1149" s="76"/>
      <c r="U1149" s="76" t="s">
        <v>4413</v>
      </c>
      <c r="V1149" s="76"/>
      <c r="W1149" s="76"/>
      <c r="X1149" s="76"/>
    </row>
    <row r="1150" ht="18.0" customHeight="1">
      <c r="A1150" s="76"/>
      <c r="B1150" s="76"/>
      <c r="C1150" s="76"/>
      <c r="D1150" s="76"/>
      <c r="E1150" s="76"/>
      <c r="F1150" s="76"/>
      <c r="G1150" s="76"/>
      <c r="H1150" s="76"/>
      <c r="I1150" s="76"/>
      <c r="J1150" s="76"/>
      <c r="K1150" s="76"/>
      <c r="L1150" s="76"/>
      <c r="M1150" s="76" t="s">
        <v>4414</v>
      </c>
      <c r="N1150" s="76"/>
      <c r="O1150" s="76"/>
      <c r="P1150" s="76"/>
      <c r="Q1150" s="76"/>
      <c r="R1150" s="76"/>
      <c r="S1150" s="76"/>
      <c r="T1150" s="76"/>
      <c r="U1150" s="76" t="s">
        <v>4415</v>
      </c>
      <c r="V1150" s="76"/>
      <c r="W1150" s="76"/>
      <c r="X1150" s="76"/>
    </row>
    <row r="1151" ht="18.0" customHeight="1">
      <c r="A1151" s="76"/>
      <c r="B1151" s="76"/>
      <c r="C1151" s="76"/>
      <c r="D1151" s="76"/>
      <c r="E1151" s="76"/>
      <c r="F1151" s="76"/>
      <c r="G1151" s="76"/>
      <c r="H1151" s="76"/>
      <c r="I1151" s="76"/>
      <c r="J1151" s="76"/>
      <c r="K1151" s="76"/>
      <c r="L1151" s="76"/>
      <c r="M1151" s="76" t="s">
        <v>4416</v>
      </c>
      <c r="N1151" s="76"/>
      <c r="O1151" s="76"/>
      <c r="P1151" s="76"/>
      <c r="Q1151" s="76"/>
      <c r="R1151" s="76"/>
      <c r="S1151" s="76"/>
      <c r="T1151" s="76"/>
      <c r="U1151" s="76" t="s">
        <v>4417</v>
      </c>
      <c r="V1151" s="76"/>
      <c r="W1151" s="76"/>
      <c r="X1151" s="76"/>
    </row>
    <row r="1152" ht="18.0" customHeight="1">
      <c r="A1152" s="76"/>
      <c r="B1152" s="76"/>
      <c r="C1152" s="76"/>
      <c r="D1152" s="76"/>
      <c r="E1152" s="76"/>
      <c r="F1152" s="76"/>
      <c r="G1152" s="76"/>
      <c r="H1152" s="76"/>
      <c r="I1152" s="76"/>
      <c r="J1152" s="76"/>
      <c r="K1152" s="76"/>
      <c r="L1152" s="76"/>
      <c r="M1152" s="76" t="s">
        <v>4418</v>
      </c>
      <c r="N1152" s="76"/>
      <c r="O1152" s="76"/>
      <c r="P1152" s="76"/>
      <c r="Q1152" s="76"/>
      <c r="R1152" s="76"/>
      <c r="S1152" s="76"/>
      <c r="T1152" s="76"/>
      <c r="U1152" s="76" t="s">
        <v>4419</v>
      </c>
      <c r="V1152" s="76"/>
      <c r="W1152" s="76"/>
      <c r="X1152" s="76"/>
    </row>
    <row r="1153" ht="18.0" customHeight="1">
      <c r="A1153" s="76"/>
      <c r="B1153" s="76"/>
      <c r="C1153" s="76"/>
      <c r="D1153" s="76"/>
      <c r="E1153" s="76"/>
      <c r="F1153" s="76"/>
      <c r="G1153" s="76"/>
      <c r="H1153" s="76"/>
      <c r="I1153" s="76"/>
      <c r="J1153" s="76"/>
      <c r="K1153" s="76"/>
      <c r="L1153" s="76"/>
      <c r="M1153" s="76" t="s">
        <v>4420</v>
      </c>
      <c r="N1153" s="76"/>
      <c r="O1153" s="76"/>
      <c r="P1153" s="76"/>
      <c r="Q1153" s="76"/>
      <c r="R1153" s="76"/>
      <c r="S1153" s="76"/>
      <c r="T1153" s="76"/>
      <c r="U1153" s="76" t="s">
        <v>4421</v>
      </c>
      <c r="V1153" s="76"/>
      <c r="W1153" s="76"/>
      <c r="X1153" s="76"/>
    </row>
    <row r="1154" ht="18.0" customHeight="1">
      <c r="A1154" s="76"/>
      <c r="B1154" s="76"/>
      <c r="C1154" s="76"/>
      <c r="D1154" s="76"/>
      <c r="E1154" s="76"/>
      <c r="F1154" s="76"/>
      <c r="G1154" s="76"/>
      <c r="H1154" s="76"/>
      <c r="I1154" s="76"/>
      <c r="J1154" s="76"/>
      <c r="K1154" s="76"/>
      <c r="L1154" s="76"/>
      <c r="M1154" s="76" t="s">
        <v>4422</v>
      </c>
      <c r="N1154" s="76"/>
      <c r="O1154" s="76"/>
      <c r="P1154" s="76"/>
      <c r="Q1154" s="76"/>
      <c r="R1154" s="76"/>
      <c r="S1154" s="76"/>
      <c r="T1154" s="76"/>
      <c r="U1154" s="76" t="s">
        <v>4423</v>
      </c>
      <c r="V1154" s="76"/>
      <c r="W1154" s="76"/>
      <c r="X1154" s="76"/>
    </row>
    <row r="1155" ht="18.0" customHeight="1">
      <c r="A1155" s="76"/>
      <c r="B1155" s="76"/>
      <c r="C1155" s="76"/>
      <c r="D1155" s="76"/>
      <c r="E1155" s="76"/>
      <c r="F1155" s="76"/>
      <c r="G1155" s="76"/>
      <c r="H1155" s="76"/>
      <c r="I1155" s="76"/>
      <c r="J1155" s="76"/>
      <c r="K1155" s="76"/>
      <c r="L1155" s="76"/>
      <c r="M1155" s="76" t="s">
        <v>4424</v>
      </c>
      <c r="N1155" s="76"/>
      <c r="O1155" s="76"/>
      <c r="P1155" s="76"/>
      <c r="Q1155" s="76"/>
      <c r="R1155" s="76"/>
      <c r="S1155" s="76"/>
      <c r="T1155" s="76"/>
      <c r="U1155" s="76" t="s">
        <v>4425</v>
      </c>
      <c r="V1155" s="76"/>
      <c r="W1155" s="76"/>
      <c r="X1155" s="76"/>
    </row>
    <row r="1156" ht="18.0" customHeight="1">
      <c r="A1156" s="76"/>
      <c r="B1156" s="76"/>
      <c r="C1156" s="76"/>
      <c r="D1156" s="76"/>
      <c r="E1156" s="76"/>
      <c r="F1156" s="76"/>
      <c r="G1156" s="76"/>
      <c r="H1156" s="76"/>
      <c r="I1156" s="76"/>
      <c r="J1156" s="76"/>
      <c r="K1156" s="76"/>
      <c r="L1156" s="76"/>
      <c r="M1156" s="76" t="s">
        <v>4426</v>
      </c>
      <c r="N1156" s="76"/>
      <c r="O1156" s="76"/>
      <c r="P1156" s="76"/>
      <c r="Q1156" s="76"/>
      <c r="R1156" s="76"/>
      <c r="S1156" s="76"/>
      <c r="T1156" s="76"/>
      <c r="U1156" s="76" t="s">
        <v>4427</v>
      </c>
      <c r="V1156" s="76"/>
      <c r="W1156" s="76"/>
      <c r="X1156" s="76"/>
    </row>
    <row r="1157" ht="18.0" customHeight="1">
      <c r="A1157" s="76"/>
      <c r="B1157" s="76"/>
      <c r="C1157" s="76"/>
      <c r="D1157" s="76"/>
      <c r="E1157" s="76"/>
      <c r="F1157" s="76"/>
      <c r="G1157" s="76"/>
      <c r="H1157" s="76"/>
      <c r="I1157" s="76"/>
      <c r="J1157" s="76"/>
      <c r="K1157" s="76"/>
      <c r="L1157" s="76"/>
      <c r="M1157" s="76" t="s">
        <v>4428</v>
      </c>
      <c r="N1157" s="76"/>
      <c r="O1157" s="76"/>
      <c r="P1157" s="76"/>
      <c r="Q1157" s="76"/>
      <c r="R1157" s="76"/>
      <c r="S1157" s="76"/>
      <c r="T1157" s="76"/>
      <c r="U1157" s="76" t="s">
        <v>4429</v>
      </c>
      <c r="V1157" s="76"/>
      <c r="W1157" s="76"/>
      <c r="X1157" s="76"/>
    </row>
    <row r="1158" ht="18.0" customHeight="1">
      <c r="A1158" s="76"/>
      <c r="B1158" s="76"/>
      <c r="C1158" s="76"/>
      <c r="D1158" s="76"/>
      <c r="E1158" s="76"/>
      <c r="F1158" s="76"/>
      <c r="G1158" s="76"/>
      <c r="H1158" s="76"/>
      <c r="I1158" s="76"/>
      <c r="J1158" s="76"/>
      <c r="K1158" s="76"/>
      <c r="L1158" s="76"/>
      <c r="M1158" s="76" t="s">
        <v>4430</v>
      </c>
      <c r="N1158" s="76"/>
      <c r="O1158" s="76"/>
      <c r="P1158" s="76"/>
      <c r="Q1158" s="76"/>
      <c r="R1158" s="76"/>
      <c r="S1158" s="76"/>
      <c r="T1158" s="76"/>
      <c r="U1158" s="76" t="s">
        <v>4431</v>
      </c>
      <c r="V1158" s="76"/>
      <c r="W1158" s="76"/>
      <c r="X1158" s="76"/>
    </row>
    <row r="1159" ht="18.0" customHeight="1">
      <c r="A1159" s="76"/>
      <c r="B1159" s="76"/>
      <c r="C1159" s="76"/>
      <c r="D1159" s="76"/>
      <c r="E1159" s="76"/>
      <c r="F1159" s="76"/>
      <c r="G1159" s="76"/>
      <c r="H1159" s="76"/>
      <c r="I1159" s="76"/>
      <c r="J1159" s="76"/>
      <c r="K1159" s="76"/>
      <c r="L1159" s="76"/>
      <c r="M1159" s="76" t="s">
        <v>4432</v>
      </c>
      <c r="N1159" s="76"/>
      <c r="O1159" s="76"/>
      <c r="P1159" s="76"/>
      <c r="Q1159" s="76"/>
      <c r="R1159" s="76"/>
      <c r="S1159" s="76"/>
      <c r="T1159" s="76"/>
      <c r="U1159" s="76" t="s">
        <v>4433</v>
      </c>
      <c r="V1159" s="76"/>
      <c r="W1159" s="76"/>
      <c r="X1159" s="76"/>
    </row>
    <row r="1160" ht="18.0" customHeight="1">
      <c r="A1160" s="76"/>
      <c r="B1160" s="76"/>
      <c r="C1160" s="76"/>
      <c r="D1160" s="76"/>
      <c r="E1160" s="76"/>
      <c r="F1160" s="76"/>
      <c r="G1160" s="76"/>
      <c r="H1160" s="76"/>
      <c r="I1160" s="76"/>
      <c r="J1160" s="76"/>
      <c r="K1160" s="76"/>
      <c r="L1160" s="76"/>
      <c r="M1160" s="76" t="s">
        <v>4434</v>
      </c>
      <c r="N1160" s="76"/>
      <c r="O1160" s="76"/>
      <c r="P1160" s="76"/>
      <c r="Q1160" s="76"/>
      <c r="R1160" s="76"/>
      <c r="S1160" s="76"/>
      <c r="T1160" s="76"/>
      <c r="U1160" s="76" t="s">
        <v>4435</v>
      </c>
      <c r="V1160" s="76"/>
      <c r="W1160" s="76"/>
      <c r="X1160" s="76"/>
    </row>
    <row r="1161" ht="18.0" customHeight="1">
      <c r="A1161" s="76"/>
      <c r="B1161" s="76"/>
      <c r="C1161" s="76"/>
      <c r="D1161" s="76"/>
      <c r="E1161" s="76"/>
      <c r="F1161" s="76"/>
      <c r="G1161" s="76"/>
      <c r="H1161" s="76"/>
      <c r="I1161" s="76"/>
      <c r="J1161" s="76"/>
      <c r="K1161" s="76"/>
      <c r="L1161" s="76"/>
      <c r="M1161" s="76" t="s">
        <v>4436</v>
      </c>
      <c r="N1161" s="76"/>
      <c r="O1161" s="76"/>
      <c r="P1161" s="76"/>
      <c r="Q1161" s="76"/>
      <c r="R1161" s="76"/>
      <c r="S1161" s="76"/>
      <c r="T1161" s="76"/>
      <c r="U1161" s="76" t="s">
        <v>4437</v>
      </c>
      <c r="V1161" s="76"/>
      <c r="W1161" s="76"/>
      <c r="X1161" s="76"/>
    </row>
    <row r="1162" ht="18.0" customHeight="1">
      <c r="A1162" s="76"/>
      <c r="B1162" s="76"/>
      <c r="C1162" s="76"/>
      <c r="D1162" s="76"/>
      <c r="E1162" s="76"/>
      <c r="F1162" s="76"/>
      <c r="G1162" s="76"/>
      <c r="H1162" s="76"/>
      <c r="I1162" s="76"/>
      <c r="J1162" s="76"/>
      <c r="K1162" s="76"/>
      <c r="L1162" s="76"/>
      <c r="M1162" s="76" t="s">
        <v>4438</v>
      </c>
      <c r="N1162" s="76"/>
      <c r="O1162" s="76"/>
      <c r="P1162" s="76"/>
      <c r="Q1162" s="76"/>
      <c r="R1162" s="76"/>
      <c r="S1162" s="76"/>
      <c r="T1162" s="76"/>
      <c r="U1162" s="76" t="s">
        <v>4439</v>
      </c>
      <c r="V1162" s="76"/>
      <c r="W1162" s="76"/>
      <c r="X1162" s="76"/>
    </row>
    <row r="1163" ht="18.0" customHeight="1">
      <c r="A1163" s="76"/>
      <c r="B1163" s="76"/>
      <c r="C1163" s="76"/>
      <c r="D1163" s="76"/>
      <c r="E1163" s="76"/>
      <c r="F1163" s="76"/>
      <c r="G1163" s="76"/>
      <c r="H1163" s="76"/>
      <c r="I1163" s="76"/>
      <c r="J1163" s="76"/>
      <c r="K1163" s="76"/>
      <c r="L1163" s="76"/>
      <c r="M1163" s="76" t="s">
        <v>4440</v>
      </c>
      <c r="N1163" s="76"/>
      <c r="O1163" s="76"/>
      <c r="P1163" s="76"/>
      <c r="Q1163" s="76"/>
      <c r="R1163" s="76"/>
      <c r="S1163" s="76"/>
      <c r="T1163" s="76"/>
      <c r="U1163" s="76" t="s">
        <v>4441</v>
      </c>
      <c r="V1163" s="76"/>
      <c r="W1163" s="76"/>
      <c r="X1163" s="76"/>
    </row>
    <row r="1164" ht="18.0" customHeight="1">
      <c r="A1164" s="76"/>
      <c r="B1164" s="76"/>
      <c r="C1164" s="76"/>
      <c r="D1164" s="76"/>
      <c r="E1164" s="76"/>
      <c r="F1164" s="76"/>
      <c r="G1164" s="76"/>
      <c r="H1164" s="76"/>
      <c r="I1164" s="76"/>
      <c r="J1164" s="76"/>
      <c r="K1164" s="76"/>
      <c r="L1164" s="76"/>
      <c r="M1164" s="76" t="s">
        <v>4442</v>
      </c>
      <c r="N1164" s="76"/>
      <c r="O1164" s="76"/>
      <c r="P1164" s="76"/>
      <c r="Q1164" s="76"/>
      <c r="R1164" s="76"/>
      <c r="S1164" s="76"/>
      <c r="T1164" s="76"/>
      <c r="U1164" s="76" t="s">
        <v>4443</v>
      </c>
      <c r="V1164" s="76"/>
      <c r="W1164" s="76"/>
      <c r="X1164" s="76"/>
    </row>
    <row r="1165" ht="18.0" customHeight="1">
      <c r="A1165" s="76"/>
      <c r="B1165" s="76"/>
      <c r="C1165" s="76"/>
      <c r="D1165" s="76"/>
      <c r="E1165" s="76"/>
      <c r="F1165" s="76"/>
      <c r="G1165" s="76"/>
      <c r="H1165" s="76"/>
      <c r="I1165" s="76"/>
      <c r="J1165" s="76"/>
      <c r="K1165" s="76"/>
      <c r="L1165" s="76"/>
      <c r="M1165" s="76" t="s">
        <v>4444</v>
      </c>
      <c r="N1165" s="76"/>
      <c r="O1165" s="76"/>
      <c r="P1165" s="76"/>
      <c r="Q1165" s="76"/>
      <c r="R1165" s="76"/>
      <c r="S1165" s="76"/>
      <c r="T1165" s="76"/>
      <c r="U1165" s="76" t="s">
        <v>4445</v>
      </c>
      <c r="V1165" s="76"/>
      <c r="W1165" s="76"/>
      <c r="X1165" s="76"/>
    </row>
    <row r="1166" ht="18.0" customHeight="1">
      <c r="A1166" s="76"/>
      <c r="B1166" s="76"/>
      <c r="C1166" s="76"/>
      <c r="D1166" s="76"/>
      <c r="E1166" s="76"/>
      <c r="F1166" s="76"/>
      <c r="G1166" s="76"/>
      <c r="H1166" s="76"/>
      <c r="I1166" s="76"/>
      <c r="J1166" s="76"/>
      <c r="K1166" s="76"/>
      <c r="L1166" s="76"/>
      <c r="M1166" s="76" t="s">
        <v>4446</v>
      </c>
      <c r="N1166" s="76"/>
      <c r="O1166" s="76"/>
      <c r="P1166" s="76"/>
      <c r="Q1166" s="76"/>
      <c r="R1166" s="76"/>
      <c r="S1166" s="76"/>
      <c r="T1166" s="76"/>
      <c r="U1166" s="76" t="s">
        <v>4447</v>
      </c>
      <c r="V1166" s="76"/>
      <c r="W1166" s="76"/>
      <c r="X1166" s="76"/>
    </row>
    <row r="1167" ht="18.0" customHeight="1">
      <c r="A1167" s="76"/>
      <c r="B1167" s="76"/>
      <c r="C1167" s="76"/>
      <c r="D1167" s="76"/>
      <c r="E1167" s="76"/>
      <c r="F1167" s="76"/>
      <c r="G1167" s="76"/>
      <c r="H1167" s="76"/>
      <c r="I1167" s="76"/>
      <c r="J1167" s="76"/>
      <c r="K1167" s="76"/>
      <c r="L1167" s="76"/>
      <c r="M1167" s="76" t="s">
        <v>4448</v>
      </c>
      <c r="N1167" s="76"/>
      <c r="O1167" s="76"/>
      <c r="P1167" s="76"/>
      <c r="Q1167" s="76"/>
      <c r="R1167" s="76"/>
      <c r="S1167" s="76"/>
      <c r="T1167" s="76"/>
      <c r="U1167" s="76" t="s">
        <v>4449</v>
      </c>
      <c r="V1167" s="76"/>
      <c r="W1167" s="76"/>
      <c r="X1167" s="76"/>
    </row>
    <row r="1168" ht="18.0" customHeight="1">
      <c r="A1168" s="76"/>
      <c r="B1168" s="76"/>
      <c r="C1168" s="76"/>
      <c r="D1168" s="76"/>
      <c r="E1168" s="76"/>
      <c r="F1168" s="76"/>
      <c r="G1168" s="76"/>
      <c r="H1168" s="76"/>
      <c r="I1168" s="76"/>
      <c r="J1168" s="76"/>
      <c r="K1168" s="76"/>
      <c r="L1168" s="76"/>
      <c r="M1168" s="76" t="s">
        <v>4450</v>
      </c>
      <c r="N1168" s="76"/>
      <c r="O1168" s="76"/>
      <c r="P1168" s="76"/>
      <c r="Q1168" s="76"/>
      <c r="R1168" s="76"/>
      <c r="S1168" s="76"/>
      <c r="T1168" s="76"/>
      <c r="U1168" s="76" t="s">
        <v>4451</v>
      </c>
      <c r="V1168" s="76"/>
      <c r="W1168" s="76"/>
      <c r="X1168" s="76"/>
    </row>
    <row r="1169" ht="18.0" customHeight="1">
      <c r="A1169" s="76"/>
      <c r="B1169" s="76"/>
      <c r="C1169" s="76"/>
      <c r="D1169" s="76"/>
      <c r="E1169" s="76"/>
      <c r="F1169" s="76"/>
      <c r="G1169" s="76"/>
      <c r="H1169" s="76"/>
      <c r="I1169" s="76"/>
      <c r="J1169" s="76"/>
      <c r="K1169" s="76"/>
      <c r="L1169" s="76"/>
      <c r="M1169" s="76" t="s">
        <v>4452</v>
      </c>
      <c r="N1169" s="76"/>
      <c r="O1169" s="76"/>
      <c r="P1169" s="76"/>
      <c r="Q1169" s="76"/>
      <c r="R1169" s="76"/>
      <c r="S1169" s="76"/>
      <c r="T1169" s="76"/>
      <c r="U1169" s="76" t="s">
        <v>4453</v>
      </c>
      <c r="V1169" s="76"/>
      <c r="W1169" s="76"/>
      <c r="X1169" s="76"/>
    </row>
    <row r="1170" ht="18.0" customHeight="1">
      <c r="A1170" s="76"/>
      <c r="B1170" s="76"/>
      <c r="C1170" s="76"/>
      <c r="D1170" s="76"/>
      <c r="E1170" s="76"/>
      <c r="F1170" s="76"/>
      <c r="G1170" s="76"/>
      <c r="H1170" s="76"/>
      <c r="I1170" s="76"/>
      <c r="J1170" s="76"/>
      <c r="K1170" s="76"/>
      <c r="L1170" s="76"/>
      <c r="M1170" s="76" t="s">
        <v>4454</v>
      </c>
      <c r="N1170" s="76"/>
      <c r="O1170" s="76"/>
      <c r="P1170" s="76"/>
      <c r="Q1170" s="76"/>
      <c r="R1170" s="76"/>
      <c r="S1170" s="76"/>
      <c r="T1170" s="76"/>
      <c r="U1170" s="76" t="s">
        <v>4455</v>
      </c>
      <c r="V1170" s="76"/>
      <c r="W1170" s="76"/>
      <c r="X1170" s="76"/>
    </row>
    <row r="1171" ht="18.0" customHeight="1">
      <c r="A1171" s="76"/>
      <c r="B1171" s="76"/>
      <c r="C1171" s="76"/>
      <c r="D1171" s="76"/>
      <c r="E1171" s="76"/>
      <c r="F1171" s="76"/>
      <c r="G1171" s="76"/>
      <c r="H1171" s="76"/>
      <c r="I1171" s="76"/>
      <c r="J1171" s="76"/>
      <c r="K1171" s="76"/>
      <c r="L1171" s="76"/>
      <c r="M1171" s="76" t="s">
        <v>4456</v>
      </c>
      <c r="N1171" s="76"/>
      <c r="O1171" s="76"/>
      <c r="P1171" s="76"/>
      <c r="Q1171" s="76"/>
      <c r="R1171" s="76"/>
      <c r="S1171" s="76"/>
      <c r="T1171" s="76"/>
      <c r="U1171" s="76" t="s">
        <v>4457</v>
      </c>
      <c r="V1171" s="76"/>
      <c r="W1171" s="76"/>
      <c r="X1171" s="76"/>
    </row>
    <row r="1172" ht="18.0" customHeight="1">
      <c r="A1172" s="76"/>
      <c r="B1172" s="76"/>
      <c r="C1172" s="76"/>
      <c r="D1172" s="76"/>
      <c r="E1172" s="76"/>
      <c r="F1172" s="76"/>
      <c r="G1172" s="76"/>
      <c r="H1172" s="76"/>
      <c r="I1172" s="76"/>
      <c r="J1172" s="76"/>
      <c r="K1172" s="76"/>
      <c r="L1172" s="76"/>
      <c r="M1172" s="76" t="s">
        <v>4458</v>
      </c>
      <c r="N1172" s="76"/>
      <c r="O1172" s="76"/>
      <c r="P1172" s="76"/>
      <c r="Q1172" s="76"/>
      <c r="R1172" s="76"/>
      <c r="S1172" s="76"/>
      <c r="T1172" s="76"/>
      <c r="U1172" s="76" t="s">
        <v>4459</v>
      </c>
      <c r="V1172" s="76"/>
      <c r="W1172" s="76"/>
      <c r="X1172" s="76"/>
    </row>
    <row r="1173" ht="18.0" customHeight="1">
      <c r="A1173" s="76"/>
      <c r="B1173" s="76"/>
      <c r="C1173" s="76"/>
      <c r="D1173" s="76"/>
      <c r="E1173" s="76"/>
      <c r="F1173" s="76"/>
      <c r="G1173" s="76"/>
      <c r="H1173" s="76"/>
      <c r="I1173" s="76"/>
      <c r="J1173" s="76"/>
      <c r="K1173" s="76"/>
      <c r="L1173" s="76"/>
      <c r="M1173" s="76" t="s">
        <v>4460</v>
      </c>
      <c r="N1173" s="76"/>
      <c r="O1173" s="76"/>
      <c r="P1173" s="76"/>
      <c r="Q1173" s="76"/>
      <c r="R1173" s="76"/>
      <c r="S1173" s="76"/>
      <c r="T1173" s="76"/>
      <c r="U1173" s="76" t="s">
        <v>4461</v>
      </c>
      <c r="V1173" s="76"/>
      <c r="W1173" s="76"/>
      <c r="X1173" s="76"/>
    </row>
    <row r="1174" ht="18.0" customHeight="1">
      <c r="A1174" s="76"/>
      <c r="B1174" s="76"/>
      <c r="C1174" s="76"/>
      <c r="D1174" s="76"/>
      <c r="E1174" s="76"/>
      <c r="F1174" s="76"/>
      <c r="G1174" s="76"/>
      <c r="H1174" s="76"/>
      <c r="I1174" s="76"/>
      <c r="J1174" s="76"/>
      <c r="K1174" s="76"/>
      <c r="L1174" s="76"/>
      <c r="M1174" s="76" t="s">
        <v>4462</v>
      </c>
      <c r="N1174" s="76"/>
      <c r="O1174" s="76"/>
      <c r="P1174" s="76"/>
      <c r="Q1174" s="76"/>
      <c r="R1174" s="76"/>
      <c r="S1174" s="76"/>
      <c r="T1174" s="76"/>
      <c r="U1174" s="76" t="s">
        <v>4463</v>
      </c>
      <c r="V1174" s="76"/>
      <c r="W1174" s="76"/>
      <c r="X1174" s="76"/>
    </row>
    <row r="1175" ht="18.0" customHeight="1">
      <c r="A1175" s="76"/>
      <c r="B1175" s="76"/>
      <c r="C1175" s="76"/>
      <c r="D1175" s="76"/>
      <c r="E1175" s="76"/>
      <c r="F1175" s="76"/>
      <c r="G1175" s="76"/>
      <c r="H1175" s="76"/>
      <c r="I1175" s="76"/>
      <c r="J1175" s="76"/>
      <c r="K1175" s="76"/>
      <c r="L1175" s="76"/>
      <c r="M1175" s="76" t="s">
        <v>4464</v>
      </c>
      <c r="N1175" s="76"/>
      <c r="O1175" s="76"/>
      <c r="P1175" s="76"/>
      <c r="Q1175" s="76"/>
      <c r="R1175" s="76"/>
      <c r="S1175" s="76"/>
      <c r="T1175" s="76"/>
      <c r="U1175" s="76" t="s">
        <v>4465</v>
      </c>
      <c r="V1175" s="76"/>
      <c r="W1175" s="76"/>
      <c r="X1175" s="76"/>
    </row>
    <row r="1176" ht="18.0" customHeight="1">
      <c r="A1176" s="76"/>
      <c r="B1176" s="76"/>
      <c r="C1176" s="76"/>
      <c r="D1176" s="76"/>
      <c r="E1176" s="76"/>
      <c r="F1176" s="76"/>
      <c r="G1176" s="76"/>
      <c r="H1176" s="76"/>
      <c r="I1176" s="76"/>
      <c r="J1176" s="76"/>
      <c r="K1176" s="76"/>
      <c r="L1176" s="76"/>
      <c r="M1176" s="76" t="s">
        <v>4466</v>
      </c>
      <c r="N1176" s="76"/>
      <c r="O1176" s="76"/>
      <c r="P1176" s="76"/>
      <c r="Q1176" s="76"/>
      <c r="R1176" s="76"/>
      <c r="S1176" s="76"/>
      <c r="T1176" s="76"/>
      <c r="U1176" s="76" t="s">
        <v>4467</v>
      </c>
      <c r="V1176" s="76"/>
      <c r="W1176" s="76"/>
      <c r="X1176" s="76"/>
    </row>
    <row r="1177" ht="18.0" customHeight="1">
      <c r="A1177" s="76"/>
      <c r="B1177" s="76"/>
      <c r="C1177" s="76"/>
      <c r="D1177" s="76"/>
      <c r="E1177" s="76"/>
      <c r="F1177" s="76"/>
      <c r="G1177" s="76"/>
      <c r="H1177" s="76"/>
      <c r="I1177" s="76"/>
      <c r="J1177" s="76"/>
      <c r="K1177" s="76"/>
      <c r="L1177" s="76"/>
      <c r="M1177" s="76" t="s">
        <v>4468</v>
      </c>
      <c r="N1177" s="76"/>
      <c r="O1177" s="76"/>
      <c r="P1177" s="76"/>
      <c r="Q1177" s="76"/>
      <c r="R1177" s="76"/>
      <c r="S1177" s="76"/>
      <c r="T1177" s="76"/>
      <c r="U1177" s="76" t="s">
        <v>4469</v>
      </c>
      <c r="V1177" s="76"/>
      <c r="W1177" s="76"/>
      <c r="X1177" s="76"/>
    </row>
    <row r="1178" ht="18.0" customHeight="1">
      <c r="A1178" s="76"/>
      <c r="B1178" s="76"/>
      <c r="C1178" s="76"/>
      <c r="D1178" s="76"/>
      <c r="E1178" s="76"/>
      <c r="F1178" s="76"/>
      <c r="G1178" s="76"/>
      <c r="H1178" s="76"/>
      <c r="I1178" s="76"/>
      <c r="J1178" s="76"/>
      <c r="K1178" s="76"/>
      <c r="L1178" s="76"/>
      <c r="M1178" s="76" t="s">
        <v>4470</v>
      </c>
      <c r="N1178" s="76"/>
      <c r="O1178" s="76"/>
      <c r="P1178" s="76"/>
      <c r="Q1178" s="76"/>
      <c r="R1178" s="76"/>
      <c r="S1178" s="76"/>
      <c r="T1178" s="76"/>
      <c r="U1178" s="76" t="s">
        <v>4471</v>
      </c>
      <c r="V1178" s="76"/>
      <c r="W1178" s="76"/>
      <c r="X1178" s="76"/>
    </row>
    <row r="1179" ht="18.0" customHeight="1">
      <c r="A1179" s="76"/>
      <c r="B1179" s="76"/>
      <c r="C1179" s="76"/>
      <c r="D1179" s="76"/>
      <c r="E1179" s="76"/>
      <c r="F1179" s="76"/>
      <c r="G1179" s="76"/>
      <c r="H1179" s="76"/>
      <c r="I1179" s="76"/>
      <c r="J1179" s="76"/>
      <c r="K1179" s="76"/>
      <c r="L1179" s="76"/>
      <c r="M1179" s="76" t="s">
        <v>4472</v>
      </c>
      <c r="N1179" s="76"/>
      <c r="O1179" s="76"/>
      <c r="P1179" s="76"/>
      <c r="Q1179" s="76"/>
      <c r="R1179" s="76"/>
      <c r="S1179" s="76"/>
      <c r="T1179" s="76"/>
      <c r="U1179" s="76" t="s">
        <v>4473</v>
      </c>
      <c r="V1179" s="76"/>
      <c r="W1179" s="76"/>
      <c r="X1179" s="76"/>
    </row>
    <row r="1180" ht="18.0" customHeight="1">
      <c r="A1180" s="76"/>
      <c r="B1180" s="76"/>
      <c r="C1180" s="76"/>
      <c r="D1180" s="76"/>
      <c r="E1180" s="76"/>
      <c r="F1180" s="76"/>
      <c r="G1180" s="76"/>
      <c r="H1180" s="76"/>
      <c r="I1180" s="76"/>
      <c r="J1180" s="76"/>
      <c r="K1180" s="76"/>
      <c r="L1180" s="76"/>
      <c r="M1180" s="76" t="s">
        <v>4474</v>
      </c>
      <c r="N1180" s="76"/>
      <c r="O1180" s="76"/>
      <c r="P1180" s="76"/>
      <c r="Q1180" s="76"/>
      <c r="R1180" s="76"/>
      <c r="S1180" s="76"/>
      <c r="T1180" s="76"/>
      <c r="U1180" s="76" t="s">
        <v>4475</v>
      </c>
      <c r="V1180" s="76"/>
      <c r="W1180" s="76"/>
      <c r="X1180" s="76"/>
    </row>
    <row r="1181" ht="18.0" customHeight="1">
      <c r="A1181" s="76"/>
      <c r="B1181" s="76"/>
      <c r="C1181" s="76"/>
      <c r="D1181" s="76"/>
      <c r="E1181" s="76"/>
      <c r="F1181" s="76"/>
      <c r="G1181" s="76"/>
      <c r="H1181" s="76"/>
      <c r="I1181" s="76"/>
      <c r="J1181" s="76"/>
      <c r="K1181" s="76"/>
      <c r="L1181" s="76"/>
      <c r="M1181" s="76" t="s">
        <v>4476</v>
      </c>
      <c r="N1181" s="76"/>
      <c r="O1181" s="76"/>
      <c r="P1181" s="76"/>
      <c r="Q1181" s="76"/>
      <c r="R1181" s="76"/>
      <c r="S1181" s="76"/>
      <c r="T1181" s="76"/>
      <c r="U1181" s="76" t="s">
        <v>4477</v>
      </c>
      <c r="V1181" s="76"/>
      <c r="W1181" s="76"/>
      <c r="X1181" s="76"/>
    </row>
    <row r="1182" ht="18.0" customHeight="1">
      <c r="A1182" s="76"/>
      <c r="B1182" s="76"/>
      <c r="C1182" s="76"/>
      <c r="D1182" s="76"/>
      <c r="E1182" s="76"/>
      <c r="F1182" s="76"/>
      <c r="G1182" s="76"/>
      <c r="H1182" s="76"/>
      <c r="I1182" s="76"/>
      <c r="J1182" s="76"/>
      <c r="K1182" s="76"/>
      <c r="L1182" s="76"/>
      <c r="M1182" s="76" t="s">
        <v>4478</v>
      </c>
      <c r="N1182" s="76"/>
      <c r="O1182" s="76"/>
      <c r="P1182" s="76"/>
      <c r="Q1182" s="76"/>
      <c r="R1182" s="76"/>
      <c r="S1182" s="76"/>
      <c r="T1182" s="76"/>
      <c r="U1182" s="76" t="s">
        <v>4479</v>
      </c>
      <c r="V1182" s="76"/>
      <c r="W1182" s="76"/>
      <c r="X1182" s="76"/>
    </row>
    <row r="1183" ht="18.0" customHeight="1">
      <c r="A1183" s="76"/>
      <c r="B1183" s="76"/>
      <c r="C1183" s="76"/>
      <c r="D1183" s="76"/>
      <c r="E1183" s="76"/>
      <c r="F1183" s="76"/>
      <c r="G1183" s="76"/>
      <c r="H1183" s="76"/>
      <c r="I1183" s="76"/>
      <c r="J1183" s="76"/>
      <c r="K1183" s="76"/>
      <c r="L1183" s="76"/>
      <c r="M1183" s="76" t="s">
        <v>3208</v>
      </c>
      <c r="N1183" s="76"/>
      <c r="O1183" s="76"/>
      <c r="P1183" s="76"/>
      <c r="Q1183" s="76"/>
      <c r="R1183" s="76"/>
      <c r="S1183" s="76"/>
      <c r="T1183" s="76"/>
      <c r="U1183" s="76" t="s">
        <v>4480</v>
      </c>
      <c r="V1183" s="76"/>
      <c r="W1183" s="76"/>
      <c r="X1183" s="76"/>
    </row>
    <row r="1184" ht="18.0" customHeight="1">
      <c r="A1184" s="76"/>
      <c r="B1184" s="76"/>
      <c r="C1184" s="76"/>
      <c r="D1184" s="76"/>
      <c r="E1184" s="76"/>
      <c r="F1184" s="76"/>
      <c r="G1184" s="76"/>
      <c r="H1184" s="76"/>
      <c r="I1184" s="76"/>
      <c r="J1184" s="76"/>
      <c r="K1184" s="76"/>
      <c r="L1184" s="76"/>
      <c r="M1184" s="76" t="s">
        <v>4481</v>
      </c>
      <c r="N1184" s="76"/>
      <c r="O1184" s="76"/>
      <c r="P1184" s="76"/>
      <c r="Q1184" s="76"/>
      <c r="R1184" s="76"/>
      <c r="S1184" s="76"/>
      <c r="T1184" s="76"/>
      <c r="U1184" s="76" t="s">
        <v>4482</v>
      </c>
      <c r="V1184" s="76"/>
      <c r="W1184" s="76"/>
      <c r="X1184" s="76"/>
    </row>
    <row r="1185" ht="18.0" customHeight="1">
      <c r="A1185" s="76"/>
      <c r="B1185" s="76"/>
      <c r="C1185" s="76"/>
      <c r="D1185" s="76"/>
      <c r="E1185" s="76"/>
      <c r="F1185" s="76"/>
      <c r="G1185" s="76"/>
      <c r="H1185" s="76"/>
      <c r="I1185" s="76"/>
      <c r="J1185" s="76"/>
      <c r="K1185" s="76"/>
      <c r="L1185" s="76"/>
      <c r="M1185" s="76" t="s">
        <v>4483</v>
      </c>
      <c r="N1185" s="76"/>
      <c r="O1185" s="76"/>
      <c r="P1185" s="76"/>
      <c r="Q1185" s="76"/>
      <c r="R1185" s="76"/>
      <c r="S1185" s="76"/>
      <c r="T1185" s="76"/>
      <c r="U1185" s="76" t="s">
        <v>4484</v>
      </c>
      <c r="V1185" s="76"/>
      <c r="W1185" s="76"/>
      <c r="X1185" s="76"/>
    </row>
    <row r="1186" ht="18.0" customHeight="1">
      <c r="A1186" s="76"/>
      <c r="B1186" s="76"/>
      <c r="C1186" s="76"/>
      <c r="D1186" s="76"/>
      <c r="E1186" s="76"/>
      <c r="F1186" s="76"/>
      <c r="G1186" s="76"/>
      <c r="H1186" s="76"/>
      <c r="I1186" s="76"/>
      <c r="J1186" s="76"/>
      <c r="K1186" s="76"/>
      <c r="L1186" s="76"/>
      <c r="M1186" s="76" t="s">
        <v>3202</v>
      </c>
      <c r="N1186" s="76"/>
      <c r="O1186" s="76"/>
      <c r="P1186" s="76"/>
      <c r="Q1186" s="76"/>
      <c r="R1186" s="76"/>
      <c r="S1186" s="76"/>
      <c r="T1186" s="76"/>
      <c r="U1186" s="76" t="s">
        <v>4485</v>
      </c>
      <c r="V1186" s="76"/>
      <c r="W1186" s="76"/>
      <c r="X1186" s="76"/>
    </row>
    <row r="1187" ht="18.0" customHeight="1">
      <c r="A1187" s="76"/>
      <c r="B1187" s="76"/>
      <c r="C1187" s="76"/>
      <c r="D1187" s="76"/>
      <c r="E1187" s="76"/>
      <c r="F1187" s="76"/>
      <c r="G1187" s="76"/>
      <c r="H1187" s="76"/>
      <c r="I1187" s="76"/>
      <c r="J1187" s="76"/>
      <c r="K1187" s="76"/>
      <c r="L1187" s="76"/>
      <c r="M1187" s="76" t="s">
        <v>4486</v>
      </c>
      <c r="N1187" s="76"/>
      <c r="O1187" s="76"/>
      <c r="P1187" s="76"/>
      <c r="Q1187" s="76"/>
      <c r="R1187" s="76"/>
      <c r="S1187" s="76"/>
      <c r="T1187" s="76"/>
      <c r="U1187" s="76" t="s">
        <v>4487</v>
      </c>
      <c r="V1187" s="76"/>
      <c r="W1187" s="76"/>
      <c r="X1187" s="76"/>
    </row>
    <row r="1188" ht="18.0" customHeight="1">
      <c r="A1188" s="76"/>
      <c r="B1188" s="76"/>
      <c r="C1188" s="76"/>
      <c r="D1188" s="76"/>
      <c r="E1188" s="76"/>
      <c r="F1188" s="76"/>
      <c r="G1188" s="76"/>
      <c r="H1188" s="76"/>
      <c r="I1188" s="76"/>
      <c r="J1188" s="76"/>
      <c r="K1188" s="76"/>
      <c r="L1188" s="76"/>
      <c r="M1188" s="76" t="s">
        <v>4488</v>
      </c>
      <c r="N1188" s="76"/>
      <c r="O1188" s="76"/>
      <c r="P1188" s="76"/>
      <c r="Q1188" s="76"/>
      <c r="R1188" s="76"/>
      <c r="S1188" s="76"/>
      <c r="T1188" s="76"/>
      <c r="U1188" s="76" t="s">
        <v>4489</v>
      </c>
      <c r="V1188" s="76"/>
      <c r="W1188" s="76"/>
      <c r="X1188" s="76"/>
    </row>
    <row r="1189" ht="18.0" customHeight="1">
      <c r="A1189" s="76"/>
      <c r="B1189" s="76"/>
      <c r="C1189" s="76"/>
      <c r="D1189" s="76"/>
      <c r="E1189" s="76"/>
      <c r="F1189" s="76"/>
      <c r="G1189" s="76"/>
      <c r="H1189" s="76"/>
      <c r="I1189" s="76"/>
      <c r="J1189" s="76"/>
      <c r="K1189" s="76"/>
      <c r="L1189" s="76"/>
      <c r="M1189" s="76" t="s">
        <v>3310</v>
      </c>
      <c r="N1189" s="76"/>
      <c r="O1189" s="76"/>
      <c r="P1189" s="76"/>
      <c r="Q1189" s="76"/>
      <c r="R1189" s="76"/>
      <c r="S1189" s="76"/>
      <c r="T1189" s="76"/>
      <c r="U1189" s="76" t="s">
        <v>4490</v>
      </c>
      <c r="V1189" s="76"/>
      <c r="W1189" s="76"/>
      <c r="X1189" s="76"/>
    </row>
    <row r="1190" ht="18.0" customHeight="1">
      <c r="A1190" s="76"/>
      <c r="B1190" s="76"/>
      <c r="C1190" s="76"/>
      <c r="D1190" s="76"/>
      <c r="E1190" s="76"/>
      <c r="F1190" s="76"/>
      <c r="G1190" s="76"/>
      <c r="H1190" s="76"/>
      <c r="I1190" s="76"/>
      <c r="J1190" s="76"/>
      <c r="K1190" s="76"/>
      <c r="L1190" s="76"/>
      <c r="M1190" s="76" t="s">
        <v>4491</v>
      </c>
      <c r="N1190" s="76"/>
      <c r="O1190" s="76"/>
      <c r="P1190" s="76"/>
      <c r="Q1190" s="76"/>
      <c r="R1190" s="76"/>
      <c r="S1190" s="76"/>
      <c r="T1190" s="76"/>
      <c r="U1190" s="76" t="s">
        <v>4492</v>
      </c>
      <c r="V1190" s="76"/>
      <c r="W1190" s="76"/>
      <c r="X1190" s="76"/>
    </row>
    <row r="1191" ht="18.0" customHeight="1">
      <c r="A1191" s="76"/>
      <c r="B1191" s="76"/>
      <c r="C1191" s="76"/>
      <c r="D1191" s="76"/>
      <c r="E1191" s="76"/>
      <c r="F1191" s="76"/>
      <c r="G1191" s="76"/>
      <c r="H1191" s="76"/>
      <c r="I1191" s="76"/>
      <c r="J1191" s="76"/>
      <c r="K1191" s="76"/>
      <c r="L1191" s="76"/>
      <c r="M1191" s="76" t="s">
        <v>4493</v>
      </c>
      <c r="N1191" s="76"/>
      <c r="O1191" s="76"/>
      <c r="P1191" s="76"/>
      <c r="Q1191" s="76"/>
      <c r="R1191" s="76"/>
      <c r="S1191" s="76"/>
      <c r="T1191" s="76"/>
      <c r="U1191" s="76" t="s">
        <v>4494</v>
      </c>
      <c r="V1191" s="76"/>
      <c r="W1191" s="76"/>
      <c r="X1191" s="76"/>
    </row>
    <row r="1192" ht="18.0" customHeight="1">
      <c r="A1192" s="76"/>
      <c r="B1192" s="76"/>
      <c r="C1192" s="76"/>
      <c r="D1192" s="76"/>
      <c r="E1192" s="76"/>
      <c r="F1192" s="76"/>
      <c r="G1192" s="76"/>
      <c r="H1192" s="76"/>
      <c r="I1192" s="76"/>
      <c r="J1192" s="76"/>
      <c r="K1192" s="76"/>
      <c r="L1192" s="76"/>
      <c r="M1192" s="76" t="s">
        <v>4495</v>
      </c>
      <c r="N1192" s="76"/>
      <c r="O1192" s="76"/>
      <c r="P1192" s="76"/>
      <c r="Q1192" s="76"/>
      <c r="R1192" s="76"/>
      <c r="S1192" s="76"/>
      <c r="T1192" s="76"/>
      <c r="U1192" s="76" t="s">
        <v>4496</v>
      </c>
      <c r="V1192" s="76"/>
      <c r="W1192" s="76"/>
      <c r="X1192" s="76"/>
    </row>
    <row r="1193" ht="18.0" customHeight="1">
      <c r="A1193" s="76"/>
      <c r="B1193" s="76"/>
      <c r="C1193" s="76"/>
      <c r="D1193" s="76"/>
      <c r="E1193" s="76"/>
      <c r="F1193" s="76"/>
      <c r="G1193" s="76"/>
      <c r="H1193" s="76"/>
      <c r="I1193" s="76"/>
      <c r="J1193" s="76"/>
      <c r="K1193" s="76"/>
      <c r="L1193" s="76"/>
      <c r="M1193" s="76" t="s">
        <v>4497</v>
      </c>
      <c r="N1193" s="76"/>
      <c r="O1193" s="76"/>
      <c r="P1193" s="76"/>
      <c r="Q1193" s="76"/>
      <c r="R1193" s="76"/>
      <c r="S1193" s="76"/>
      <c r="T1193" s="76"/>
      <c r="U1193" s="76" t="s">
        <v>4498</v>
      </c>
      <c r="V1193" s="76"/>
      <c r="W1193" s="76"/>
      <c r="X1193" s="76"/>
    </row>
    <row r="1194" ht="18.0" customHeight="1">
      <c r="A1194" s="76"/>
      <c r="B1194" s="76"/>
      <c r="C1194" s="76"/>
      <c r="D1194" s="76"/>
      <c r="E1194" s="76"/>
      <c r="F1194" s="76"/>
      <c r="G1194" s="76"/>
      <c r="H1194" s="76"/>
      <c r="I1194" s="76"/>
      <c r="J1194" s="76"/>
      <c r="K1194" s="76"/>
      <c r="L1194" s="76"/>
      <c r="M1194" s="76" t="s">
        <v>4499</v>
      </c>
      <c r="N1194" s="76"/>
      <c r="O1194" s="76"/>
      <c r="P1194" s="76"/>
      <c r="Q1194" s="76"/>
      <c r="R1194" s="76"/>
      <c r="S1194" s="76"/>
      <c r="T1194" s="76"/>
      <c r="U1194" s="76" t="s">
        <v>4500</v>
      </c>
      <c r="V1194" s="76"/>
      <c r="W1194" s="76"/>
      <c r="X1194" s="76"/>
    </row>
    <row r="1195" ht="18.0" customHeight="1">
      <c r="A1195" s="76"/>
      <c r="B1195" s="76"/>
      <c r="C1195" s="76"/>
      <c r="D1195" s="76"/>
      <c r="E1195" s="76"/>
      <c r="F1195" s="76"/>
      <c r="G1195" s="76"/>
      <c r="H1195" s="76"/>
      <c r="I1195" s="76"/>
      <c r="J1195" s="76"/>
      <c r="K1195" s="76"/>
      <c r="L1195" s="76"/>
      <c r="M1195" s="76" t="s">
        <v>4501</v>
      </c>
      <c r="N1195" s="76"/>
      <c r="O1195" s="76"/>
      <c r="P1195" s="76"/>
      <c r="Q1195" s="76"/>
      <c r="R1195" s="76"/>
      <c r="S1195" s="76"/>
      <c r="T1195" s="76"/>
      <c r="U1195" s="76" t="s">
        <v>4502</v>
      </c>
      <c r="V1195" s="76"/>
      <c r="W1195" s="76"/>
      <c r="X1195" s="76"/>
    </row>
    <row r="1196" ht="18.0" customHeight="1">
      <c r="A1196" s="76"/>
      <c r="B1196" s="76"/>
      <c r="C1196" s="76"/>
      <c r="D1196" s="76"/>
      <c r="E1196" s="76"/>
      <c r="F1196" s="76"/>
      <c r="G1196" s="76"/>
      <c r="H1196" s="76"/>
      <c r="I1196" s="76"/>
      <c r="J1196" s="76"/>
      <c r="K1196" s="76"/>
      <c r="L1196" s="76"/>
      <c r="M1196" s="76" t="s">
        <v>4503</v>
      </c>
      <c r="N1196" s="76"/>
      <c r="O1196" s="76"/>
      <c r="P1196" s="76"/>
      <c r="Q1196" s="76"/>
      <c r="R1196" s="76"/>
      <c r="S1196" s="76"/>
      <c r="T1196" s="76"/>
      <c r="U1196" s="76" t="s">
        <v>4504</v>
      </c>
      <c r="V1196" s="76"/>
      <c r="W1196" s="76"/>
      <c r="X1196" s="76"/>
    </row>
    <row r="1197" ht="18.0" customHeight="1">
      <c r="A1197" s="76"/>
      <c r="B1197" s="76"/>
      <c r="C1197" s="76"/>
      <c r="D1197" s="76"/>
      <c r="E1197" s="76"/>
      <c r="F1197" s="76"/>
      <c r="G1197" s="76"/>
      <c r="H1197" s="76"/>
      <c r="I1197" s="76"/>
      <c r="J1197" s="76"/>
      <c r="K1197" s="76"/>
      <c r="L1197" s="76"/>
      <c r="M1197" s="76" t="s">
        <v>4505</v>
      </c>
      <c r="N1197" s="76"/>
      <c r="O1197" s="76"/>
      <c r="P1197" s="76"/>
      <c r="Q1197" s="76"/>
      <c r="R1197" s="76"/>
      <c r="S1197" s="76"/>
      <c r="T1197" s="76"/>
      <c r="U1197" s="76" t="s">
        <v>4506</v>
      </c>
      <c r="V1197" s="76"/>
      <c r="W1197" s="76"/>
      <c r="X1197" s="76"/>
    </row>
    <row r="1198" ht="18.0" customHeight="1">
      <c r="A1198" s="76"/>
      <c r="B1198" s="76"/>
      <c r="C1198" s="76"/>
      <c r="D1198" s="76"/>
      <c r="E1198" s="76"/>
      <c r="F1198" s="76"/>
      <c r="G1198" s="76"/>
      <c r="H1198" s="76"/>
      <c r="I1198" s="76"/>
      <c r="J1198" s="76"/>
      <c r="K1198" s="76"/>
      <c r="L1198" s="76"/>
      <c r="M1198" s="76" t="s">
        <v>4507</v>
      </c>
      <c r="N1198" s="76"/>
      <c r="O1198" s="76"/>
      <c r="P1198" s="76"/>
      <c r="Q1198" s="76"/>
      <c r="R1198" s="76"/>
      <c r="S1198" s="76"/>
      <c r="T1198" s="76"/>
      <c r="U1198" s="76" t="s">
        <v>4508</v>
      </c>
      <c r="V1198" s="76"/>
      <c r="W1198" s="76"/>
      <c r="X1198" s="76"/>
    </row>
    <row r="1199" ht="18.0" customHeight="1">
      <c r="A1199" s="76"/>
      <c r="B1199" s="76"/>
      <c r="C1199" s="76"/>
      <c r="D1199" s="76"/>
      <c r="E1199" s="76"/>
      <c r="F1199" s="76"/>
      <c r="G1199" s="76"/>
      <c r="H1199" s="76"/>
      <c r="I1199" s="76"/>
      <c r="J1199" s="76"/>
      <c r="K1199" s="76"/>
      <c r="L1199" s="76"/>
      <c r="M1199" s="76" t="s">
        <v>3270</v>
      </c>
      <c r="N1199" s="76"/>
      <c r="O1199" s="76"/>
      <c r="P1199" s="76"/>
      <c r="Q1199" s="76"/>
      <c r="R1199" s="76"/>
      <c r="S1199" s="76"/>
      <c r="T1199" s="76"/>
      <c r="U1199" s="76" t="s">
        <v>4509</v>
      </c>
      <c r="V1199" s="76"/>
      <c r="W1199" s="76"/>
      <c r="X1199" s="76"/>
    </row>
    <row r="1200" ht="18.0" customHeight="1">
      <c r="A1200" s="76"/>
      <c r="B1200" s="76"/>
      <c r="C1200" s="76"/>
      <c r="D1200" s="76"/>
      <c r="E1200" s="76"/>
      <c r="F1200" s="76"/>
      <c r="G1200" s="76"/>
      <c r="H1200" s="76"/>
      <c r="I1200" s="76"/>
      <c r="J1200" s="76"/>
      <c r="K1200" s="76"/>
      <c r="L1200" s="76"/>
      <c r="M1200" s="76" t="s">
        <v>4510</v>
      </c>
      <c r="N1200" s="76"/>
      <c r="O1200" s="76"/>
      <c r="P1200" s="76"/>
      <c r="Q1200" s="76"/>
      <c r="R1200" s="76"/>
      <c r="S1200" s="76"/>
      <c r="T1200" s="76"/>
      <c r="U1200" s="76" t="s">
        <v>4511</v>
      </c>
      <c r="V1200" s="76"/>
      <c r="W1200" s="76"/>
      <c r="X1200" s="76"/>
    </row>
    <row r="1201" ht="18.0" customHeight="1">
      <c r="A1201" s="76"/>
      <c r="B1201" s="76"/>
      <c r="C1201" s="76"/>
      <c r="D1201" s="76"/>
      <c r="E1201" s="76"/>
      <c r="F1201" s="76"/>
      <c r="G1201" s="76"/>
      <c r="H1201" s="76"/>
      <c r="I1201" s="76"/>
      <c r="J1201" s="76"/>
      <c r="K1201" s="76"/>
      <c r="L1201" s="76"/>
      <c r="M1201" s="76" t="s">
        <v>4512</v>
      </c>
      <c r="N1201" s="76"/>
      <c r="O1201" s="76"/>
      <c r="P1201" s="76"/>
      <c r="Q1201" s="76"/>
      <c r="R1201" s="76"/>
      <c r="S1201" s="76"/>
      <c r="T1201" s="76"/>
      <c r="U1201" s="76" t="s">
        <v>4513</v>
      </c>
      <c r="V1201" s="76"/>
      <c r="W1201" s="76"/>
      <c r="X1201" s="76"/>
    </row>
    <row r="1202" ht="18.0" customHeight="1">
      <c r="A1202" s="76"/>
      <c r="B1202" s="76"/>
      <c r="C1202" s="76"/>
      <c r="D1202" s="76"/>
      <c r="E1202" s="76"/>
      <c r="F1202" s="76"/>
      <c r="G1202" s="76"/>
      <c r="H1202" s="76"/>
      <c r="I1202" s="76"/>
      <c r="J1202" s="76"/>
      <c r="K1202" s="76"/>
      <c r="L1202" s="76"/>
      <c r="M1202" s="76" t="s">
        <v>4514</v>
      </c>
      <c r="N1202" s="76"/>
      <c r="O1202" s="76"/>
      <c r="P1202" s="76"/>
      <c r="Q1202" s="76"/>
      <c r="R1202" s="76"/>
      <c r="S1202" s="76"/>
      <c r="T1202" s="76"/>
      <c r="U1202" s="76" t="s">
        <v>4515</v>
      </c>
      <c r="V1202" s="76"/>
      <c r="W1202" s="76"/>
      <c r="X1202" s="76"/>
    </row>
    <row r="1203" ht="18.0" customHeight="1">
      <c r="A1203" s="76"/>
      <c r="B1203" s="76"/>
      <c r="C1203" s="76"/>
      <c r="D1203" s="76"/>
      <c r="E1203" s="76"/>
      <c r="F1203" s="76"/>
      <c r="G1203" s="76"/>
      <c r="H1203" s="76"/>
      <c r="I1203" s="76"/>
      <c r="J1203" s="76"/>
      <c r="K1203" s="76"/>
      <c r="L1203" s="76"/>
      <c r="M1203" s="76" t="s">
        <v>4516</v>
      </c>
      <c r="N1203" s="76"/>
      <c r="O1203" s="76"/>
      <c r="P1203" s="76"/>
      <c r="Q1203" s="76"/>
      <c r="R1203" s="76"/>
      <c r="S1203" s="76"/>
      <c r="T1203" s="76"/>
      <c r="U1203" s="76" t="s">
        <v>4517</v>
      </c>
      <c r="V1203" s="76"/>
      <c r="W1203" s="76"/>
      <c r="X1203" s="76"/>
    </row>
    <row r="1204" ht="18.0" customHeight="1">
      <c r="A1204" s="76"/>
      <c r="B1204" s="76"/>
      <c r="C1204" s="76"/>
      <c r="D1204" s="76"/>
      <c r="E1204" s="76"/>
      <c r="F1204" s="76"/>
      <c r="G1204" s="76"/>
      <c r="H1204" s="76"/>
      <c r="I1204" s="76"/>
      <c r="J1204" s="76"/>
      <c r="K1204" s="76"/>
      <c r="L1204" s="76"/>
      <c r="M1204" s="76" t="s">
        <v>4518</v>
      </c>
      <c r="N1204" s="76"/>
      <c r="O1204" s="76"/>
      <c r="P1204" s="76"/>
      <c r="Q1204" s="76"/>
      <c r="R1204" s="76"/>
      <c r="S1204" s="76"/>
      <c r="T1204" s="76"/>
      <c r="U1204" s="76" t="s">
        <v>4519</v>
      </c>
      <c r="V1204" s="76"/>
      <c r="W1204" s="76"/>
      <c r="X1204" s="76"/>
    </row>
    <row r="1205" ht="18.0" customHeight="1">
      <c r="A1205" s="76"/>
      <c r="B1205" s="76"/>
      <c r="C1205" s="76"/>
      <c r="D1205" s="76"/>
      <c r="E1205" s="76"/>
      <c r="F1205" s="76"/>
      <c r="G1205" s="76"/>
      <c r="H1205" s="76"/>
      <c r="I1205" s="76"/>
      <c r="J1205" s="76"/>
      <c r="K1205" s="76"/>
      <c r="L1205" s="76"/>
      <c r="M1205" s="76" t="s">
        <v>4520</v>
      </c>
      <c r="N1205" s="76"/>
      <c r="O1205" s="76"/>
      <c r="P1205" s="76"/>
      <c r="Q1205" s="76"/>
      <c r="R1205" s="76"/>
      <c r="S1205" s="76"/>
      <c r="T1205" s="76"/>
      <c r="U1205" s="76" t="s">
        <v>4521</v>
      </c>
      <c r="V1205" s="76"/>
      <c r="W1205" s="76"/>
      <c r="X1205" s="76"/>
    </row>
    <row r="1206" ht="18.0" customHeight="1">
      <c r="A1206" s="76"/>
      <c r="B1206" s="76"/>
      <c r="C1206" s="76"/>
      <c r="D1206" s="76"/>
      <c r="E1206" s="76"/>
      <c r="F1206" s="76"/>
      <c r="G1206" s="76"/>
      <c r="H1206" s="76"/>
      <c r="I1206" s="76"/>
      <c r="J1206" s="76"/>
      <c r="K1206" s="76"/>
      <c r="L1206" s="76"/>
      <c r="M1206" s="76" t="s">
        <v>4522</v>
      </c>
      <c r="N1206" s="76"/>
      <c r="O1206" s="76"/>
      <c r="P1206" s="76"/>
      <c r="Q1206" s="76"/>
      <c r="R1206" s="76"/>
      <c r="S1206" s="76"/>
      <c r="T1206" s="76"/>
      <c r="U1206" s="76" t="s">
        <v>4523</v>
      </c>
      <c r="V1206" s="76"/>
      <c r="W1206" s="76"/>
      <c r="X1206" s="76"/>
    </row>
    <row r="1207" ht="18.0" customHeight="1">
      <c r="A1207" s="76"/>
      <c r="B1207" s="76"/>
      <c r="C1207" s="76"/>
      <c r="D1207" s="76"/>
      <c r="E1207" s="76"/>
      <c r="F1207" s="76"/>
      <c r="G1207" s="76"/>
      <c r="H1207" s="76"/>
      <c r="I1207" s="76"/>
      <c r="J1207" s="76"/>
      <c r="K1207" s="76"/>
      <c r="L1207" s="76"/>
      <c r="M1207" s="76" t="s">
        <v>4524</v>
      </c>
      <c r="N1207" s="76"/>
      <c r="O1207" s="76"/>
      <c r="P1207" s="76"/>
      <c r="Q1207" s="76"/>
      <c r="R1207" s="76"/>
      <c r="S1207" s="76"/>
      <c r="T1207" s="76"/>
      <c r="U1207" s="76" t="s">
        <v>4525</v>
      </c>
      <c r="V1207" s="76"/>
      <c r="W1207" s="76"/>
      <c r="X1207" s="76"/>
    </row>
    <row r="1208" ht="18.0" customHeight="1">
      <c r="A1208" s="76"/>
      <c r="B1208" s="76"/>
      <c r="C1208" s="76"/>
      <c r="D1208" s="76"/>
      <c r="E1208" s="76"/>
      <c r="F1208" s="76"/>
      <c r="G1208" s="76"/>
      <c r="H1208" s="76"/>
      <c r="I1208" s="76"/>
      <c r="J1208" s="76"/>
      <c r="K1208" s="76"/>
      <c r="L1208" s="76"/>
      <c r="M1208" s="76" t="s">
        <v>4526</v>
      </c>
      <c r="N1208" s="76"/>
      <c r="O1208" s="76"/>
      <c r="P1208" s="76"/>
      <c r="Q1208" s="76"/>
      <c r="R1208" s="76"/>
      <c r="S1208" s="76"/>
      <c r="T1208" s="76"/>
      <c r="U1208" s="76" t="s">
        <v>4527</v>
      </c>
      <c r="V1208" s="76"/>
      <c r="W1208" s="76"/>
      <c r="X1208" s="76"/>
    </row>
    <row r="1209" ht="18.0" customHeight="1">
      <c r="A1209" s="76"/>
      <c r="B1209" s="76"/>
      <c r="C1209" s="76"/>
      <c r="D1209" s="76"/>
      <c r="E1209" s="76"/>
      <c r="F1209" s="76"/>
      <c r="G1209" s="76"/>
      <c r="H1209" s="76"/>
      <c r="I1209" s="76"/>
      <c r="J1209" s="76"/>
      <c r="K1209" s="76"/>
      <c r="L1209" s="76"/>
      <c r="M1209" s="76" t="s">
        <v>4528</v>
      </c>
      <c r="N1209" s="76"/>
      <c r="O1209" s="76"/>
      <c r="P1209" s="76"/>
      <c r="Q1209" s="76"/>
      <c r="R1209" s="76"/>
      <c r="S1209" s="76"/>
      <c r="T1209" s="76"/>
      <c r="U1209" s="76" t="s">
        <v>4529</v>
      </c>
      <c r="V1209" s="76"/>
      <c r="W1209" s="76"/>
      <c r="X1209" s="76"/>
    </row>
    <row r="1210" ht="18.0" customHeight="1">
      <c r="A1210" s="76"/>
      <c r="B1210" s="76"/>
      <c r="C1210" s="76"/>
      <c r="D1210" s="76"/>
      <c r="E1210" s="76"/>
      <c r="F1210" s="76"/>
      <c r="G1210" s="76"/>
      <c r="H1210" s="76"/>
      <c r="I1210" s="76"/>
      <c r="J1210" s="76"/>
      <c r="K1210" s="76"/>
      <c r="L1210" s="76"/>
      <c r="M1210" s="76" t="s">
        <v>4530</v>
      </c>
      <c r="N1210" s="76"/>
      <c r="O1210" s="76"/>
      <c r="P1210" s="76"/>
      <c r="Q1210" s="76"/>
      <c r="R1210" s="76"/>
      <c r="S1210" s="76"/>
      <c r="T1210" s="76"/>
      <c r="U1210" s="76" t="s">
        <v>4531</v>
      </c>
      <c r="V1210" s="76"/>
      <c r="W1210" s="76"/>
      <c r="X1210" s="76"/>
    </row>
    <row r="1211" ht="18.0" customHeight="1">
      <c r="A1211" s="76"/>
      <c r="B1211" s="76"/>
      <c r="C1211" s="76"/>
      <c r="D1211" s="76"/>
      <c r="E1211" s="76"/>
      <c r="F1211" s="76"/>
      <c r="G1211" s="76"/>
      <c r="H1211" s="76"/>
      <c r="I1211" s="76"/>
      <c r="J1211" s="76"/>
      <c r="K1211" s="76"/>
      <c r="L1211" s="76"/>
      <c r="M1211" s="76" t="s">
        <v>4532</v>
      </c>
      <c r="N1211" s="76"/>
      <c r="O1211" s="76"/>
      <c r="P1211" s="76"/>
      <c r="Q1211" s="76"/>
      <c r="R1211" s="76"/>
      <c r="S1211" s="76"/>
      <c r="T1211" s="76"/>
      <c r="U1211" s="76" t="s">
        <v>4533</v>
      </c>
      <c r="V1211" s="76"/>
      <c r="W1211" s="76"/>
      <c r="X1211" s="76"/>
    </row>
    <row r="1212" ht="18.0" customHeight="1">
      <c r="A1212" s="76"/>
      <c r="B1212" s="76"/>
      <c r="C1212" s="76"/>
      <c r="D1212" s="76"/>
      <c r="E1212" s="76"/>
      <c r="F1212" s="76"/>
      <c r="G1212" s="76"/>
      <c r="H1212" s="76"/>
      <c r="I1212" s="76"/>
      <c r="J1212" s="76"/>
      <c r="K1212" s="76"/>
      <c r="L1212" s="76"/>
      <c r="M1212" s="76" t="s">
        <v>4534</v>
      </c>
      <c r="N1212" s="76"/>
      <c r="O1212" s="76"/>
      <c r="P1212" s="76"/>
      <c r="Q1212" s="76"/>
      <c r="R1212" s="76"/>
      <c r="S1212" s="76"/>
      <c r="T1212" s="76"/>
      <c r="U1212" s="76" t="s">
        <v>4535</v>
      </c>
      <c r="V1212" s="76"/>
      <c r="W1212" s="76"/>
      <c r="X1212" s="76"/>
    </row>
    <row r="1213" ht="18.0" customHeight="1">
      <c r="A1213" s="76"/>
      <c r="B1213" s="76"/>
      <c r="C1213" s="76"/>
      <c r="D1213" s="76"/>
      <c r="E1213" s="76"/>
      <c r="F1213" s="76"/>
      <c r="G1213" s="76"/>
      <c r="H1213" s="76"/>
      <c r="I1213" s="76"/>
      <c r="J1213" s="76"/>
      <c r="K1213" s="76"/>
      <c r="L1213" s="76"/>
      <c r="M1213" s="76" t="s">
        <v>4536</v>
      </c>
      <c r="N1213" s="76"/>
      <c r="O1213" s="76"/>
      <c r="P1213" s="76"/>
      <c r="Q1213" s="76"/>
      <c r="R1213" s="76"/>
      <c r="S1213" s="76"/>
      <c r="T1213" s="76"/>
      <c r="U1213" s="76" t="s">
        <v>4537</v>
      </c>
      <c r="V1213" s="76"/>
      <c r="W1213" s="76"/>
      <c r="X1213" s="76"/>
    </row>
    <row r="1214" ht="18.0" customHeight="1">
      <c r="A1214" s="76"/>
      <c r="B1214" s="76"/>
      <c r="C1214" s="76"/>
      <c r="D1214" s="76"/>
      <c r="E1214" s="76"/>
      <c r="F1214" s="76"/>
      <c r="G1214" s="76"/>
      <c r="H1214" s="76"/>
      <c r="I1214" s="76"/>
      <c r="J1214" s="76"/>
      <c r="K1214" s="76"/>
      <c r="L1214" s="76"/>
      <c r="M1214" s="76" t="s">
        <v>4538</v>
      </c>
      <c r="N1214" s="76"/>
      <c r="O1214" s="76"/>
      <c r="P1214" s="76"/>
      <c r="Q1214" s="76"/>
      <c r="R1214" s="76"/>
      <c r="S1214" s="76"/>
      <c r="T1214" s="76"/>
      <c r="U1214" s="76" t="s">
        <v>4539</v>
      </c>
      <c r="V1214" s="76"/>
      <c r="W1214" s="76"/>
      <c r="X1214" s="76"/>
    </row>
    <row r="1215" ht="18.0" customHeight="1">
      <c r="A1215" s="76"/>
      <c r="B1215" s="76"/>
      <c r="C1215" s="76"/>
      <c r="D1215" s="76"/>
      <c r="E1215" s="76"/>
      <c r="F1215" s="76"/>
      <c r="G1215" s="76"/>
      <c r="H1215" s="76"/>
      <c r="I1215" s="76"/>
      <c r="J1215" s="76"/>
      <c r="K1215" s="76"/>
      <c r="L1215" s="76"/>
      <c r="M1215" s="76" t="s">
        <v>4540</v>
      </c>
      <c r="N1215" s="76"/>
      <c r="O1215" s="76"/>
      <c r="P1215" s="76"/>
      <c r="Q1215" s="76"/>
      <c r="R1215" s="76"/>
      <c r="S1215" s="76"/>
      <c r="T1215" s="76"/>
      <c r="U1215" s="76" t="s">
        <v>4541</v>
      </c>
      <c r="V1215" s="76"/>
      <c r="W1215" s="76"/>
      <c r="X1215" s="76"/>
    </row>
    <row r="1216" ht="18.0" customHeight="1">
      <c r="A1216" s="76"/>
      <c r="B1216" s="76"/>
      <c r="C1216" s="76"/>
      <c r="D1216" s="76"/>
      <c r="E1216" s="76"/>
      <c r="F1216" s="76"/>
      <c r="G1216" s="76"/>
      <c r="H1216" s="76"/>
      <c r="I1216" s="76"/>
      <c r="J1216" s="76"/>
      <c r="K1216" s="76"/>
      <c r="L1216" s="76"/>
      <c r="M1216" s="76" t="s">
        <v>4542</v>
      </c>
      <c r="N1216" s="76"/>
      <c r="O1216" s="76"/>
      <c r="P1216" s="76"/>
      <c r="Q1216" s="76"/>
      <c r="R1216" s="76"/>
      <c r="S1216" s="76"/>
      <c r="T1216" s="76"/>
      <c r="U1216" s="76" t="s">
        <v>4543</v>
      </c>
      <c r="V1216" s="76"/>
      <c r="W1216" s="76"/>
      <c r="X1216" s="76"/>
    </row>
    <row r="1217" ht="18.0" customHeight="1">
      <c r="A1217" s="76"/>
      <c r="B1217" s="76"/>
      <c r="C1217" s="76"/>
      <c r="D1217" s="76"/>
      <c r="E1217" s="76"/>
      <c r="F1217" s="76"/>
      <c r="G1217" s="76"/>
      <c r="H1217" s="76"/>
      <c r="I1217" s="76"/>
      <c r="J1217" s="76"/>
      <c r="K1217" s="76"/>
      <c r="L1217" s="76"/>
      <c r="M1217" s="76" t="s">
        <v>4544</v>
      </c>
      <c r="N1217" s="76"/>
      <c r="O1217" s="76"/>
      <c r="P1217" s="76"/>
      <c r="Q1217" s="76"/>
      <c r="R1217" s="76"/>
      <c r="S1217" s="76"/>
      <c r="T1217" s="76"/>
      <c r="U1217" s="76" t="s">
        <v>4545</v>
      </c>
      <c r="V1217" s="76"/>
      <c r="W1217" s="76"/>
      <c r="X1217" s="76"/>
    </row>
    <row r="1218" ht="18.0" customHeight="1">
      <c r="A1218" s="76"/>
      <c r="B1218" s="76"/>
      <c r="C1218" s="76"/>
      <c r="D1218" s="76"/>
      <c r="E1218" s="76"/>
      <c r="F1218" s="76"/>
      <c r="G1218" s="76"/>
      <c r="H1218" s="76"/>
      <c r="I1218" s="76"/>
      <c r="J1218" s="76"/>
      <c r="K1218" s="76"/>
      <c r="L1218" s="76"/>
      <c r="M1218" s="76" t="s">
        <v>4546</v>
      </c>
      <c r="N1218" s="76"/>
      <c r="O1218" s="76"/>
      <c r="P1218" s="76"/>
      <c r="Q1218" s="76"/>
      <c r="R1218" s="76"/>
      <c r="S1218" s="76"/>
      <c r="T1218" s="76"/>
      <c r="U1218" s="76" t="s">
        <v>4547</v>
      </c>
      <c r="V1218" s="76"/>
      <c r="W1218" s="76"/>
      <c r="X1218" s="76"/>
    </row>
    <row r="1219" ht="18.0" customHeight="1">
      <c r="A1219" s="76"/>
      <c r="B1219" s="76"/>
      <c r="C1219" s="76"/>
      <c r="D1219" s="76"/>
      <c r="E1219" s="76"/>
      <c r="F1219" s="76"/>
      <c r="G1219" s="76"/>
      <c r="H1219" s="76"/>
      <c r="I1219" s="76"/>
      <c r="J1219" s="76"/>
      <c r="K1219" s="76"/>
      <c r="L1219" s="76"/>
      <c r="M1219" s="76" t="s">
        <v>4548</v>
      </c>
      <c r="N1219" s="76"/>
      <c r="O1219" s="76"/>
      <c r="P1219" s="76"/>
      <c r="Q1219" s="76"/>
      <c r="R1219" s="76"/>
      <c r="S1219" s="76"/>
      <c r="T1219" s="76"/>
      <c r="U1219" s="76" t="s">
        <v>4549</v>
      </c>
      <c r="V1219" s="76"/>
      <c r="W1219" s="76"/>
      <c r="X1219" s="76"/>
    </row>
    <row r="1220" ht="18.0" customHeight="1">
      <c r="A1220" s="76"/>
      <c r="B1220" s="76"/>
      <c r="C1220" s="76"/>
      <c r="D1220" s="76"/>
      <c r="E1220" s="76"/>
      <c r="F1220" s="76"/>
      <c r="G1220" s="76"/>
      <c r="H1220" s="76"/>
      <c r="I1220" s="76"/>
      <c r="J1220" s="76"/>
      <c r="K1220" s="76"/>
      <c r="L1220" s="76"/>
      <c r="M1220" s="76" t="s">
        <v>4550</v>
      </c>
      <c r="N1220" s="76"/>
      <c r="O1220" s="76"/>
      <c r="P1220" s="76"/>
      <c r="Q1220" s="76"/>
      <c r="R1220" s="76"/>
      <c r="S1220" s="76"/>
      <c r="T1220" s="76"/>
      <c r="U1220" s="76" t="s">
        <v>4551</v>
      </c>
      <c r="V1220" s="76"/>
      <c r="W1220" s="76"/>
      <c r="X1220" s="76"/>
    </row>
    <row r="1221" ht="18.0" customHeight="1">
      <c r="A1221" s="76"/>
      <c r="B1221" s="76"/>
      <c r="C1221" s="76"/>
      <c r="D1221" s="76"/>
      <c r="E1221" s="76"/>
      <c r="F1221" s="76"/>
      <c r="G1221" s="76"/>
      <c r="H1221" s="76"/>
      <c r="I1221" s="76"/>
      <c r="J1221" s="76"/>
      <c r="K1221" s="76"/>
      <c r="L1221" s="76"/>
      <c r="M1221" s="76" t="s">
        <v>4552</v>
      </c>
      <c r="N1221" s="76"/>
      <c r="O1221" s="76"/>
      <c r="P1221" s="76"/>
      <c r="Q1221" s="76"/>
      <c r="R1221" s="76"/>
      <c r="S1221" s="76"/>
      <c r="T1221" s="76"/>
      <c r="U1221" s="76" t="s">
        <v>4553</v>
      </c>
      <c r="V1221" s="76"/>
      <c r="W1221" s="76"/>
      <c r="X1221" s="76"/>
    </row>
    <row r="1222" ht="18.0" customHeight="1">
      <c r="A1222" s="76"/>
      <c r="B1222" s="76"/>
      <c r="C1222" s="76"/>
      <c r="D1222" s="76"/>
      <c r="E1222" s="76"/>
      <c r="F1222" s="76"/>
      <c r="G1222" s="76"/>
      <c r="H1222" s="76"/>
      <c r="I1222" s="76"/>
      <c r="J1222" s="76"/>
      <c r="K1222" s="76"/>
      <c r="L1222" s="76"/>
      <c r="M1222" s="76" t="s">
        <v>4554</v>
      </c>
      <c r="N1222" s="76"/>
      <c r="O1222" s="76"/>
      <c r="P1222" s="76"/>
      <c r="Q1222" s="76"/>
      <c r="R1222" s="76"/>
      <c r="S1222" s="76"/>
      <c r="T1222" s="76"/>
      <c r="U1222" s="76" t="s">
        <v>4555</v>
      </c>
      <c r="V1222" s="76"/>
      <c r="W1222" s="76"/>
      <c r="X1222" s="76"/>
    </row>
    <row r="1223" ht="18.0" customHeight="1">
      <c r="A1223" s="76"/>
      <c r="B1223" s="76"/>
      <c r="C1223" s="76"/>
      <c r="D1223" s="76"/>
      <c r="E1223" s="76"/>
      <c r="F1223" s="76"/>
      <c r="G1223" s="76"/>
      <c r="H1223" s="76"/>
      <c r="I1223" s="76"/>
      <c r="J1223" s="76"/>
      <c r="K1223" s="76"/>
      <c r="L1223" s="76"/>
      <c r="M1223" s="76" t="s">
        <v>4556</v>
      </c>
      <c r="N1223" s="76"/>
      <c r="O1223" s="76"/>
      <c r="P1223" s="76"/>
      <c r="Q1223" s="76"/>
      <c r="R1223" s="76"/>
      <c r="S1223" s="76"/>
      <c r="T1223" s="76"/>
      <c r="U1223" s="76" t="s">
        <v>4557</v>
      </c>
      <c r="V1223" s="76"/>
      <c r="W1223" s="76"/>
      <c r="X1223" s="76"/>
    </row>
    <row r="1224" ht="18.0" customHeight="1">
      <c r="A1224" s="76"/>
      <c r="B1224" s="76"/>
      <c r="C1224" s="76"/>
      <c r="D1224" s="76"/>
      <c r="E1224" s="76"/>
      <c r="F1224" s="76"/>
      <c r="G1224" s="76"/>
      <c r="H1224" s="76"/>
      <c r="I1224" s="76"/>
      <c r="J1224" s="76"/>
      <c r="K1224" s="76"/>
      <c r="L1224" s="76"/>
      <c r="M1224" s="76" t="s">
        <v>4558</v>
      </c>
      <c r="N1224" s="76"/>
      <c r="O1224" s="76"/>
      <c r="P1224" s="76"/>
      <c r="Q1224" s="76"/>
      <c r="R1224" s="76"/>
      <c r="S1224" s="76"/>
      <c r="T1224" s="76"/>
      <c r="U1224" s="76" t="s">
        <v>4559</v>
      </c>
      <c r="V1224" s="76"/>
      <c r="W1224" s="76"/>
      <c r="X1224" s="76"/>
    </row>
    <row r="1225" ht="18.0" customHeight="1">
      <c r="A1225" s="76"/>
      <c r="B1225" s="76"/>
      <c r="C1225" s="76"/>
      <c r="D1225" s="76"/>
      <c r="E1225" s="76"/>
      <c r="F1225" s="76"/>
      <c r="G1225" s="76"/>
      <c r="H1225" s="76"/>
      <c r="I1225" s="76"/>
      <c r="J1225" s="76"/>
      <c r="K1225" s="76"/>
      <c r="L1225" s="76"/>
      <c r="M1225" s="76" t="s">
        <v>4560</v>
      </c>
      <c r="N1225" s="76"/>
      <c r="O1225" s="76"/>
      <c r="P1225" s="76"/>
      <c r="Q1225" s="76"/>
      <c r="R1225" s="76"/>
      <c r="S1225" s="76"/>
      <c r="T1225" s="76"/>
      <c r="U1225" s="76" t="s">
        <v>4561</v>
      </c>
      <c r="V1225" s="76"/>
      <c r="W1225" s="76"/>
      <c r="X1225" s="76"/>
    </row>
    <row r="1226" ht="18.0" customHeight="1">
      <c r="A1226" s="76"/>
      <c r="B1226" s="76"/>
      <c r="C1226" s="76"/>
      <c r="D1226" s="76"/>
      <c r="E1226" s="76"/>
      <c r="F1226" s="76"/>
      <c r="G1226" s="76"/>
      <c r="H1226" s="76"/>
      <c r="I1226" s="76"/>
      <c r="J1226" s="76"/>
      <c r="K1226" s="76"/>
      <c r="L1226" s="76"/>
      <c r="M1226" s="76" t="s">
        <v>4562</v>
      </c>
      <c r="N1226" s="76"/>
      <c r="O1226" s="76"/>
      <c r="P1226" s="76"/>
      <c r="Q1226" s="76"/>
      <c r="R1226" s="76"/>
      <c r="S1226" s="76"/>
      <c r="T1226" s="76"/>
      <c r="U1226" s="76" t="s">
        <v>4563</v>
      </c>
      <c r="V1226" s="76"/>
      <c r="W1226" s="76"/>
      <c r="X1226" s="76"/>
    </row>
    <row r="1227" ht="18.0" customHeight="1">
      <c r="A1227" s="76"/>
      <c r="B1227" s="76"/>
      <c r="C1227" s="76"/>
      <c r="D1227" s="76"/>
      <c r="E1227" s="76"/>
      <c r="F1227" s="76"/>
      <c r="G1227" s="76"/>
      <c r="H1227" s="76"/>
      <c r="I1227" s="76"/>
      <c r="J1227" s="76"/>
      <c r="K1227" s="76"/>
      <c r="L1227" s="76"/>
      <c r="M1227" s="76" t="s">
        <v>4564</v>
      </c>
      <c r="N1227" s="76"/>
      <c r="O1227" s="76"/>
      <c r="P1227" s="76"/>
      <c r="Q1227" s="76"/>
      <c r="R1227" s="76"/>
      <c r="S1227" s="76"/>
      <c r="T1227" s="76"/>
      <c r="U1227" s="76" t="s">
        <v>4565</v>
      </c>
      <c r="V1227" s="76"/>
      <c r="W1227" s="76"/>
      <c r="X1227" s="76"/>
    </row>
    <row r="1228" ht="18.0" customHeight="1">
      <c r="A1228" s="76"/>
      <c r="B1228" s="76"/>
      <c r="C1228" s="76"/>
      <c r="D1228" s="76"/>
      <c r="E1228" s="76"/>
      <c r="F1228" s="76"/>
      <c r="G1228" s="76"/>
      <c r="H1228" s="76"/>
      <c r="I1228" s="76"/>
      <c r="J1228" s="76"/>
      <c r="K1228" s="76"/>
      <c r="L1228" s="76"/>
      <c r="M1228" s="76" t="s">
        <v>4566</v>
      </c>
      <c r="N1228" s="76"/>
      <c r="O1228" s="76"/>
      <c r="P1228" s="76"/>
      <c r="Q1228" s="76"/>
      <c r="R1228" s="76"/>
      <c r="S1228" s="76"/>
      <c r="T1228" s="76"/>
      <c r="U1228" s="76" t="s">
        <v>4567</v>
      </c>
      <c r="V1228" s="76"/>
      <c r="W1228" s="76"/>
      <c r="X1228" s="76"/>
    </row>
    <row r="1229" ht="18.0" customHeight="1">
      <c r="A1229" s="76"/>
      <c r="B1229" s="76"/>
      <c r="C1229" s="76"/>
      <c r="D1229" s="76"/>
      <c r="E1229" s="76"/>
      <c r="F1229" s="76"/>
      <c r="G1229" s="76"/>
      <c r="H1229" s="76"/>
      <c r="I1229" s="76"/>
      <c r="J1229" s="76"/>
      <c r="K1229" s="76"/>
      <c r="L1229" s="76"/>
      <c r="M1229" s="76" t="s">
        <v>4568</v>
      </c>
      <c r="N1229" s="76"/>
      <c r="O1229" s="76"/>
      <c r="P1229" s="76"/>
      <c r="Q1229" s="76"/>
      <c r="R1229" s="76"/>
      <c r="S1229" s="76"/>
      <c r="T1229" s="76"/>
      <c r="U1229" s="76" t="s">
        <v>4569</v>
      </c>
      <c r="V1229" s="76"/>
      <c r="W1229" s="76"/>
      <c r="X1229" s="76"/>
    </row>
    <row r="1230" ht="18.0" customHeight="1">
      <c r="A1230" s="76"/>
      <c r="B1230" s="76"/>
      <c r="C1230" s="76"/>
      <c r="D1230" s="76"/>
      <c r="E1230" s="76"/>
      <c r="F1230" s="76"/>
      <c r="G1230" s="76"/>
      <c r="H1230" s="76"/>
      <c r="I1230" s="76"/>
      <c r="J1230" s="76"/>
      <c r="K1230" s="76"/>
      <c r="L1230" s="76"/>
      <c r="M1230" s="76" t="s">
        <v>4570</v>
      </c>
      <c r="N1230" s="76"/>
      <c r="O1230" s="76"/>
      <c r="P1230" s="76"/>
      <c r="Q1230" s="76"/>
      <c r="R1230" s="76"/>
      <c r="S1230" s="76"/>
      <c r="T1230" s="76"/>
      <c r="U1230" s="76" t="s">
        <v>4571</v>
      </c>
      <c r="V1230" s="76"/>
      <c r="W1230" s="76"/>
      <c r="X1230" s="76"/>
    </row>
    <row r="1231" ht="18.0" customHeight="1">
      <c r="A1231" s="76"/>
      <c r="B1231" s="76"/>
      <c r="C1231" s="76"/>
      <c r="D1231" s="76"/>
      <c r="E1231" s="76"/>
      <c r="F1231" s="76"/>
      <c r="G1231" s="76"/>
      <c r="H1231" s="76"/>
      <c r="I1231" s="76"/>
      <c r="J1231" s="76"/>
      <c r="K1231" s="76"/>
      <c r="L1231" s="76"/>
      <c r="M1231" s="76" t="s">
        <v>4572</v>
      </c>
      <c r="N1231" s="76"/>
      <c r="O1231" s="76"/>
      <c r="P1231" s="76"/>
      <c r="Q1231" s="76"/>
      <c r="R1231" s="76"/>
      <c r="S1231" s="76"/>
      <c r="T1231" s="76"/>
      <c r="U1231" s="76" t="s">
        <v>4573</v>
      </c>
      <c r="V1231" s="76"/>
      <c r="W1231" s="76"/>
      <c r="X1231" s="76"/>
    </row>
    <row r="1232" ht="18.0" customHeight="1">
      <c r="A1232" s="76"/>
      <c r="B1232" s="76"/>
      <c r="C1232" s="76"/>
      <c r="D1232" s="76"/>
      <c r="E1232" s="76"/>
      <c r="F1232" s="76"/>
      <c r="G1232" s="76"/>
      <c r="H1232" s="76"/>
      <c r="I1232" s="76"/>
      <c r="J1232" s="76"/>
      <c r="K1232" s="76"/>
      <c r="L1232" s="76"/>
      <c r="M1232" s="76" t="s">
        <v>4574</v>
      </c>
      <c r="N1232" s="76"/>
      <c r="O1232" s="76"/>
      <c r="P1232" s="76"/>
      <c r="Q1232" s="76"/>
      <c r="R1232" s="76"/>
      <c r="S1232" s="76"/>
      <c r="T1232" s="76"/>
      <c r="U1232" s="76" t="s">
        <v>4575</v>
      </c>
      <c r="V1232" s="76"/>
      <c r="W1232" s="76"/>
      <c r="X1232" s="76"/>
    </row>
    <row r="1233" ht="18.0" customHeight="1">
      <c r="A1233" s="76"/>
      <c r="B1233" s="76"/>
      <c r="C1233" s="76"/>
      <c r="D1233" s="76"/>
      <c r="E1233" s="76"/>
      <c r="F1233" s="76"/>
      <c r="G1233" s="76"/>
      <c r="H1233" s="76"/>
      <c r="I1233" s="76"/>
      <c r="J1233" s="76"/>
      <c r="K1233" s="76"/>
      <c r="L1233" s="76"/>
      <c r="M1233" s="76" t="s">
        <v>4576</v>
      </c>
      <c r="N1233" s="76"/>
      <c r="O1233" s="76"/>
      <c r="P1233" s="76"/>
      <c r="Q1233" s="76"/>
      <c r="R1233" s="76"/>
      <c r="S1233" s="76"/>
      <c r="T1233" s="76"/>
      <c r="U1233" s="76" t="s">
        <v>4577</v>
      </c>
      <c r="V1233" s="76"/>
      <c r="W1233" s="76"/>
      <c r="X1233" s="76"/>
    </row>
    <row r="1234" ht="18.0" customHeight="1">
      <c r="A1234" s="76"/>
      <c r="B1234" s="76"/>
      <c r="C1234" s="76"/>
      <c r="D1234" s="76"/>
      <c r="E1234" s="76"/>
      <c r="F1234" s="76"/>
      <c r="G1234" s="76"/>
      <c r="H1234" s="76"/>
      <c r="I1234" s="76"/>
      <c r="J1234" s="76"/>
      <c r="K1234" s="76"/>
      <c r="L1234" s="76"/>
      <c r="M1234" s="76" t="s">
        <v>4578</v>
      </c>
      <c r="N1234" s="76"/>
      <c r="O1234" s="76"/>
      <c r="P1234" s="76"/>
      <c r="Q1234" s="76"/>
      <c r="R1234" s="76"/>
      <c r="S1234" s="76"/>
      <c r="T1234" s="76"/>
      <c r="U1234" s="76" t="s">
        <v>4579</v>
      </c>
      <c r="V1234" s="76"/>
      <c r="W1234" s="76"/>
      <c r="X1234" s="76"/>
    </row>
    <row r="1235" ht="18.0" customHeight="1">
      <c r="A1235" s="76"/>
      <c r="B1235" s="76"/>
      <c r="C1235" s="76"/>
      <c r="D1235" s="76"/>
      <c r="E1235" s="76"/>
      <c r="F1235" s="76"/>
      <c r="G1235" s="76"/>
      <c r="H1235" s="76"/>
      <c r="I1235" s="76"/>
      <c r="J1235" s="76"/>
      <c r="K1235" s="76"/>
      <c r="L1235" s="76"/>
      <c r="M1235" s="76" t="s">
        <v>4580</v>
      </c>
      <c r="N1235" s="76"/>
      <c r="O1235" s="76"/>
      <c r="P1235" s="76"/>
      <c r="Q1235" s="76"/>
      <c r="R1235" s="76"/>
      <c r="S1235" s="76"/>
      <c r="T1235" s="76"/>
      <c r="U1235" s="76" t="s">
        <v>4581</v>
      </c>
      <c r="V1235" s="76"/>
      <c r="W1235" s="76"/>
      <c r="X1235" s="76"/>
    </row>
    <row r="1236" ht="18.0" customHeight="1">
      <c r="A1236" s="76"/>
      <c r="B1236" s="76"/>
      <c r="C1236" s="76"/>
      <c r="D1236" s="76"/>
      <c r="E1236" s="76"/>
      <c r="F1236" s="76"/>
      <c r="G1236" s="76"/>
      <c r="H1236" s="76"/>
      <c r="I1236" s="76"/>
      <c r="J1236" s="76"/>
      <c r="K1236" s="76"/>
      <c r="L1236" s="76"/>
      <c r="M1236" s="76" t="s">
        <v>4582</v>
      </c>
      <c r="N1236" s="76"/>
      <c r="O1236" s="76"/>
      <c r="P1236" s="76"/>
      <c r="Q1236" s="76"/>
      <c r="R1236" s="76"/>
      <c r="S1236" s="76"/>
      <c r="T1236" s="76"/>
      <c r="U1236" s="76" t="s">
        <v>4583</v>
      </c>
      <c r="V1236" s="76"/>
      <c r="W1236" s="76"/>
      <c r="X1236" s="76"/>
    </row>
    <row r="1237" ht="18.0" customHeight="1">
      <c r="A1237" s="76"/>
      <c r="B1237" s="76"/>
      <c r="C1237" s="76"/>
      <c r="D1237" s="76"/>
      <c r="E1237" s="76"/>
      <c r="F1237" s="76"/>
      <c r="G1237" s="76"/>
      <c r="H1237" s="76"/>
      <c r="I1237" s="76"/>
      <c r="J1237" s="76"/>
      <c r="K1237" s="76"/>
      <c r="L1237" s="76"/>
      <c r="M1237" s="76" t="s">
        <v>4584</v>
      </c>
      <c r="N1237" s="76"/>
      <c r="O1237" s="76"/>
      <c r="P1237" s="76"/>
      <c r="Q1237" s="76"/>
      <c r="R1237" s="76"/>
      <c r="S1237" s="76"/>
      <c r="T1237" s="76"/>
      <c r="U1237" s="76" t="s">
        <v>4585</v>
      </c>
      <c r="V1237" s="76"/>
      <c r="W1237" s="76"/>
      <c r="X1237" s="76"/>
    </row>
    <row r="1238" ht="18.0" customHeight="1">
      <c r="A1238" s="76"/>
      <c r="B1238" s="76"/>
      <c r="C1238" s="76"/>
      <c r="D1238" s="76"/>
      <c r="E1238" s="76"/>
      <c r="F1238" s="76"/>
      <c r="G1238" s="76"/>
      <c r="H1238" s="76"/>
      <c r="I1238" s="76"/>
      <c r="J1238" s="76"/>
      <c r="K1238" s="76"/>
      <c r="L1238" s="76"/>
      <c r="M1238" s="76" t="s">
        <v>4586</v>
      </c>
      <c r="N1238" s="76"/>
      <c r="O1238" s="76"/>
      <c r="P1238" s="76"/>
      <c r="Q1238" s="76"/>
      <c r="R1238" s="76"/>
      <c r="S1238" s="76"/>
      <c r="T1238" s="76"/>
      <c r="U1238" s="76" t="s">
        <v>4587</v>
      </c>
      <c r="V1238" s="76"/>
      <c r="W1238" s="76"/>
      <c r="X1238" s="76"/>
    </row>
    <row r="1239" ht="18.0" customHeight="1">
      <c r="A1239" s="76"/>
      <c r="B1239" s="76"/>
      <c r="C1239" s="76"/>
      <c r="D1239" s="76"/>
      <c r="E1239" s="76"/>
      <c r="F1239" s="76"/>
      <c r="G1239" s="76"/>
      <c r="H1239" s="76"/>
      <c r="I1239" s="76"/>
      <c r="J1239" s="76"/>
      <c r="K1239" s="76"/>
      <c r="L1239" s="76"/>
      <c r="M1239" s="76" t="s">
        <v>4588</v>
      </c>
      <c r="N1239" s="76"/>
      <c r="O1239" s="76"/>
      <c r="P1239" s="76"/>
      <c r="Q1239" s="76"/>
      <c r="R1239" s="76"/>
      <c r="S1239" s="76"/>
      <c r="T1239" s="76"/>
      <c r="U1239" s="76" t="s">
        <v>4589</v>
      </c>
      <c r="V1239" s="76"/>
      <c r="W1239" s="76"/>
      <c r="X1239" s="76"/>
    </row>
    <row r="1240" ht="18.0" customHeight="1">
      <c r="A1240" s="76"/>
      <c r="B1240" s="76"/>
      <c r="C1240" s="76"/>
      <c r="D1240" s="76"/>
      <c r="E1240" s="76"/>
      <c r="F1240" s="76"/>
      <c r="G1240" s="76"/>
      <c r="H1240" s="76"/>
      <c r="I1240" s="76"/>
      <c r="J1240" s="76"/>
      <c r="K1240" s="76"/>
      <c r="L1240" s="76"/>
      <c r="M1240" s="76" t="s">
        <v>4590</v>
      </c>
      <c r="N1240" s="76"/>
      <c r="O1240" s="76"/>
      <c r="P1240" s="76"/>
      <c r="Q1240" s="76"/>
      <c r="R1240" s="76"/>
      <c r="S1240" s="76"/>
      <c r="T1240" s="76"/>
      <c r="U1240" s="76" t="s">
        <v>4591</v>
      </c>
      <c r="V1240" s="76"/>
      <c r="W1240" s="76"/>
      <c r="X1240" s="76"/>
    </row>
    <row r="1241" ht="18.0" customHeight="1">
      <c r="A1241" s="76"/>
      <c r="B1241" s="76"/>
      <c r="C1241" s="76"/>
      <c r="D1241" s="76"/>
      <c r="E1241" s="76"/>
      <c r="F1241" s="76"/>
      <c r="G1241" s="76"/>
      <c r="H1241" s="76"/>
      <c r="I1241" s="76"/>
      <c r="J1241" s="76"/>
      <c r="K1241" s="76"/>
      <c r="L1241" s="76"/>
      <c r="M1241" s="76" t="s">
        <v>4592</v>
      </c>
      <c r="N1241" s="76"/>
      <c r="O1241" s="76"/>
      <c r="P1241" s="76"/>
      <c r="Q1241" s="76"/>
      <c r="R1241" s="76"/>
      <c r="S1241" s="76"/>
      <c r="T1241" s="76"/>
      <c r="U1241" s="76" t="s">
        <v>4593</v>
      </c>
      <c r="V1241" s="76"/>
      <c r="W1241" s="76"/>
      <c r="X1241" s="76"/>
    </row>
    <row r="1242" ht="18.0" customHeight="1">
      <c r="A1242" s="76"/>
      <c r="B1242" s="76"/>
      <c r="C1242" s="76"/>
      <c r="D1242" s="76"/>
      <c r="E1242" s="76"/>
      <c r="F1242" s="76"/>
      <c r="G1242" s="76"/>
      <c r="H1242" s="76"/>
      <c r="I1242" s="76"/>
      <c r="J1242" s="76"/>
      <c r="K1242" s="76"/>
      <c r="L1242" s="76"/>
      <c r="M1242" s="76" t="s">
        <v>4594</v>
      </c>
      <c r="N1242" s="76"/>
      <c r="O1242" s="76"/>
      <c r="P1242" s="76"/>
      <c r="Q1242" s="76"/>
      <c r="R1242" s="76"/>
      <c r="S1242" s="76"/>
      <c r="T1242" s="76"/>
      <c r="U1242" s="76" t="s">
        <v>4595</v>
      </c>
      <c r="V1242" s="76"/>
      <c r="W1242" s="76"/>
      <c r="X1242" s="76"/>
    </row>
    <row r="1243" ht="18.0" customHeight="1">
      <c r="A1243" s="76"/>
      <c r="B1243" s="76"/>
      <c r="C1243" s="76"/>
      <c r="D1243" s="76"/>
      <c r="E1243" s="76"/>
      <c r="F1243" s="76"/>
      <c r="G1243" s="76"/>
      <c r="H1243" s="76"/>
      <c r="I1243" s="76"/>
      <c r="J1243" s="76"/>
      <c r="K1243" s="76"/>
      <c r="L1243" s="76"/>
      <c r="M1243" s="76" t="s">
        <v>4596</v>
      </c>
      <c r="N1243" s="76"/>
      <c r="O1243" s="76"/>
      <c r="P1243" s="76"/>
      <c r="Q1243" s="76"/>
      <c r="R1243" s="76"/>
      <c r="S1243" s="76"/>
      <c r="T1243" s="76"/>
      <c r="U1243" s="76" t="s">
        <v>4597</v>
      </c>
      <c r="V1243" s="76"/>
      <c r="W1243" s="76"/>
      <c r="X1243" s="76"/>
    </row>
    <row r="1244" ht="18.0" customHeight="1">
      <c r="A1244" s="76"/>
      <c r="B1244" s="76"/>
      <c r="C1244" s="76"/>
      <c r="D1244" s="76"/>
      <c r="E1244" s="76"/>
      <c r="F1244" s="76"/>
      <c r="G1244" s="76"/>
      <c r="H1244" s="76"/>
      <c r="I1244" s="76"/>
      <c r="J1244" s="76"/>
      <c r="K1244" s="76"/>
      <c r="L1244" s="76"/>
      <c r="M1244" s="76" t="s">
        <v>4598</v>
      </c>
      <c r="N1244" s="76"/>
      <c r="O1244" s="76"/>
      <c r="P1244" s="76"/>
      <c r="Q1244" s="76"/>
      <c r="R1244" s="76"/>
      <c r="S1244" s="76"/>
      <c r="T1244" s="76"/>
      <c r="U1244" s="76" t="s">
        <v>4599</v>
      </c>
      <c r="V1244" s="76"/>
      <c r="W1244" s="76"/>
      <c r="X1244" s="76"/>
    </row>
    <row r="1245" ht="18.0" customHeight="1">
      <c r="A1245" s="76"/>
      <c r="B1245" s="76"/>
      <c r="C1245" s="76"/>
      <c r="D1245" s="76"/>
      <c r="E1245" s="76"/>
      <c r="F1245" s="76"/>
      <c r="G1245" s="76"/>
      <c r="H1245" s="76"/>
      <c r="I1245" s="76"/>
      <c r="J1245" s="76"/>
      <c r="K1245" s="76"/>
      <c r="L1245" s="76"/>
      <c r="M1245" s="76" t="s">
        <v>4600</v>
      </c>
      <c r="N1245" s="76"/>
      <c r="O1245" s="76"/>
      <c r="P1245" s="76"/>
      <c r="Q1245" s="76"/>
      <c r="R1245" s="76"/>
      <c r="S1245" s="76"/>
      <c r="T1245" s="76"/>
      <c r="U1245" s="76" t="s">
        <v>4601</v>
      </c>
      <c r="V1245" s="76"/>
      <c r="W1245" s="76"/>
      <c r="X1245" s="76"/>
    </row>
    <row r="1246" ht="18.0" customHeight="1">
      <c r="A1246" s="76"/>
      <c r="B1246" s="76"/>
      <c r="C1246" s="76"/>
      <c r="D1246" s="76"/>
      <c r="E1246" s="76"/>
      <c r="F1246" s="76"/>
      <c r="G1246" s="76"/>
      <c r="H1246" s="76"/>
      <c r="I1246" s="76"/>
      <c r="J1246" s="76"/>
      <c r="K1246" s="76"/>
      <c r="L1246" s="76"/>
      <c r="M1246" s="76" t="s">
        <v>3253</v>
      </c>
      <c r="N1246" s="76"/>
      <c r="O1246" s="76"/>
      <c r="P1246" s="76"/>
      <c r="Q1246" s="76"/>
      <c r="R1246" s="76"/>
      <c r="S1246" s="76"/>
      <c r="T1246" s="76"/>
      <c r="U1246" s="76" t="s">
        <v>4602</v>
      </c>
      <c r="V1246" s="76"/>
      <c r="W1246" s="76"/>
      <c r="X1246" s="76"/>
    </row>
    <row r="1247" ht="18.0" customHeight="1">
      <c r="A1247" s="76"/>
      <c r="B1247" s="76"/>
      <c r="C1247" s="76"/>
      <c r="D1247" s="76"/>
      <c r="E1247" s="76"/>
      <c r="F1247" s="76"/>
      <c r="G1247" s="76"/>
      <c r="H1247" s="76"/>
      <c r="I1247" s="76"/>
      <c r="J1247" s="76"/>
      <c r="K1247" s="76"/>
      <c r="L1247" s="76"/>
      <c r="M1247" s="76" t="s">
        <v>3256</v>
      </c>
      <c r="N1247" s="76"/>
      <c r="O1247" s="76"/>
      <c r="P1247" s="76"/>
      <c r="Q1247" s="76"/>
      <c r="R1247" s="76"/>
      <c r="S1247" s="76"/>
      <c r="T1247" s="76"/>
      <c r="U1247" s="76" t="s">
        <v>4603</v>
      </c>
      <c r="V1247" s="76"/>
      <c r="W1247" s="76"/>
      <c r="X1247" s="76"/>
    </row>
    <row r="1248" ht="18.0" customHeight="1">
      <c r="A1248" s="76"/>
      <c r="B1248" s="76"/>
      <c r="C1248" s="76"/>
      <c r="D1248" s="76"/>
      <c r="E1248" s="76"/>
      <c r="F1248" s="76"/>
      <c r="G1248" s="76"/>
      <c r="H1248" s="76"/>
      <c r="I1248" s="76"/>
      <c r="J1248" s="76"/>
      <c r="K1248" s="76"/>
      <c r="L1248" s="76"/>
      <c r="M1248" s="76" t="s">
        <v>4604</v>
      </c>
      <c r="N1248" s="76"/>
      <c r="O1248" s="76"/>
      <c r="P1248" s="76"/>
      <c r="Q1248" s="76"/>
      <c r="R1248" s="76"/>
      <c r="S1248" s="76"/>
      <c r="T1248" s="76"/>
      <c r="U1248" s="76" t="s">
        <v>4605</v>
      </c>
      <c r="V1248" s="76"/>
      <c r="W1248" s="76"/>
      <c r="X1248" s="76"/>
    </row>
    <row r="1249" ht="18.0" customHeight="1">
      <c r="A1249" s="76"/>
      <c r="B1249" s="76"/>
      <c r="C1249" s="76"/>
      <c r="D1249" s="76"/>
      <c r="E1249" s="76"/>
      <c r="F1249" s="76"/>
      <c r="G1249" s="76"/>
      <c r="H1249" s="76"/>
      <c r="I1249" s="76"/>
      <c r="J1249" s="76"/>
      <c r="K1249" s="76"/>
      <c r="L1249" s="76"/>
      <c r="M1249" s="76" t="s">
        <v>3266</v>
      </c>
      <c r="N1249" s="76"/>
      <c r="O1249" s="76"/>
      <c r="P1249" s="76"/>
      <c r="Q1249" s="76"/>
      <c r="R1249" s="76"/>
      <c r="S1249" s="76"/>
      <c r="T1249" s="76"/>
      <c r="U1249" s="76" t="s">
        <v>4606</v>
      </c>
      <c r="V1249" s="76"/>
      <c r="W1249" s="76"/>
      <c r="X1249" s="76"/>
    </row>
    <row r="1250" ht="18.0" customHeight="1">
      <c r="A1250" s="76"/>
      <c r="B1250" s="76"/>
      <c r="C1250" s="76"/>
      <c r="D1250" s="76"/>
      <c r="E1250" s="76"/>
      <c r="F1250" s="76"/>
      <c r="G1250" s="76"/>
      <c r="H1250" s="76"/>
      <c r="I1250" s="76"/>
      <c r="J1250" s="76"/>
      <c r="K1250" s="76"/>
      <c r="L1250" s="76"/>
      <c r="M1250" s="76" t="s">
        <v>4607</v>
      </c>
      <c r="N1250" s="76"/>
      <c r="O1250" s="76"/>
      <c r="P1250" s="76"/>
      <c r="Q1250" s="76"/>
      <c r="R1250" s="76"/>
      <c r="S1250" s="76"/>
      <c r="T1250" s="76"/>
      <c r="U1250" s="76" t="s">
        <v>4608</v>
      </c>
      <c r="V1250" s="76"/>
      <c r="W1250" s="76"/>
      <c r="X1250" s="76"/>
    </row>
    <row r="1251" ht="18.0" customHeight="1">
      <c r="A1251" s="76"/>
      <c r="B1251" s="76"/>
      <c r="C1251" s="76"/>
      <c r="D1251" s="76"/>
      <c r="E1251" s="76"/>
      <c r="F1251" s="76"/>
      <c r="G1251" s="76"/>
      <c r="H1251" s="76"/>
      <c r="I1251" s="76"/>
      <c r="J1251" s="76"/>
      <c r="K1251" s="76"/>
      <c r="L1251" s="76"/>
      <c r="M1251" s="76" t="s">
        <v>4609</v>
      </c>
      <c r="N1251" s="76"/>
      <c r="O1251" s="76"/>
      <c r="P1251" s="76"/>
      <c r="Q1251" s="76"/>
      <c r="R1251" s="76"/>
      <c r="S1251" s="76"/>
      <c r="T1251" s="76"/>
      <c r="U1251" s="76" t="s">
        <v>4610</v>
      </c>
      <c r="V1251" s="76"/>
      <c r="W1251" s="76"/>
      <c r="X1251" s="76"/>
    </row>
    <row r="1252" ht="18.0" customHeight="1">
      <c r="A1252" s="76"/>
      <c r="B1252" s="76"/>
      <c r="C1252" s="76"/>
      <c r="D1252" s="76"/>
      <c r="E1252" s="76"/>
      <c r="F1252" s="76"/>
      <c r="G1252" s="76"/>
      <c r="H1252" s="76"/>
      <c r="I1252" s="76"/>
      <c r="J1252" s="76"/>
      <c r="K1252" s="76"/>
      <c r="L1252" s="76"/>
      <c r="M1252" s="76" t="s">
        <v>3263</v>
      </c>
      <c r="N1252" s="76"/>
      <c r="O1252" s="76"/>
      <c r="P1252" s="76"/>
      <c r="Q1252" s="76"/>
      <c r="R1252" s="76"/>
      <c r="S1252" s="76"/>
      <c r="T1252" s="76"/>
      <c r="U1252" s="76" t="s">
        <v>4611</v>
      </c>
      <c r="V1252" s="76"/>
      <c r="W1252" s="76"/>
      <c r="X1252" s="76"/>
    </row>
    <row r="1253" ht="18.0" customHeight="1">
      <c r="A1253" s="76"/>
      <c r="B1253" s="76"/>
      <c r="C1253" s="76"/>
      <c r="D1253" s="76"/>
      <c r="E1253" s="76"/>
      <c r="F1253" s="76"/>
      <c r="G1253" s="76"/>
      <c r="H1253" s="76"/>
      <c r="I1253" s="76"/>
      <c r="J1253" s="76"/>
      <c r="K1253" s="76"/>
      <c r="L1253" s="76"/>
      <c r="M1253" s="76" t="s">
        <v>3244</v>
      </c>
      <c r="N1253" s="76"/>
      <c r="O1253" s="76"/>
      <c r="P1253" s="76"/>
      <c r="Q1253" s="76"/>
      <c r="R1253" s="76"/>
      <c r="S1253" s="76"/>
      <c r="T1253" s="76"/>
      <c r="U1253" s="76" t="s">
        <v>4612</v>
      </c>
      <c r="V1253" s="76"/>
      <c r="W1253" s="76"/>
      <c r="X1253" s="76"/>
    </row>
    <row r="1254" ht="18.0" customHeight="1">
      <c r="A1254" s="76"/>
      <c r="B1254" s="76"/>
      <c r="C1254" s="76"/>
      <c r="D1254" s="76"/>
      <c r="E1254" s="76"/>
      <c r="F1254" s="76"/>
      <c r="G1254" s="76"/>
      <c r="H1254" s="76"/>
      <c r="I1254" s="76"/>
      <c r="J1254" s="76"/>
      <c r="K1254" s="76"/>
      <c r="L1254" s="76"/>
      <c r="M1254" s="76" t="s">
        <v>3247</v>
      </c>
      <c r="N1254" s="76"/>
      <c r="O1254" s="76"/>
      <c r="P1254" s="76"/>
      <c r="Q1254" s="76"/>
      <c r="R1254" s="76"/>
      <c r="S1254" s="76"/>
      <c r="T1254" s="76"/>
      <c r="U1254" s="76" t="s">
        <v>4613</v>
      </c>
      <c r="V1254" s="76"/>
      <c r="W1254" s="76"/>
      <c r="X1254" s="76"/>
    </row>
    <row r="1255" ht="18.0" customHeight="1">
      <c r="A1255" s="76"/>
      <c r="B1255" s="76"/>
      <c r="C1255" s="76"/>
      <c r="D1255" s="76"/>
      <c r="E1255" s="76"/>
      <c r="F1255" s="76"/>
      <c r="G1255" s="76"/>
      <c r="H1255" s="76"/>
      <c r="I1255" s="76"/>
      <c r="J1255" s="76"/>
      <c r="K1255" s="76"/>
      <c r="L1255" s="76"/>
      <c r="M1255" s="76" t="s">
        <v>3241</v>
      </c>
      <c r="N1255" s="76"/>
      <c r="O1255" s="76"/>
      <c r="P1255" s="76"/>
      <c r="Q1255" s="76"/>
      <c r="R1255" s="76"/>
      <c r="S1255" s="76"/>
      <c r="T1255" s="76"/>
      <c r="U1255" s="76" t="s">
        <v>4614</v>
      </c>
      <c r="V1255" s="76"/>
      <c r="W1255" s="76"/>
      <c r="X1255" s="76"/>
    </row>
    <row r="1256" ht="18.0" customHeight="1">
      <c r="A1256" s="76"/>
      <c r="B1256" s="76"/>
      <c r="C1256" s="76"/>
      <c r="D1256" s="76"/>
      <c r="E1256" s="76"/>
      <c r="F1256" s="76"/>
      <c r="G1256" s="76"/>
      <c r="H1256" s="76"/>
      <c r="I1256" s="76"/>
      <c r="J1256" s="76"/>
      <c r="K1256" s="76"/>
      <c r="L1256" s="76"/>
      <c r="M1256" s="76" t="s">
        <v>4615</v>
      </c>
      <c r="N1256" s="76"/>
      <c r="O1256" s="76"/>
      <c r="P1256" s="76"/>
      <c r="Q1256" s="76"/>
      <c r="R1256" s="76"/>
      <c r="S1256" s="76"/>
      <c r="T1256" s="76"/>
      <c r="U1256" s="76" t="s">
        <v>4616</v>
      </c>
      <c r="V1256" s="76"/>
      <c r="W1256" s="76"/>
      <c r="X1256" s="76"/>
    </row>
    <row r="1257" ht="18.0" customHeight="1">
      <c r="A1257" s="76"/>
      <c r="B1257" s="76"/>
      <c r="C1257" s="76"/>
      <c r="D1257" s="76"/>
      <c r="E1257" s="76"/>
      <c r="F1257" s="76"/>
      <c r="G1257" s="76"/>
      <c r="H1257" s="76"/>
      <c r="I1257" s="76"/>
      <c r="J1257" s="76"/>
      <c r="K1257" s="76"/>
      <c r="L1257" s="76"/>
      <c r="M1257" s="76" t="s">
        <v>4617</v>
      </c>
      <c r="N1257" s="76"/>
      <c r="O1257" s="76"/>
      <c r="P1257" s="76"/>
      <c r="Q1257" s="76"/>
      <c r="R1257" s="76"/>
      <c r="S1257" s="76"/>
      <c r="T1257" s="76"/>
      <c r="U1257" s="76" t="s">
        <v>4618</v>
      </c>
      <c r="V1257" s="76"/>
      <c r="W1257" s="76"/>
      <c r="X1257" s="76"/>
    </row>
    <row r="1258" ht="18.0" customHeight="1">
      <c r="A1258" s="76"/>
      <c r="B1258" s="76"/>
      <c r="C1258" s="76"/>
      <c r="D1258" s="76"/>
      <c r="E1258" s="76"/>
      <c r="F1258" s="76"/>
      <c r="G1258" s="76"/>
      <c r="H1258" s="76"/>
      <c r="I1258" s="76"/>
      <c r="J1258" s="76"/>
      <c r="K1258" s="76"/>
      <c r="L1258" s="76"/>
      <c r="M1258" s="76" t="s">
        <v>4619</v>
      </c>
      <c r="N1258" s="76"/>
      <c r="O1258" s="76"/>
      <c r="P1258" s="76"/>
      <c r="Q1258" s="76"/>
      <c r="R1258" s="76"/>
      <c r="S1258" s="76"/>
      <c r="T1258" s="76"/>
      <c r="U1258" s="76" t="s">
        <v>4620</v>
      </c>
      <c r="V1258" s="76"/>
      <c r="W1258" s="76"/>
      <c r="X1258" s="76"/>
    </row>
    <row r="1259" ht="18.0" customHeight="1">
      <c r="A1259" s="76"/>
      <c r="B1259" s="76"/>
      <c r="C1259" s="76"/>
      <c r="D1259" s="76"/>
      <c r="E1259" s="76"/>
      <c r="F1259" s="76"/>
      <c r="G1259" s="76"/>
      <c r="H1259" s="76"/>
      <c r="I1259" s="76"/>
      <c r="J1259" s="76"/>
      <c r="K1259" s="76"/>
      <c r="L1259" s="76"/>
      <c r="M1259" s="76" t="s">
        <v>4621</v>
      </c>
      <c r="N1259" s="76"/>
      <c r="O1259" s="76"/>
      <c r="P1259" s="76"/>
      <c r="Q1259" s="76"/>
      <c r="R1259" s="76"/>
      <c r="S1259" s="76"/>
      <c r="T1259" s="76"/>
      <c r="U1259" s="76" t="s">
        <v>4622</v>
      </c>
      <c r="V1259" s="76"/>
      <c r="W1259" s="76"/>
      <c r="X1259" s="76"/>
    </row>
    <row r="1260" ht="18.0" customHeight="1">
      <c r="A1260" s="76"/>
      <c r="B1260" s="76"/>
      <c r="C1260" s="76"/>
      <c r="D1260" s="76"/>
      <c r="E1260" s="76"/>
      <c r="F1260" s="76"/>
      <c r="G1260" s="76"/>
      <c r="H1260" s="76"/>
      <c r="I1260" s="76"/>
      <c r="J1260" s="76"/>
      <c r="K1260" s="76"/>
      <c r="L1260" s="76"/>
      <c r="M1260" s="76" t="s">
        <v>3211</v>
      </c>
      <c r="N1260" s="76"/>
      <c r="O1260" s="76"/>
      <c r="P1260" s="76"/>
      <c r="Q1260" s="76"/>
      <c r="R1260" s="76"/>
      <c r="S1260" s="76"/>
      <c r="T1260" s="76"/>
      <c r="U1260" s="76" t="s">
        <v>4623</v>
      </c>
      <c r="V1260" s="76"/>
      <c r="W1260" s="76"/>
      <c r="X1260" s="76"/>
    </row>
    <row r="1261" ht="18.0" customHeight="1">
      <c r="A1261" s="76"/>
      <c r="B1261" s="76"/>
      <c r="C1261" s="76"/>
      <c r="D1261" s="76"/>
      <c r="E1261" s="76"/>
      <c r="F1261" s="76"/>
      <c r="G1261" s="76"/>
      <c r="H1261" s="76"/>
      <c r="I1261" s="76"/>
      <c r="J1261" s="76"/>
      <c r="K1261" s="76"/>
      <c r="L1261" s="76"/>
      <c r="M1261" s="76" t="s">
        <v>4624</v>
      </c>
      <c r="N1261" s="76"/>
      <c r="O1261" s="76"/>
      <c r="P1261" s="76"/>
      <c r="Q1261" s="76"/>
      <c r="R1261" s="76"/>
      <c r="S1261" s="76"/>
      <c r="T1261" s="76"/>
      <c r="U1261" s="76" t="s">
        <v>4625</v>
      </c>
      <c r="V1261" s="76"/>
      <c r="W1261" s="76"/>
      <c r="X1261" s="76"/>
    </row>
    <row r="1262" ht="18.0" customHeight="1">
      <c r="A1262" s="76"/>
      <c r="B1262" s="76"/>
      <c r="C1262" s="76"/>
      <c r="D1262" s="76"/>
      <c r="E1262" s="76"/>
      <c r="F1262" s="76"/>
      <c r="G1262" s="76"/>
      <c r="H1262" s="76"/>
      <c r="I1262" s="76"/>
      <c r="J1262" s="76"/>
      <c r="K1262" s="76"/>
      <c r="L1262" s="76"/>
      <c r="M1262" s="76" t="s">
        <v>4626</v>
      </c>
      <c r="N1262" s="76"/>
      <c r="O1262" s="76"/>
      <c r="P1262" s="76"/>
      <c r="Q1262" s="76"/>
      <c r="R1262" s="76"/>
      <c r="S1262" s="76"/>
      <c r="T1262" s="76"/>
      <c r="U1262" s="76" t="s">
        <v>4627</v>
      </c>
      <c r="V1262" s="76"/>
      <c r="W1262" s="76"/>
      <c r="X1262" s="76"/>
    </row>
    <row r="1263" ht="18.0" customHeight="1">
      <c r="A1263" s="76"/>
      <c r="B1263" s="76"/>
      <c r="C1263" s="76"/>
      <c r="D1263" s="76"/>
      <c r="E1263" s="76"/>
      <c r="F1263" s="76"/>
      <c r="G1263" s="76"/>
      <c r="H1263" s="76"/>
      <c r="I1263" s="76"/>
      <c r="J1263" s="76"/>
      <c r="K1263" s="76"/>
      <c r="L1263" s="76"/>
      <c r="M1263" s="76" t="s">
        <v>4628</v>
      </c>
      <c r="N1263" s="76"/>
      <c r="O1263" s="76"/>
      <c r="P1263" s="76"/>
      <c r="Q1263" s="76"/>
      <c r="R1263" s="76"/>
      <c r="S1263" s="76"/>
      <c r="T1263" s="76"/>
      <c r="U1263" s="76" t="s">
        <v>4629</v>
      </c>
      <c r="V1263" s="76"/>
      <c r="W1263" s="76"/>
      <c r="X1263" s="76"/>
    </row>
    <row r="1264" ht="18.0" customHeight="1">
      <c r="A1264" s="76"/>
      <c r="B1264" s="76"/>
      <c r="C1264" s="76"/>
      <c r="D1264" s="76"/>
      <c r="E1264" s="76"/>
      <c r="F1264" s="76"/>
      <c r="G1264" s="76"/>
      <c r="H1264" s="76"/>
      <c r="I1264" s="76"/>
      <c r="J1264" s="76"/>
      <c r="K1264" s="76"/>
      <c r="L1264" s="76"/>
      <c r="M1264" s="76" t="s">
        <v>4630</v>
      </c>
      <c r="N1264" s="76"/>
      <c r="O1264" s="76"/>
      <c r="P1264" s="76"/>
      <c r="Q1264" s="76"/>
      <c r="R1264" s="76"/>
      <c r="S1264" s="76"/>
      <c r="T1264" s="76"/>
      <c r="U1264" s="76" t="s">
        <v>4631</v>
      </c>
      <c r="V1264" s="76"/>
      <c r="W1264" s="76"/>
      <c r="X1264" s="76"/>
    </row>
    <row r="1265" ht="18.0" customHeight="1">
      <c r="A1265" s="76"/>
      <c r="B1265" s="76"/>
      <c r="C1265" s="76"/>
      <c r="D1265" s="76"/>
      <c r="E1265" s="76"/>
      <c r="F1265" s="76"/>
      <c r="G1265" s="76"/>
      <c r="H1265" s="76"/>
      <c r="I1265" s="76"/>
      <c r="J1265" s="76"/>
      <c r="K1265" s="76"/>
      <c r="L1265" s="76"/>
      <c r="M1265" s="76" t="s">
        <v>3217</v>
      </c>
      <c r="N1265" s="76"/>
      <c r="O1265" s="76"/>
      <c r="P1265" s="76"/>
      <c r="Q1265" s="76"/>
      <c r="R1265" s="76"/>
      <c r="S1265" s="76"/>
      <c r="T1265" s="76"/>
      <c r="U1265" s="76" t="s">
        <v>4632</v>
      </c>
      <c r="V1265" s="76"/>
      <c r="W1265" s="76"/>
      <c r="X1265" s="76"/>
    </row>
    <row r="1266" ht="18.0" customHeight="1">
      <c r="A1266" s="76"/>
      <c r="B1266" s="76"/>
      <c r="C1266" s="76"/>
      <c r="D1266" s="76"/>
      <c r="E1266" s="76"/>
      <c r="F1266" s="76"/>
      <c r="G1266" s="76"/>
      <c r="H1266" s="76"/>
      <c r="I1266" s="76"/>
      <c r="J1266" s="76"/>
      <c r="K1266" s="76"/>
      <c r="L1266" s="76"/>
      <c r="M1266" s="76" t="s">
        <v>4633</v>
      </c>
      <c r="N1266" s="76"/>
      <c r="O1266" s="76"/>
      <c r="P1266" s="76"/>
      <c r="Q1266" s="76"/>
      <c r="R1266" s="76"/>
      <c r="S1266" s="76"/>
      <c r="T1266" s="76"/>
      <c r="U1266" s="76" t="s">
        <v>4634</v>
      </c>
      <c r="V1266" s="76"/>
      <c r="W1266" s="76"/>
      <c r="X1266" s="76"/>
    </row>
    <row r="1267" ht="18.0" customHeight="1">
      <c r="A1267" s="76"/>
      <c r="B1267" s="76"/>
      <c r="C1267" s="76"/>
      <c r="D1267" s="76"/>
      <c r="E1267" s="76"/>
      <c r="F1267" s="76"/>
      <c r="G1267" s="76"/>
      <c r="H1267" s="76"/>
      <c r="I1267" s="76"/>
      <c r="J1267" s="76"/>
      <c r="K1267" s="76"/>
      <c r="L1267" s="76"/>
      <c r="M1267" s="76" t="s">
        <v>3226</v>
      </c>
      <c r="N1267" s="76"/>
      <c r="O1267" s="76"/>
      <c r="P1267" s="76"/>
      <c r="Q1267" s="76"/>
      <c r="R1267" s="76"/>
      <c r="S1267" s="76"/>
      <c r="T1267" s="76"/>
      <c r="U1267" s="76" t="s">
        <v>4635</v>
      </c>
      <c r="V1267" s="76"/>
      <c r="W1267" s="76"/>
      <c r="X1267" s="76"/>
    </row>
    <row r="1268" ht="18.0" customHeight="1">
      <c r="A1268" s="76"/>
      <c r="B1268" s="76"/>
      <c r="C1268" s="76"/>
      <c r="D1268" s="76"/>
      <c r="E1268" s="76"/>
      <c r="F1268" s="76"/>
      <c r="G1268" s="76"/>
      <c r="H1268" s="76"/>
      <c r="I1268" s="76"/>
      <c r="J1268" s="76"/>
      <c r="K1268" s="76"/>
      <c r="L1268" s="76"/>
      <c r="M1268" s="76" t="s">
        <v>3223</v>
      </c>
      <c r="N1268" s="76"/>
      <c r="O1268" s="76"/>
      <c r="P1268" s="76"/>
      <c r="Q1268" s="76"/>
      <c r="R1268" s="76"/>
      <c r="S1268" s="76"/>
      <c r="T1268" s="76"/>
      <c r="U1268" s="76" t="s">
        <v>4636</v>
      </c>
      <c r="V1268" s="76"/>
      <c r="W1268" s="76"/>
      <c r="X1268" s="76"/>
    </row>
    <row r="1269" ht="18.0" customHeight="1">
      <c r="A1269" s="76"/>
      <c r="B1269" s="76"/>
      <c r="C1269" s="76"/>
      <c r="D1269" s="76"/>
      <c r="E1269" s="76"/>
      <c r="F1269" s="76"/>
      <c r="G1269" s="76"/>
      <c r="H1269" s="76"/>
      <c r="I1269" s="76"/>
      <c r="J1269" s="76"/>
      <c r="K1269" s="76"/>
      <c r="L1269" s="76"/>
      <c r="M1269" s="76" t="s">
        <v>3220</v>
      </c>
      <c r="N1269" s="76"/>
      <c r="O1269" s="76"/>
      <c r="P1269" s="76"/>
      <c r="Q1269" s="76"/>
      <c r="R1269" s="76"/>
      <c r="S1269" s="76"/>
      <c r="T1269" s="76"/>
      <c r="U1269" s="76" t="s">
        <v>4637</v>
      </c>
      <c r="V1269" s="76"/>
      <c r="W1269" s="76"/>
      <c r="X1269" s="76"/>
    </row>
    <row r="1270" ht="18.0" customHeight="1">
      <c r="A1270" s="76"/>
      <c r="B1270" s="76"/>
      <c r="C1270" s="76"/>
      <c r="D1270" s="76"/>
      <c r="E1270" s="76"/>
      <c r="F1270" s="76"/>
      <c r="G1270" s="76"/>
      <c r="H1270" s="76"/>
      <c r="I1270" s="76"/>
      <c r="J1270" s="76"/>
      <c r="K1270" s="76"/>
      <c r="L1270" s="76"/>
      <c r="M1270" s="76" t="s">
        <v>4638</v>
      </c>
      <c r="N1270" s="76"/>
      <c r="O1270" s="76"/>
      <c r="P1270" s="76"/>
      <c r="Q1270" s="76"/>
      <c r="R1270" s="76"/>
      <c r="S1270" s="76"/>
      <c r="T1270" s="76"/>
      <c r="U1270" s="76" t="s">
        <v>4639</v>
      </c>
      <c r="V1270" s="76"/>
      <c r="W1270" s="76"/>
      <c r="X1270" s="76"/>
    </row>
    <row r="1271" ht="18.0" customHeight="1">
      <c r="A1271" s="76"/>
      <c r="B1271" s="76"/>
      <c r="C1271" s="76"/>
      <c r="D1271" s="76"/>
      <c r="E1271" s="76"/>
      <c r="F1271" s="76"/>
      <c r="G1271" s="76"/>
      <c r="H1271" s="76"/>
      <c r="I1271" s="76"/>
      <c r="J1271" s="76"/>
      <c r="K1271" s="76"/>
      <c r="L1271" s="76"/>
      <c r="M1271" s="76" t="s">
        <v>3229</v>
      </c>
      <c r="N1271" s="76"/>
      <c r="O1271" s="76"/>
      <c r="P1271" s="76"/>
      <c r="Q1271" s="76"/>
      <c r="R1271" s="76"/>
      <c r="S1271" s="76"/>
      <c r="T1271" s="76"/>
      <c r="U1271" s="76" t="s">
        <v>4640</v>
      </c>
      <c r="V1271" s="76"/>
      <c r="W1271" s="76"/>
      <c r="X1271" s="76"/>
    </row>
    <row r="1272" ht="18.0" customHeight="1">
      <c r="A1272" s="76"/>
      <c r="B1272" s="76"/>
      <c r="C1272" s="76"/>
      <c r="D1272" s="76"/>
      <c r="E1272" s="76"/>
      <c r="F1272" s="76"/>
      <c r="G1272" s="76"/>
      <c r="H1272" s="76"/>
      <c r="I1272" s="76"/>
      <c r="J1272" s="76"/>
      <c r="K1272" s="76"/>
      <c r="L1272" s="76"/>
      <c r="M1272" s="76" t="s">
        <v>4641</v>
      </c>
      <c r="N1272" s="76"/>
      <c r="O1272" s="76"/>
      <c r="P1272" s="76"/>
      <c r="Q1272" s="76"/>
      <c r="R1272" s="76"/>
      <c r="S1272" s="76"/>
      <c r="T1272" s="76"/>
      <c r="U1272" s="76" t="s">
        <v>4642</v>
      </c>
      <c r="V1272" s="76"/>
      <c r="W1272" s="76"/>
      <c r="X1272" s="76"/>
    </row>
    <row r="1273" ht="18.0" customHeight="1">
      <c r="A1273" s="76"/>
      <c r="B1273" s="76"/>
      <c r="C1273" s="76"/>
      <c r="D1273" s="76"/>
      <c r="E1273" s="76"/>
      <c r="F1273" s="76"/>
      <c r="G1273" s="76"/>
      <c r="H1273" s="76"/>
      <c r="I1273" s="76"/>
      <c r="J1273" s="76"/>
      <c r="K1273" s="76"/>
      <c r="L1273" s="76"/>
      <c r="M1273" s="76" t="s">
        <v>4643</v>
      </c>
      <c r="N1273" s="76"/>
      <c r="O1273" s="76"/>
      <c r="P1273" s="76"/>
      <c r="Q1273" s="76"/>
      <c r="R1273" s="76"/>
      <c r="S1273" s="76"/>
      <c r="T1273" s="76"/>
      <c r="U1273" s="76" t="s">
        <v>4644</v>
      </c>
      <c r="V1273" s="76"/>
      <c r="W1273" s="76"/>
      <c r="X1273" s="76"/>
    </row>
    <row r="1274" ht="18.0" customHeight="1">
      <c r="A1274" s="76"/>
      <c r="B1274" s="76"/>
      <c r="C1274" s="76"/>
      <c r="D1274" s="76"/>
      <c r="E1274" s="76"/>
      <c r="F1274" s="76"/>
      <c r="G1274" s="76"/>
      <c r="H1274" s="76"/>
      <c r="I1274" s="76"/>
      <c r="J1274" s="76"/>
      <c r="K1274" s="76"/>
      <c r="L1274" s="76"/>
      <c r="M1274" s="76" t="s">
        <v>4645</v>
      </c>
      <c r="N1274" s="76"/>
      <c r="O1274" s="76"/>
      <c r="P1274" s="76"/>
      <c r="Q1274" s="76"/>
      <c r="R1274" s="76"/>
      <c r="S1274" s="76"/>
      <c r="T1274" s="76"/>
      <c r="U1274" s="76" t="s">
        <v>4646</v>
      </c>
      <c r="V1274" s="76"/>
      <c r="W1274" s="76"/>
      <c r="X1274" s="76"/>
    </row>
    <row r="1275" ht="18.0" customHeight="1">
      <c r="A1275" s="76"/>
      <c r="B1275" s="76"/>
      <c r="C1275" s="76"/>
      <c r="D1275" s="76"/>
      <c r="E1275" s="76"/>
      <c r="F1275" s="76"/>
      <c r="G1275" s="76"/>
      <c r="H1275" s="76"/>
      <c r="I1275" s="76"/>
      <c r="J1275" s="76"/>
      <c r="K1275" s="76"/>
      <c r="L1275" s="76"/>
      <c r="M1275" s="76" t="s">
        <v>4647</v>
      </c>
      <c r="N1275" s="76"/>
      <c r="O1275" s="76"/>
      <c r="P1275" s="76"/>
      <c r="Q1275" s="76"/>
      <c r="R1275" s="76"/>
      <c r="S1275" s="76"/>
      <c r="T1275" s="76"/>
      <c r="U1275" s="76" t="s">
        <v>4648</v>
      </c>
      <c r="V1275" s="76"/>
      <c r="W1275" s="76"/>
      <c r="X1275" s="76"/>
    </row>
    <row r="1276" ht="18.0" customHeight="1">
      <c r="A1276" s="76"/>
      <c r="B1276" s="76"/>
      <c r="C1276" s="76"/>
      <c r="D1276" s="76"/>
      <c r="E1276" s="76"/>
      <c r="F1276" s="76"/>
      <c r="G1276" s="76"/>
      <c r="H1276" s="76"/>
      <c r="I1276" s="76"/>
      <c r="J1276" s="76"/>
      <c r="K1276" s="76"/>
      <c r="L1276" s="76"/>
      <c r="M1276" s="76" t="s">
        <v>4649</v>
      </c>
      <c r="N1276" s="76"/>
      <c r="O1276" s="76"/>
      <c r="P1276" s="76"/>
      <c r="Q1276" s="76"/>
      <c r="R1276" s="76"/>
      <c r="S1276" s="76"/>
      <c r="T1276" s="76"/>
      <c r="U1276" s="76" t="s">
        <v>4650</v>
      </c>
      <c r="V1276" s="76"/>
      <c r="W1276" s="76"/>
      <c r="X1276" s="76"/>
    </row>
    <row r="1277" ht="18.0" customHeight="1">
      <c r="A1277" s="76"/>
      <c r="B1277" s="76"/>
      <c r="C1277" s="76"/>
      <c r="D1277" s="76"/>
      <c r="E1277" s="76"/>
      <c r="F1277" s="76"/>
      <c r="G1277" s="76"/>
      <c r="H1277" s="76"/>
      <c r="I1277" s="76"/>
      <c r="J1277" s="76"/>
      <c r="K1277" s="76"/>
      <c r="L1277" s="76"/>
      <c r="M1277" s="76" t="s">
        <v>4651</v>
      </c>
      <c r="N1277" s="76"/>
      <c r="O1277" s="76"/>
      <c r="P1277" s="76"/>
      <c r="Q1277" s="76"/>
      <c r="R1277" s="76"/>
      <c r="S1277" s="76"/>
      <c r="T1277" s="76"/>
      <c r="U1277" s="76" t="s">
        <v>4652</v>
      </c>
      <c r="V1277" s="76"/>
      <c r="W1277" s="76"/>
      <c r="X1277" s="76"/>
    </row>
    <row r="1278" ht="18.0" customHeight="1">
      <c r="A1278" s="76"/>
      <c r="B1278" s="76"/>
      <c r="C1278" s="76"/>
      <c r="D1278" s="76"/>
      <c r="E1278" s="76"/>
      <c r="F1278" s="76"/>
      <c r="G1278" s="76"/>
      <c r="H1278" s="76"/>
      <c r="I1278" s="76"/>
      <c r="J1278" s="76"/>
      <c r="K1278" s="76"/>
      <c r="L1278" s="76"/>
      <c r="M1278" s="76" t="s">
        <v>4653</v>
      </c>
      <c r="N1278" s="76"/>
      <c r="O1278" s="76"/>
      <c r="P1278" s="76"/>
      <c r="Q1278" s="76"/>
      <c r="R1278" s="76"/>
      <c r="S1278" s="76"/>
      <c r="T1278" s="76"/>
      <c r="U1278" s="76" t="s">
        <v>4654</v>
      </c>
      <c r="V1278" s="76"/>
      <c r="W1278" s="76"/>
      <c r="X1278" s="76"/>
    </row>
    <row r="1279" ht="18.0" customHeight="1">
      <c r="A1279" s="76"/>
      <c r="B1279" s="76"/>
      <c r="C1279" s="76"/>
      <c r="D1279" s="76"/>
      <c r="E1279" s="76"/>
      <c r="F1279" s="76"/>
      <c r="G1279" s="76"/>
      <c r="H1279" s="76"/>
      <c r="I1279" s="76"/>
      <c r="J1279" s="76"/>
      <c r="K1279" s="76"/>
      <c r="L1279" s="76"/>
      <c r="M1279" s="76" t="s">
        <v>4655</v>
      </c>
      <c r="N1279" s="76"/>
      <c r="O1279" s="76"/>
      <c r="P1279" s="76"/>
      <c r="Q1279" s="76"/>
      <c r="R1279" s="76"/>
      <c r="S1279" s="76"/>
      <c r="T1279" s="76"/>
      <c r="U1279" s="76" t="s">
        <v>4656</v>
      </c>
      <c r="V1279" s="76"/>
      <c r="W1279" s="76"/>
      <c r="X1279" s="76"/>
    </row>
    <row r="1280" ht="18.0" customHeight="1">
      <c r="A1280" s="76"/>
      <c r="B1280" s="76"/>
      <c r="C1280" s="76"/>
      <c r="D1280" s="76"/>
      <c r="E1280" s="76"/>
      <c r="F1280" s="76"/>
      <c r="G1280" s="76"/>
      <c r="H1280" s="76"/>
      <c r="I1280" s="76"/>
      <c r="J1280" s="76"/>
      <c r="K1280" s="76"/>
      <c r="L1280" s="76"/>
      <c r="M1280" s="76" t="s">
        <v>4657</v>
      </c>
      <c r="N1280" s="76"/>
      <c r="O1280" s="76"/>
      <c r="P1280" s="76"/>
      <c r="Q1280" s="76"/>
      <c r="R1280" s="76"/>
      <c r="S1280" s="76"/>
      <c r="T1280" s="76"/>
      <c r="U1280" s="76" t="s">
        <v>4658</v>
      </c>
      <c r="V1280" s="76"/>
      <c r="W1280" s="76"/>
      <c r="X1280" s="76"/>
    </row>
    <row r="1281" ht="18.0" customHeight="1">
      <c r="A1281" s="76"/>
      <c r="B1281" s="76"/>
      <c r="C1281" s="76"/>
      <c r="D1281" s="76"/>
      <c r="E1281" s="76"/>
      <c r="F1281" s="76"/>
      <c r="G1281" s="76"/>
      <c r="H1281" s="76"/>
      <c r="I1281" s="76"/>
      <c r="J1281" s="76"/>
      <c r="K1281" s="76"/>
      <c r="L1281" s="76"/>
      <c r="M1281" s="76" t="s">
        <v>4659</v>
      </c>
      <c r="N1281" s="76"/>
      <c r="O1281" s="76"/>
      <c r="P1281" s="76"/>
      <c r="Q1281" s="76"/>
      <c r="R1281" s="76"/>
      <c r="S1281" s="76"/>
      <c r="T1281" s="76"/>
      <c r="U1281" s="76" t="s">
        <v>4660</v>
      </c>
      <c r="V1281" s="76"/>
      <c r="W1281" s="76"/>
      <c r="X1281" s="76"/>
    </row>
    <row r="1282" ht="18.0" customHeight="1">
      <c r="A1282" s="76"/>
      <c r="B1282" s="76"/>
      <c r="C1282" s="76"/>
      <c r="D1282" s="76"/>
      <c r="E1282" s="76"/>
      <c r="F1282" s="76"/>
      <c r="G1282" s="76"/>
      <c r="H1282" s="76"/>
      <c r="I1282" s="76"/>
      <c r="J1282" s="76"/>
      <c r="K1282" s="76"/>
      <c r="L1282" s="76"/>
      <c r="M1282" s="76" t="s">
        <v>4661</v>
      </c>
      <c r="N1282" s="76"/>
      <c r="O1282" s="76"/>
      <c r="P1282" s="76"/>
      <c r="Q1282" s="76"/>
      <c r="R1282" s="76"/>
      <c r="S1282" s="76"/>
      <c r="T1282" s="76"/>
      <c r="U1282" s="76" t="s">
        <v>4662</v>
      </c>
      <c r="V1282" s="76"/>
      <c r="W1282" s="76"/>
      <c r="X1282" s="76"/>
    </row>
    <row r="1283" ht="18.0" customHeight="1">
      <c r="A1283" s="76"/>
      <c r="B1283" s="76"/>
      <c r="C1283" s="76"/>
      <c r="D1283" s="76"/>
      <c r="E1283" s="76"/>
      <c r="F1283" s="76"/>
      <c r="G1283" s="76"/>
      <c r="H1283" s="76"/>
      <c r="I1283" s="76"/>
      <c r="J1283" s="76"/>
      <c r="K1283" s="76"/>
      <c r="L1283" s="76"/>
      <c r="M1283" s="76" t="s">
        <v>4663</v>
      </c>
      <c r="N1283" s="76"/>
      <c r="O1283" s="76"/>
      <c r="P1283" s="76"/>
      <c r="Q1283" s="76"/>
      <c r="R1283" s="76"/>
      <c r="S1283" s="76"/>
      <c r="T1283" s="76"/>
      <c r="U1283" s="76" t="s">
        <v>4664</v>
      </c>
      <c r="V1283" s="76"/>
      <c r="W1283" s="76"/>
      <c r="X1283" s="76"/>
    </row>
    <row r="1284" ht="18.0" customHeight="1">
      <c r="A1284" s="76"/>
      <c r="B1284" s="76"/>
      <c r="C1284" s="76"/>
      <c r="D1284" s="76"/>
      <c r="E1284" s="76"/>
      <c r="F1284" s="76"/>
      <c r="G1284" s="76"/>
      <c r="H1284" s="76"/>
      <c r="I1284" s="76"/>
      <c r="J1284" s="76"/>
      <c r="K1284" s="76"/>
      <c r="L1284" s="76"/>
      <c r="M1284" s="76" t="s">
        <v>4665</v>
      </c>
      <c r="N1284" s="76"/>
      <c r="O1284" s="76"/>
      <c r="P1284" s="76"/>
      <c r="Q1284" s="76"/>
      <c r="R1284" s="76"/>
      <c r="S1284" s="76"/>
      <c r="T1284" s="76"/>
      <c r="U1284" s="76" t="s">
        <v>4666</v>
      </c>
      <c r="V1284" s="76"/>
      <c r="W1284" s="76"/>
      <c r="X1284" s="76"/>
    </row>
    <row r="1285" ht="18.0" customHeight="1">
      <c r="A1285" s="76"/>
      <c r="B1285" s="76"/>
      <c r="C1285" s="76"/>
      <c r="D1285" s="76"/>
      <c r="E1285" s="76"/>
      <c r="F1285" s="76"/>
      <c r="G1285" s="76"/>
      <c r="H1285" s="76"/>
      <c r="I1285" s="76"/>
      <c r="J1285" s="76"/>
      <c r="K1285" s="76"/>
      <c r="L1285" s="76"/>
      <c r="M1285" s="76" t="s">
        <v>4667</v>
      </c>
      <c r="N1285" s="76"/>
      <c r="O1285" s="76"/>
      <c r="P1285" s="76"/>
      <c r="Q1285" s="76"/>
      <c r="R1285" s="76"/>
      <c r="S1285" s="76"/>
      <c r="T1285" s="76"/>
      <c r="U1285" s="76" t="s">
        <v>4668</v>
      </c>
      <c r="V1285" s="76"/>
      <c r="W1285" s="76"/>
      <c r="X1285" s="76"/>
    </row>
    <row r="1286" ht="18.0" customHeight="1">
      <c r="A1286" s="76"/>
      <c r="B1286" s="76"/>
      <c r="C1286" s="76"/>
      <c r="D1286" s="76"/>
      <c r="E1286" s="76"/>
      <c r="F1286" s="76"/>
      <c r="G1286" s="76"/>
      <c r="H1286" s="76"/>
      <c r="I1286" s="76"/>
      <c r="J1286" s="76"/>
      <c r="K1286" s="76"/>
      <c r="L1286" s="76"/>
      <c r="M1286" s="76" t="s">
        <v>4669</v>
      </c>
      <c r="N1286" s="76"/>
      <c r="O1286" s="76"/>
      <c r="P1286" s="76"/>
      <c r="Q1286" s="76"/>
      <c r="R1286" s="76"/>
      <c r="S1286" s="76"/>
      <c r="T1286" s="76"/>
      <c r="U1286" s="76" t="s">
        <v>4670</v>
      </c>
      <c r="V1286" s="76"/>
      <c r="W1286" s="76"/>
      <c r="X1286" s="76"/>
    </row>
    <row r="1287" ht="18.0" customHeight="1">
      <c r="A1287" s="76"/>
      <c r="B1287" s="76"/>
      <c r="C1287" s="76"/>
      <c r="D1287" s="76"/>
      <c r="E1287" s="76"/>
      <c r="F1287" s="76"/>
      <c r="G1287" s="76"/>
      <c r="H1287" s="76"/>
      <c r="I1287" s="76"/>
      <c r="J1287" s="76"/>
      <c r="K1287" s="76"/>
      <c r="L1287" s="76"/>
      <c r="M1287" s="76" t="s">
        <v>4671</v>
      </c>
      <c r="N1287" s="76"/>
      <c r="O1287" s="76"/>
      <c r="P1287" s="76"/>
      <c r="Q1287" s="76"/>
      <c r="R1287" s="76"/>
      <c r="S1287" s="76"/>
      <c r="T1287" s="76"/>
      <c r="U1287" s="76" t="s">
        <v>4672</v>
      </c>
      <c r="V1287" s="76"/>
      <c r="W1287" s="76"/>
      <c r="X1287" s="76"/>
    </row>
    <row r="1288" ht="18.0" customHeight="1">
      <c r="A1288" s="76"/>
      <c r="B1288" s="76"/>
      <c r="C1288" s="76"/>
      <c r="D1288" s="76"/>
      <c r="E1288" s="76"/>
      <c r="F1288" s="76"/>
      <c r="G1288" s="76"/>
      <c r="H1288" s="76"/>
      <c r="I1288" s="76"/>
      <c r="J1288" s="76"/>
      <c r="K1288" s="76"/>
      <c r="L1288" s="76"/>
      <c r="M1288" s="76" t="s">
        <v>4673</v>
      </c>
      <c r="N1288" s="76"/>
      <c r="O1288" s="76"/>
      <c r="P1288" s="76"/>
      <c r="Q1288" s="76"/>
      <c r="R1288" s="76"/>
      <c r="S1288" s="76"/>
      <c r="T1288" s="76"/>
      <c r="U1288" s="76" t="s">
        <v>4674</v>
      </c>
      <c r="V1288" s="76"/>
      <c r="W1288" s="76"/>
      <c r="X1288" s="76"/>
    </row>
    <row r="1289" ht="18.0" customHeight="1">
      <c r="A1289" s="76"/>
      <c r="B1289" s="76"/>
      <c r="C1289" s="76"/>
      <c r="D1289" s="76"/>
      <c r="E1289" s="76"/>
      <c r="F1289" s="76"/>
      <c r="G1289" s="76"/>
      <c r="H1289" s="76"/>
      <c r="I1289" s="76"/>
      <c r="J1289" s="76"/>
      <c r="K1289" s="76"/>
      <c r="L1289" s="76"/>
      <c r="M1289" s="76" t="s">
        <v>4675</v>
      </c>
      <c r="N1289" s="76"/>
      <c r="O1289" s="76"/>
      <c r="P1289" s="76"/>
      <c r="Q1289" s="76"/>
      <c r="R1289" s="76"/>
      <c r="S1289" s="76"/>
      <c r="T1289" s="76"/>
      <c r="U1289" s="76" t="s">
        <v>4676</v>
      </c>
      <c r="V1289" s="76"/>
      <c r="W1289" s="76"/>
      <c r="X1289" s="76"/>
    </row>
    <row r="1290" ht="18.0" customHeight="1">
      <c r="A1290" s="76"/>
      <c r="B1290" s="76"/>
      <c r="C1290" s="76"/>
      <c r="D1290" s="76"/>
      <c r="E1290" s="76"/>
      <c r="F1290" s="76"/>
      <c r="G1290" s="76"/>
      <c r="H1290" s="76"/>
      <c r="I1290" s="76"/>
      <c r="J1290" s="76"/>
      <c r="K1290" s="76"/>
      <c r="L1290" s="76"/>
      <c r="M1290" s="76" t="s">
        <v>4677</v>
      </c>
      <c r="N1290" s="76"/>
      <c r="O1290" s="76"/>
      <c r="P1290" s="76"/>
      <c r="Q1290" s="76"/>
      <c r="R1290" s="76"/>
      <c r="S1290" s="76"/>
      <c r="T1290" s="76"/>
      <c r="U1290" s="76" t="s">
        <v>4678</v>
      </c>
      <c r="V1290" s="76"/>
      <c r="W1290" s="76"/>
      <c r="X1290" s="76"/>
    </row>
    <row r="1291" ht="18.0" customHeight="1">
      <c r="A1291" s="76"/>
      <c r="B1291" s="76"/>
      <c r="C1291" s="76"/>
      <c r="D1291" s="76"/>
      <c r="E1291" s="76"/>
      <c r="F1291" s="76"/>
      <c r="G1291" s="76"/>
      <c r="H1291" s="76"/>
      <c r="I1291" s="76"/>
      <c r="J1291" s="76"/>
      <c r="K1291" s="76"/>
      <c r="L1291" s="76"/>
      <c r="M1291" s="76" t="s">
        <v>4679</v>
      </c>
      <c r="N1291" s="76"/>
      <c r="O1291" s="76"/>
      <c r="P1291" s="76"/>
      <c r="Q1291" s="76"/>
      <c r="R1291" s="76"/>
      <c r="S1291" s="76"/>
      <c r="T1291" s="76"/>
      <c r="U1291" s="76" t="s">
        <v>4680</v>
      </c>
      <c r="V1291" s="76"/>
      <c r="W1291" s="76"/>
      <c r="X1291" s="76"/>
    </row>
    <row r="1292" ht="18.0" customHeight="1">
      <c r="A1292" s="76"/>
      <c r="B1292" s="76"/>
      <c r="C1292" s="76"/>
      <c r="D1292" s="76"/>
      <c r="E1292" s="76"/>
      <c r="F1292" s="76"/>
      <c r="G1292" s="76"/>
      <c r="H1292" s="76"/>
      <c r="I1292" s="76"/>
      <c r="J1292" s="76"/>
      <c r="K1292" s="76"/>
      <c r="L1292" s="76"/>
      <c r="M1292" s="76" t="s">
        <v>4681</v>
      </c>
      <c r="N1292" s="76"/>
      <c r="O1292" s="76"/>
      <c r="P1292" s="76"/>
      <c r="Q1292" s="76"/>
      <c r="R1292" s="76"/>
      <c r="S1292" s="76"/>
      <c r="T1292" s="76"/>
      <c r="U1292" s="76" t="s">
        <v>4682</v>
      </c>
      <c r="V1292" s="76"/>
      <c r="W1292" s="76"/>
      <c r="X1292" s="76"/>
    </row>
    <row r="1293" ht="18.0" customHeight="1">
      <c r="A1293" s="76"/>
      <c r="B1293" s="76"/>
      <c r="C1293" s="76"/>
      <c r="D1293" s="76"/>
      <c r="E1293" s="76"/>
      <c r="F1293" s="76"/>
      <c r="G1293" s="76"/>
      <c r="H1293" s="76"/>
      <c r="I1293" s="76"/>
      <c r="J1293" s="76"/>
      <c r="K1293" s="76"/>
      <c r="L1293" s="76"/>
      <c r="M1293" s="76" t="s">
        <v>4683</v>
      </c>
      <c r="N1293" s="76"/>
      <c r="O1293" s="76"/>
      <c r="P1293" s="76"/>
      <c r="Q1293" s="76"/>
      <c r="R1293" s="76"/>
      <c r="S1293" s="76"/>
      <c r="T1293" s="76"/>
      <c r="U1293" s="76" t="s">
        <v>4684</v>
      </c>
      <c r="V1293" s="76"/>
      <c r="W1293" s="76"/>
      <c r="X1293" s="76"/>
    </row>
    <row r="1294" ht="18.0" customHeight="1">
      <c r="A1294" s="76"/>
      <c r="B1294" s="76"/>
      <c r="C1294" s="76"/>
      <c r="D1294" s="76"/>
      <c r="E1294" s="76"/>
      <c r="F1294" s="76"/>
      <c r="G1294" s="76"/>
      <c r="H1294" s="76"/>
      <c r="I1294" s="76"/>
      <c r="J1294" s="76"/>
      <c r="K1294" s="76"/>
      <c r="L1294" s="76"/>
      <c r="M1294" s="76" t="s">
        <v>4685</v>
      </c>
      <c r="N1294" s="76"/>
      <c r="O1294" s="76"/>
      <c r="P1294" s="76"/>
      <c r="Q1294" s="76"/>
      <c r="R1294" s="76"/>
      <c r="S1294" s="76"/>
      <c r="T1294" s="76"/>
      <c r="U1294" s="76" t="s">
        <v>4686</v>
      </c>
      <c r="V1294" s="76"/>
      <c r="W1294" s="76"/>
      <c r="X1294" s="76"/>
    </row>
    <row r="1295" ht="18.0" customHeight="1">
      <c r="A1295" s="76"/>
      <c r="B1295" s="76"/>
      <c r="C1295" s="76"/>
      <c r="D1295" s="76"/>
      <c r="E1295" s="76"/>
      <c r="F1295" s="76"/>
      <c r="G1295" s="76"/>
      <c r="H1295" s="76"/>
      <c r="I1295" s="76"/>
      <c r="J1295" s="76"/>
      <c r="K1295" s="76"/>
      <c r="L1295" s="76"/>
      <c r="M1295" s="76" t="s">
        <v>4687</v>
      </c>
      <c r="N1295" s="76"/>
      <c r="O1295" s="76"/>
      <c r="P1295" s="76"/>
      <c r="Q1295" s="76"/>
      <c r="R1295" s="76"/>
      <c r="S1295" s="76"/>
      <c r="T1295" s="76"/>
      <c r="U1295" s="76" t="s">
        <v>4688</v>
      </c>
      <c r="V1295" s="76"/>
      <c r="W1295" s="76"/>
      <c r="X1295" s="76"/>
    </row>
    <row r="1296" ht="18.0" customHeight="1">
      <c r="A1296" s="76"/>
      <c r="B1296" s="76"/>
      <c r="C1296" s="76"/>
      <c r="D1296" s="76"/>
      <c r="E1296" s="76"/>
      <c r="F1296" s="76"/>
      <c r="G1296" s="76"/>
      <c r="H1296" s="76"/>
      <c r="I1296" s="76"/>
      <c r="J1296" s="76"/>
      <c r="K1296" s="76"/>
      <c r="L1296" s="76"/>
      <c r="M1296" s="76" t="s">
        <v>4689</v>
      </c>
      <c r="N1296" s="76"/>
      <c r="O1296" s="76"/>
      <c r="P1296" s="76"/>
      <c r="Q1296" s="76"/>
      <c r="R1296" s="76"/>
      <c r="S1296" s="76"/>
      <c r="T1296" s="76"/>
      <c r="U1296" s="76" t="s">
        <v>4690</v>
      </c>
      <c r="V1296" s="76"/>
      <c r="W1296" s="76"/>
      <c r="X1296" s="76"/>
    </row>
    <row r="1297" ht="18.0" customHeight="1">
      <c r="A1297" s="76"/>
      <c r="B1297" s="76"/>
      <c r="C1297" s="76"/>
      <c r="D1297" s="76"/>
      <c r="E1297" s="76"/>
      <c r="F1297" s="76"/>
      <c r="G1297" s="76"/>
      <c r="H1297" s="76"/>
      <c r="I1297" s="76"/>
      <c r="J1297" s="76"/>
      <c r="K1297" s="76"/>
      <c r="L1297" s="76"/>
      <c r="M1297" s="76" t="s">
        <v>4691</v>
      </c>
      <c r="N1297" s="76"/>
      <c r="O1297" s="76"/>
      <c r="P1297" s="76"/>
      <c r="Q1297" s="76"/>
      <c r="R1297" s="76"/>
      <c r="S1297" s="76"/>
      <c r="T1297" s="76"/>
      <c r="U1297" s="76" t="s">
        <v>4692</v>
      </c>
      <c r="V1297" s="76"/>
      <c r="W1297" s="76"/>
      <c r="X1297" s="76"/>
    </row>
    <row r="1298" ht="18.0" customHeight="1">
      <c r="A1298" s="76"/>
      <c r="B1298" s="76"/>
      <c r="C1298" s="76"/>
      <c r="D1298" s="76"/>
      <c r="E1298" s="76"/>
      <c r="F1298" s="76"/>
      <c r="G1298" s="76"/>
      <c r="H1298" s="76"/>
      <c r="I1298" s="76"/>
      <c r="J1298" s="76"/>
      <c r="K1298" s="76"/>
      <c r="L1298" s="76"/>
      <c r="M1298" s="76" t="s">
        <v>4693</v>
      </c>
      <c r="N1298" s="76"/>
      <c r="O1298" s="76"/>
      <c r="P1298" s="76"/>
      <c r="Q1298" s="76"/>
      <c r="R1298" s="76"/>
      <c r="S1298" s="76"/>
      <c r="T1298" s="76"/>
      <c r="U1298" s="76" t="s">
        <v>4694</v>
      </c>
      <c r="V1298" s="76"/>
      <c r="W1298" s="76"/>
      <c r="X1298" s="76"/>
    </row>
    <row r="1299" ht="18.0" customHeight="1">
      <c r="A1299" s="76"/>
      <c r="B1299" s="76"/>
      <c r="C1299" s="76"/>
      <c r="D1299" s="76"/>
      <c r="E1299" s="76"/>
      <c r="F1299" s="76"/>
      <c r="G1299" s="76"/>
      <c r="H1299" s="76"/>
      <c r="I1299" s="76"/>
      <c r="J1299" s="76"/>
      <c r="K1299" s="76"/>
      <c r="L1299" s="76"/>
      <c r="M1299" s="76" t="s">
        <v>4695</v>
      </c>
      <c r="N1299" s="76"/>
      <c r="O1299" s="76"/>
      <c r="P1299" s="76"/>
      <c r="Q1299" s="76"/>
      <c r="R1299" s="76"/>
      <c r="S1299" s="76"/>
      <c r="T1299" s="76"/>
      <c r="U1299" s="76" t="s">
        <v>4696</v>
      </c>
      <c r="V1299" s="76"/>
      <c r="W1299" s="76"/>
      <c r="X1299" s="76"/>
    </row>
    <row r="1300" ht="18.0" customHeight="1">
      <c r="A1300" s="76"/>
      <c r="B1300" s="76"/>
      <c r="C1300" s="76"/>
      <c r="D1300" s="76"/>
      <c r="E1300" s="76"/>
      <c r="F1300" s="76"/>
      <c r="G1300" s="76"/>
      <c r="H1300" s="76"/>
      <c r="I1300" s="76"/>
      <c r="J1300" s="76"/>
      <c r="K1300" s="76"/>
      <c r="L1300" s="76"/>
      <c r="M1300" s="76" t="s">
        <v>4697</v>
      </c>
      <c r="N1300" s="76"/>
      <c r="O1300" s="76"/>
      <c r="P1300" s="76"/>
      <c r="Q1300" s="76"/>
      <c r="R1300" s="76"/>
      <c r="S1300" s="76"/>
      <c r="T1300" s="76"/>
      <c r="U1300" s="76" t="s">
        <v>4698</v>
      </c>
      <c r="V1300" s="76"/>
      <c r="W1300" s="76"/>
      <c r="X1300" s="76"/>
    </row>
    <row r="1301" ht="18.0" customHeight="1">
      <c r="A1301" s="76"/>
      <c r="B1301" s="76"/>
      <c r="C1301" s="76"/>
      <c r="D1301" s="76"/>
      <c r="E1301" s="76"/>
      <c r="F1301" s="76"/>
      <c r="G1301" s="76"/>
      <c r="H1301" s="76"/>
      <c r="I1301" s="76"/>
      <c r="J1301" s="76"/>
      <c r="K1301" s="76"/>
      <c r="L1301" s="76"/>
      <c r="M1301" s="76" t="s">
        <v>4699</v>
      </c>
      <c r="N1301" s="76"/>
      <c r="O1301" s="76"/>
      <c r="P1301" s="76"/>
      <c r="Q1301" s="76"/>
      <c r="R1301" s="76"/>
      <c r="S1301" s="76"/>
      <c r="T1301" s="76"/>
      <c r="U1301" s="76" t="s">
        <v>4700</v>
      </c>
      <c r="V1301" s="76"/>
      <c r="W1301" s="76"/>
      <c r="X1301" s="76"/>
    </row>
    <row r="1302" ht="18.0" customHeight="1">
      <c r="A1302" s="76"/>
      <c r="B1302" s="76"/>
      <c r="C1302" s="76"/>
      <c r="D1302" s="76"/>
      <c r="E1302" s="76"/>
      <c r="F1302" s="76"/>
      <c r="G1302" s="76"/>
      <c r="H1302" s="76"/>
      <c r="I1302" s="76"/>
      <c r="J1302" s="76"/>
      <c r="K1302" s="76"/>
      <c r="L1302" s="76"/>
      <c r="M1302" s="76" t="s">
        <v>4701</v>
      </c>
      <c r="N1302" s="76"/>
      <c r="O1302" s="76"/>
      <c r="P1302" s="76"/>
      <c r="Q1302" s="76"/>
      <c r="R1302" s="76"/>
      <c r="S1302" s="76"/>
      <c r="T1302" s="76"/>
      <c r="U1302" s="76" t="s">
        <v>4702</v>
      </c>
      <c r="V1302" s="76"/>
      <c r="W1302" s="76"/>
      <c r="X1302" s="76"/>
    </row>
    <row r="1303" ht="18.0" customHeight="1">
      <c r="A1303" s="76"/>
      <c r="B1303" s="76"/>
      <c r="C1303" s="76"/>
      <c r="D1303" s="76"/>
      <c r="E1303" s="76"/>
      <c r="F1303" s="76"/>
      <c r="G1303" s="76"/>
      <c r="H1303" s="76"/>
      <c r="I1303" s="76"/>
      <c r="J1303" s="76"/>
      <c r="K1303" s="76"/>
      <c r="L1303" s="76"/>
      <c r="M1303" s="76" t="s">
        <v>4703</v>
      </c>
      <c r="N1303" s="76"/>
      <c r="O1303" s="76"/>
      <c r="P1303" s="76"/>
      <c r="Q1303" s="76"/>
      <c r="R1303" s="76"/>
      <c r="S1303" s="76"/>
      <c r="T1303" s="76"/>
      <c r="U1303" s="76" t="s">
        <v>4704</v>
      </c>
      <c r="V1303" s="76"/>
      <c r="W1303" s="76"/>
      <c r="X1303" s="76"/>
    </row>
    <row r="1304" ht="18.0" customHeight="1">
      <c r="A1304" s="76"/>
      <c r="B1304" s="76"/>
      <c r="C1304" s="76"/>
      <c r="D1304" s="76"/>
      <c r="E1304" s="76"/>
      <c r="F1304" s="76"/>
      <c r="G1304" s="76"/>
      <c r="H1304" s="76"/>
      <c r="I1304" s="76"/>
      <c r="J1304" s="76"/>
      <c r="K1304" s="76"/>
      <c r="L1304" s="76"/>
      <c r="M1304" s="76" t="s">
        <v>4705</v>
      </c>
      <c r="N1304" s="76"/>
      <c r="O1304" s="76"/>
      <c r="P1304" s="76"/>
      <c r="Q1304" s="76"/>
      <c r="R1304" s="76"/>
      <c r="S1304" s="76"/>
      <c r="T1304" s="76"/>
      <c r="U1304" s="76" t="s">
        <v>4706</v>
      </c>
      <c r="V1304" s="76"/>
      <c r="W1304" s="76"/>
      <c r="X1304" s="76"/>
    </row>
    <row r="1305" ht="18.0" customHeight="1">
      <c r="A1305" s="76"/>
      <c r="B1305" s="76"/>
      <c r="C1305" s="76"/>
      <c r="D1305" s="76"/>
      <c r="E1305" s="76"/>
      <c r="F1305" s="76"/>
      <c r="G1305" s="76"/>
      <c r="H1305" s="76"/>
      <c r="I1305" s="76"/>
      <c r="J1305" s="76"/>
      <c r="K1305" s="76"/>
      <c r="L1305" s="76"/>
      <c r="M1305" s="76" t="s">
        <v>4707</v>
      </c>
      <c r="N1305" s="76"/>
      <c r="O1305" s="76"/>
      <c r="P1305" s="76"/>
      <c r="Q1305" s="76"/>
      <c r="R1305" s="76"/>
      <c r="S1305" s="76"/>
      <c r="T1305" s="76"/>
      <c r="U1305" s="76" t="s">
        <v>4708</v>
      </c>
      <c r="V1305" s="76"/>
      <c r="W1305" s="76"/>
      <c r="X1305" s="76"/>
    </row>
    <row r="1306" ht="18.0" customHeight="1">
      <c r="A1306" s="76"/>
      <c r="B1306" s="76"/>
      <c r="C1306" s="76"/>
      <c r="D1306" s="76"/>
      <c r="E1306" s="76"/>
      <c r="F1306" s="76"/>
      <c r="G1306" s="76"/>
      <c r="H1306" s="76"/>
      <c r="I1306" s="76"/>
      <c r="J1306" s="76"/>
      <c r="K1306" s="76"/>
      <c r="L1306" s="76"/>
      <c r="M1306" s="76" t="s">
        <v>4709</v>
      </c>
      <c r="N1306" s="76"/>
      <c r="O1306" s="76"/>
      <c r="P1306" s="76"/>
      <c r="Q1306" s="76"/>
      <c r="R1306" s="76"/>
      <c r="S1306" s="76"/>
      <c r="T1306" s="76"/>
      <c r="U1306" s="76" t="s">
        <v>4710</v>
      </c>
      <c r="V1306" s="76"/>
      <c r="W1306" s="76"/>
      <c r="X1306" s="76"/>
    </row>
    <row r="1307" ht="18.0" customHeight="1">
      <c r="A1307" s="76"/>
      <c r="B1307" s="76"/>
      <c r="C1307" s="76"/>
      <c r="D1307" s="76"/>
      <c r="E1307" s="76"/>
      <c r="F1307" s="76"/>
      <c r="G1307" s="76"/>
      <c r="H1307" s="76"/>
      <c r="I1307" s="76"/>
      <c r="J1307" s="76"/>
      <c r="K1307" s="76"/>
      <c r="L1307" s="76"/>
      <c r="M1307" s="76" t="s">
        <v>4711</v>
      </c>
      <c r="N1307" s="76"/>
      <c r="O1307" s="76"/>
      <c r="P1307" s="76"/>
      <c r="Q1307" s="76"/>
      <c r="R1307" s="76"/>
      <c r="S1307" s="76"/>
      <c r="T1307" s="76"/>
      <c r="U1307" s="76" t="s">
        <v>4712</v>
      </c>
      <c r="V1307" s="76"/>
      <c r="W1307" s="76"/>
      <c r="X1307" s="76"/>
    </row>
    <row r="1308" ht="18.0" customHeight="1">
      <c r="A1308" s="76"/>
      <c r="B1308" s="76"/>
      <c r="C1308" s="76"/>
      <c r="D1308" s="76"/>
      <c r="E1308" s="76"/>
      <c r="F1308" s="76"/>
      <c r="G1308" s="76"/>
      <c r="H1308" s="76"/>
      <c r="I1308" s="76"/>
      <c r="J1308" s="76"/>
      <c r="K1308" s="76"/>
      <c r="L1308" s="76"/>
      <c r="M1308" s="76" t="s">
        <v>4713</v>
      </c>
      <c r="N1308" s="76"/>
      <c r="O1308" s="76"/>
      <c r="P1308" s="76"/>
      <c r="Q1308" s="76"/>
      <c r="R1308" s="76"/>
      <c r="S1308" s="76"/>
      <c r="T1308" s="76"/>
      <c r="U1308" s="76" t="s">
        <v>4714</v>
      </c>
      <c r="V1308" s="76"/>
      <c r="W1308" s="76"/>
      <c r="X1308" s="76"/>
    </row>
    <row r="1309" ht="18.0" customHeight="1">
      <c r="A1309" s="76"/>
      <c r="B1309" s="76"/>
      <c r="C1309" s="76"/>
      <c r="D1309" s="76"/>
      <c r="E1309" s="76"/>
      <c r="F1309" s="76"/>
      <c r="G1309" s="76"/>
      <c r="H1309" s="76"/>
      <c r="I1309" s="76"/>
      <c r="J1309" s="76"/>
      <c r="K1309" s="76"/>
      <c r="L1309" s="76"/>
      <c r="M1309" s="76" t="s">
        <v>4715</v>
      </c>
      <c r="N1309" s="76"/>
      <c r="O1309" s="76"/>
      <c r="P1309" s="76"/>
      <c r="Q1309" s="76"/>
      <c r="R1309" s="76"/>
      <c r="S1309" s="76"/>
      <c r="T1309" s="76"/>
      <c r="U1309" s="76" t="s">
        <v>4716</v>
      </c>
      <c r="V1309" s="76"/>
      <c r="W1309" s="76"/>
      <c r="X1309" s="76"/>
    </row>
    <row r="1310" ht="18.0" customHeight="1">
      <c r="A1310" s="76"/>
      <c r="B1310" s="76"/>
      <c r="C1310" s="76"/>
      <c r="D1310" s="76"/>
      <c r="E1310" s="76"/>
      <c r="F1310" s="76"/>
      <c r="G1310" s="76"/>
      <c r="H1310" s="76"/>
      <c r="I1310" s="76"/>
      <c r="J1310" s="76"/>
      <c r="K1310" s="76"/>
      <c r="L1310" s="76"/>
      <c r="M1310" s="76" t="s">
        <v>4717</v>
      </c>
      <c r="N1310" s="76"/>
      <c r="O1310" s="76"/>
      <c r="P1310" s="76"/>
      <c r="Q1310" s="76"/>
      <c r="R1310" s="76"/>
      <c r="S1310" s="76"/>
      <c r="T1310" s="76"/>
      <c r="U1310" s="76" t="s">
        <v>4718</v>
      </c>
      <c r="V1310" s="76"/>
      <c r="W1310" s="76"/>
      <c r="X1310" s="76"/>
    </row>
    <row r="1311" ht="18.0" customHeight="1">
      <c r="A1311" s="76"/>
      <c r="B1311" s="76"/>
      <c r="C1311" s="76"/>
      <c r="D1311" s="76"/>
      <c r="E1311" s="76"/>
      <c r="F1311" s="76"/>
      <c r="G1311" s="76"/>
      <c r="H1311" s="76"/>
      <c r="I1311" s="76"/>
      <c r="J1311" s="76"/>
      <c r="K1311" s="76"/>
      <c r="L1311" s="76"/>
      <c r="M1311" s="76" t="s">
        <v>4719</v>
      </c>
      <c r="N1311" s="76"/>
      <c r="O1311" s="76"/>
      <c r="P1311" s="76"/>
      <c r="Q1311" s="76"/>
      <c r="R1311" s="76"/>
      <c r="S1311" s="76"/>
      <c r="T1311" s="76"/>
      <c r="U1311" s="76" t="s">
        <v>4720</v>
      </c>
      <c r="V1311" s="76"/>
      <c r="W1311" s="76"/>
      <c r="X1311" s="76"/>
    </row>
    <row r="1312" ht="18.0" customHeight="1">
      <c r="A1312" s="76"/>
      <c r="B1312" s="76"/>
      <c r="C1312" s="76"/>
      <c r="D1312" s="76"/>
      <c r="E1312" s="76"/>
      <c r="F1312" s="76"/>
      <c r="G1312" s="76"/>
      <c r="H1312" s="76"/>
      <c r="I1312" s="76"/>
      <c r="J1312" s="76"/>
      <c r="K1312" s="76"/>
      <c r="L1312" s="76"/>
      <c r="M1312" s="76" t="s">
        <v>4721</v>
      </c>
      <c r="N1312" s="76"/>
      <c r="O1312" s="76"/>
      <c r="P1312" s="76"/>
      <c r="Q1312" s="76"/>
      <c r="R1312" s="76"/>
      <c r="S1312" s="76"/>
      <c r="T1312" s="76"/>
      <c r="U1312" s="76" t="s">
        <v>4722</v>
      </c>
      <c r="V1312" s="76"/>
      <c r="W1312" s="76"/>
      <c r="X1312" s="76"/>
    </row>
    <row r="1313" ht="18.0" customHeight="1">
      <c r="A1313" s="76"/>
      <c r="B1313" s="76"/>
      <c r="C1313" s="76"/>
      <c r="D1313" s="76"/>
      <c r="E1313" s="76"/>
      <c r="F1313" s="76"/>
      <c r="G1313" s="76"/>
      <c r="H1313" s="76"/>
      <c r="I1313" s="76"/>
      <c r="J1313" s="76"/>
      <c r="K1313" s="76"/>
      <c r="L1313" s="76"/>
      <c r="M1313" s="76" t="s">
        <v>4723</v>
      </c>
      <c r="N1313" s="76"/>
      <c r="O1313" s="76"/>
      <c r="P1313" s="76"/>
      <c r="Q1313" s="76"/>
      <c r="R1313" s="76"/>
      <c r="S1313" s="76"/>
      <c r="T1313" s="76"/>
      <c r="U1313" s="76" t="s">
        <v>4724</v>
      </c>
      <c r="V1313" s="76"/>
      <c r="W1313" s="76"/>
      <c r="X1313" s="76"/>
    </row>
    <row r="1314" ht="18.0" customHeight="1">
      <c r="A1314" s="76"/>
      <c r="B1314" s="76"/>
      <c r="C1314" s="76"/>
      <c r="D1314" s="76"/>
      <c r="E1314" s="76"/>
      <c r="F1314" s="76"/>
      <c r="G1314" s="76"/>
      <c r="H1314" s="76"/>
      <c r="I1314" s="76"/>
      <c r="J1314" s="76"/>
      <c r="K1314" s="76"/>
      <c r="L1314" s="76"/>
      <c r="M1314" s="76" t="s">
        <v>4725</v>
      </c>
      <c r="N1314" s="76"/>
      <c r="O1314" s="76"/>
      <c r="P1314" s="76"/>
      <c r="Q1314" s="76"/>
      <c r="R1314" s="76"/>
      <c r="S1314" s="76"/>
      <c r="T1314" s="76"/>
      <c r="U1314" s="76" t="s">
        <v>4726</v>
      </c>
      <c r="V1314" s="76"/>
      <c r="W1314" s="76"/>
      <c r="X1314" s="76"/>
    </row>
    <row r="1315" ht="18.0" customHeight="1">
      <c r="A1315" s="76"/>
      <c r="B1315" s="76"/>
      <c r="C1315" s="76"/>
      <c r="D1315" s="76"/>
      <c r="E1315" s="76"/>
      <c r="F1315" s="76"/>
      <c r="G1315" s="76"/>
      <c r="H1315" s="76"/>
      <c r="I1315" s="76"/>
      <c r="J1315" s="76"/>
      <c r="K1315" s="76"/>
      <c r="L1315" s="76"/>
      <c r="M1315" s="76" t="s">
        <v>4727</v>
      </c>
      <c r="N1315" s="76"/>
      <c r="O1315" s="76"/>
      <c r="P1315" s="76"/>
      <c r="Q1315" s="76"/>
      <c r="R1315" s="76"/>
      <c r="S1315" s="76"/>
      <c r="T1315" s="76"/>
      <c r="U1315" s="76" t="s">
        <v>4728</v>
      </c>
      <c r="V1315" s="76"/>
      <c r="W1315" s="76"/>
      <c r="X1315" s="76"/>
    </row>
    <row r="1316" ht="18.0" customHeight="1">
      <c r="A1316" s="76"/>
      <c r="B1316" s="76"/>
      <c r="C1316" s="76"/>
      <c r="D1316" s="76"/>
      <c r="E1316" s="76"/>
      <c r="F1316" s="76"/>
      <c r="G1316" s="76"/>
      <c r="H1316" s="76"/>
      <c r="I1316" s="76"/>
      <c r="J1316" s="76"/>
      <c r="K1316" s="76"/>
      <c r="L1316" s="76"/>
      <c r="M1316" s="76" t="s">
        <v>4729</v>
      </c>
      <c r="N1316" s="76"/>
      <c r="O1316" s="76"/>
      <c r="P1316" s="76"/>
      <c r="Q1316" s="76"/>
      <c r="R1316" s="76"/>
      <c r="S1316" s="76"/>
      <c r="T1316" s="76"/>
      <c r="U1316" s="76" t="s">
        <v>4730</v>
      </c>
      <c r="V1316" s="76"/>
      <c r="W1316" s="76"/>
      <c r="X1316" s="76"/>
    </row>
    <row r="1317" ht="18.0" customHeight="1">
      <c r="A1317" s="76"/>
      <c r="B1317" s="76"/>
      <c r="C1317" s="76"/>
      <c r="D1317" s="76"/>
      <c r="E1317" s="76"/>
      <c r="F1317" s="76"/>
      <c r="G1317" s="76"/>
      <c r="H1317" s="76"/>
      <c r="I1317" s="76"/>
      <c r="J1317" s="76"/>
      <c r="K1317" s="76"/>
      <c r="L1317" s="76"/>
      <c r="M1317" s="76" t="s">
        <v>4731</v>
      </c>
      <c r="N1317" s="76"/>
      <c r="O1317" s="76"/>
      <c r="P1317" s="76"/>
      <c r="Q1317" s="76"/>
      <c r="R1317" s="76"/>
      <c r="S1317" s="76"/>
      <c r="T1317" s="76"/>
      <c r="U1317" s="76" t="s">
        <v>4732</v>
      </c>
      <c r="V1317" s="76"/>
      <c r="W1317" s="76"/>
      <c r="X1317" s="76"/>
    </row>
    <row r="1318" ht="18.0" customHeight="1">
      <c r="A1318" s="76"/>
      <c r="B1318" s="76"/>
      <c r="C1318" s="76"/>
      <c r="D1318" s="76"/>
      <c r="E1318" s="76"/>
      <c r="F1318" s="76"/>
      <c r="G1318" s="76"/>
      <c r="H1318" s="76"/>
      <c r="I1318" s="76"/>
      <c r="J1318" s="76"/>
      <c r="K1318" s="76"/>
      <c r="L1318" s="76"/>
      <c r="M1318" s="76" t="s">
        <v>4733</v>
      </c>
      <c r="N1318" s="76"/>
      <c r="O1318" s="76"/>
      <c r="P1318" s="76"/>
      <c r="Q1318" s="76"/>
      <c r="R1318" s="76"/>
      <c r="S1318" s="76"/>
      <c r="T1318" s="76"/>
      <c r="U1318" s="76" t="s">
        <v>4734</v>
      </c>
      <c r="V1318" s="76"/>
      <c r="W1318" s="76"/>
      <c r="X1318" s="76"/>
    </row>
    <row r="1319" ht="18.0" customHeight="1">
      <c r="A1319" s="76"/>
      <c r="B1319" s="76"/>
      <c r="C1319" s="76"/>
      <c r="D1319" s="76"/>
      <c r="E1319" s="76"/>
      <c r="F1319" s="76"/>
      <c r="G1319" s="76"/>
      <c r="H1319" s="76"/>
      <c r="I1319" s="76"/>
      <c r="J1319" s="76"/>
      <c r="K1319" s="76"/>
      <c r="L1319" s="76"/>
      <c r="M1319" s="76" t="s">
        <v>4735</v>
      </c>
      <c r="N1319" s="76"/>
      <c r="O1319" s="76"/>
      <c r="P1319" s="76"/>
      <c r="Q1319" s="76"/>
      <c r="R1319" s="76"/>
      <c r="S1319" s="76"/>
      <c r="T1319" s="76"/>
      <c r="U1319" s="76" t="s">
        <v>4736</v>
      </c>
      <c r="V1319" s="76"/>
      <c r="W1319" s="76"/>
      <c r="X1319" s="76"/>
    </row>
    <row r="1320" ht="18.0" customHeight="1">
      <c r="A1320" s="76"/>
      <c r="B1320" s="76"/>
      <c r="C1320" s="76"/>
      <c r="D1320" s="76"/>
      <c r="E1320" s="76"/>
      <c r="F1320" s="76"/>
      <c r="G1320" s="76"/>
      <c r="H1320" s="76"/>
      <c r="I1320" s="76"/>
      <c r="J1320" s="76"/>
      <c r="K1320" s="76"/>
      <c r="L1320" s="76"/>
      <c r="M1320" s="76" t="s">
        <v>4737</v>
      </c>
      <c r="N1320" s="76"/>
      <c r="O1320" s="76"/>
      <c r="P1320" s="76"/>
      <c r="Q1320" s="76"/>
      <c r="R1320" s="76"/>
      <c r="S1320" s="76"/>
      <c r="T1320" s="76"/>
      <c r="U1320" s="76" t="s">
        <v>4738</v>
      </c>
      <c r="V1320" s="76"/>
      <c r="W1320" s="76"/>
      <c r="X1320" s="76"/>
    </row>
    <row r="1321" ht="18.0" customHeight="1">
      <c r="A1321" s="76"/>
      <c r="B1321" s="76"/>
      <c r="C1321" s="76"/>
      <c r="D1321" s="76"/>
      <c r="E1321" s="76"/>
      <c r="F1321" s="76"/>
      <c r="G1321" s="76"/>
      <c r="H1321" s="76"/>
      <c r="I1321" s="76"/>
      <c r="J1321" s="76"/>
      <c r="K1321" s="76"/>
      <c r="L1321" s="76"/>
      <c r="M1321" s="76" t="s">
        <v>4739</v>
      </c>
      <c r="N1321" s="76"/>
      <c r="O1321" s="76"/>
      <c r="P1321" s="76"/>
      <c r="Q1321" s="76"/>
      <c r="R1321" s="76"/>
      <c r="S1321" s="76"/>
      <c r="T1321" s="76"/>
      <c r="U1321" s="76" t="s">
        <v>4740</v>
      </c>
      <c r="V1321" s="76"/>
      <c r="W1321" s="76"/>
      <c r="X1321" s="76"/>
    </row>
    <row r="1322" ht="18.0" customHeight="1">
      <c r="A1322" s="76"/>
      <c r="B1322" s="76"/>
      <c r="C1322" s="76"/>
      <c r="D1322" s="76"/>
      <c r="E1322" s="76"/>
      <c r="F1322" s="76"/>
      <c r="G1322" s="76"/>
      <c r="H1322" s="76"/>
      <c r="I1322" s="76"/>
      <c r="J1322" s="76"/>
      <c r="K1322" s="76"/>
      <c r="L1322" s="76"/>
      <c r="M1322" s="76" t="s">
        <v>4741</v>
      </c>
      <c r="N1322" s="76"/>
      <c r="O1322" s="76"/>
      <c r="P1322" s="76"/>
      <c r="Q1322" s="76"/>
      <c r="R1322" s="76"/>
      <c r="S1322" s="76"/>
      <c r="T1322" s="76"/>
      <c r="U1322" s="76" t="s">
        <v>4742</v>
      </c>
      <c r="V1322" s="76"/>
      <c r="W1322" s="76"/>
      <c r="X1322" s="76"/>
    </row>
    <row r="1323" ht="18.0" customHeight="1">
      <c r="A1323" s="76"/>
      <c r="B1323" s="76"/>
      <c r="C1323" s="76"/>
      <c r="D1323" s="76"/>
      <c r="E1323" s="76"/>
      <c r="F1323" s="76"/>
      <c r="G1323" s="76"/>
      <c r="H1323" s="76"/>
      <c r="I1323" s="76"/>
      <c r="J1323" s="76"/>
      <c r="K1323" s="76"/>
      <c r="L1323" s="76"/>
      <c r="M1323" s="76" t="s">
        <v>4743</v>
      </c>
      <c r="N1323" s="76"/>
      <c r="O1323" s="76"/>
      <c r="P1323" s="76"/>
      <c r="Q1323" s="76"/>
      <c r="R1323" s="76"/>
      <c r="S1323" s="76"/>
      <c r="T1323" s="76"/>
      <c r="U1323" s="76" t="s">
        <v>4744</v>
      </c>
      <c r="V1323" s="76"/>
      <c r="W1323" s="76"/>
      <c r="X1323" s="76"/>
    </row>
    <row r="1324" ht="18.0" customHeight="1">
      <c r="A1324" s="76"/>
      <c r="B1324" s="76"/>
      <c r="C1324" s="76"/>
      <c r="D1324" s="76"/>
      <c r="E1324" s="76"/>
      <c r="F1324" s="76"/>
      <c r="G1324" s="76"/>
      <c r="H1324" s="76"/>
      <c r="I1324" s="76"/>
      <c r="J1324" s="76"/>
      <c r="K1324" s="76"/>
      <c r="L1324" s="76"/>
      <c r="M1324" s="76" t="s">
        <v>4745</v>
      </c>
      <c r="N1324" s="76"/>
      <c r="O1324" s="76"/>
      <c r="P1324" s="76"/>
      <c r="Q1324" s="76"/>
      <c r="R1324" s="76"/>
      <c r="S1324" s="76"/>
      <c r="T1324" s="76"/>
      <c r="U1324" s="76" t="s">
        <v>4746</v>
      </c>
      <c r="V1324" s="76"/>
      <c r="W1324" s="76"/>
      <c r="X1324" s="76"/>
    </row>
    <row r="1325" ht="18.0" customHeight="1">
      <c r="A1325" s="76"/>
      <c r="B1325" s="76"/>
      <c r="C1325" s="76"/>
      <c r="D1325" s="76"/>
      <c r="E1325" s="76"/>
      <c r="F1325" s="76"/>
      <c r="G1325" s="76"/>
      <c r="H1325" s="76"/>
      <c r="I1325" s="76"/>
      <c r="J1325" s="76"/>
      <c r="K1325" s="76"/>
      <c r="L1325" s="76"/>
      <c r="M1325" s="76" t="s">
        <v>4747</v>
      </c>
      <c r="N1325" s="76"/>
      <c r="O1325" s="76"/>
      <c r="P1325" s="76"/>
      <c r="Q1325" s="76"/>
      <c r="R1325" s="76"/>
      <c r="S1325" s="76"/>
      <c r="T1325" s="76"/>
      <c r="U1325" s="76" t="s">
        <v>4748</v>
      </c>
      <c r="V1325" s="76"/>
      <c r="W1325" s="76"/>
      <c r="X1325" s="76"/>
    </row>
    <row r="1326" ht="18.0" customHeight="1">
      <c r="A1326" s="76"/>
      <c r="B1326" s="76"/>
      <c r="C1326" s="76"/>
      <c r="D1326" s="76"/>
      <c r="E1326" s="76"/>
      <c r="F1326" s="76"/>
      <c r="G1326" s="76"/>
      <c r="H1326" s="76"/>
      <c r="I1326" s="76"/>
      <c r="J1326" s="76"/>
      <c r="K1326" s="76"/>
      <c r="L1326" s="76"/>
      <c r="M1326" s="76" t="s">
        <v>4749</v>
      </c>
      <c r="N1326" s="76"/>
      <c r="O1326" s="76"/>
      <c r="P1326" s="76"/>
      <c r="Q1326" s="76"/>
      <c r="R1326" s="76"/>
      <c r="S1326" s="76"/>
      <c r="T1326" s="76"/>
      <c r="U1326" s="76" t="s">
        <v>4750</v>
      </c>
      <c r="V1326" s="76"/>
      <c r="W1326" s="76"/>
      <c r="X1326" s="76"/>
    </row>
    <row r="1327" ht="18.0" customHeight="1">
      <c r="A1327" s="76"/>
      <c r="B1327" s="76"/>
      <c r="C1327" s="76"/>
      <c r="D1327" s="76"/>
      <c r="E1327" s="76"/>
      <c r="F1327" s="76"/>
      <c r="G1327" s="76"/>
      <c r="H1327" s="76"/>
      <c r="I1327" s="76"/>
      <c r="J1327" s="76"/>
      <c r="K1327" s="76"/>
      <c r="L1327" s="76"/>
      <c r="M1327" s="76" t="s">
        <v>4751</v>
      </c>
      <c r="N1327" s="76"/>
      <c r="O1327" s="76"/>
      <c r="P1327" s="76"/>
      <c r="Q1327" s="76"/>
      <c r="R1327" s="76"/>
      <c r="S1327" s="76"/>
      <c r="T1327" s="76"/>
      <c r="U1327" s="76" t="s">
        <v>4752</v>
      </c>
      <c r="V1327" s="76"/>
      <c r="W1327" s="76"/>
      <c r="X1327" s="76"/>
    </row>
    <row r="1328" ht="18.0" customHeight="1">
      <c r="A1328" s="76"/>
      <c r="B1328" s="76"/>
      <c r="C1328" s="76"/>
      <c r="D1328" s="76"/>
      <c r="E1328" s="76"/>
      <c r="F1328" s="76"/>
      <c r="G1328" s="76"/>
      <c r="H1328" s="76"/>
      <c r="I1328" s="76"/>
      <c r="J1328" s="76"/>
      <c r="K1328" s="76"/>
      <c r="L1328" s="76"/>
      <c r="M1328" s="76" t="s">
        <v>4753</v>
      </c>
      <c r="N1328" s="76"/>
      <c r="O1328" s="76"/>
      <c r="P1328" s="76"/>
      <c r="Q1328" s="76"/>
      <c r="R1328" s="76"/>
      <c r="S1328" s="76"/>
      <c r="T1328" s="76"/>
      <c r="U1328" s="76" t="s">
        <v>4754</v>
      </c>
      <c r="V1328" s="76"/>
      <c r="W1328" s="76"/>
      <c r="X1328" s="76"/>
    </row>
    <row r="1329" ht="18.0" customHeight="1">
      <c r="A1329" s="76"/>
      <c r="B1329" s="76"/>
      <c r="C1329" s="76"/>
      <c r="D1329" s="76"/>
      <c r="E1329" s="76"/>
      <c r="F1329" s="76"/>
      <c r="G1329" s="76"/>
      <c r="H1329" s="76"/>
      <c r="I1329" s="76"/>
      <c r="J1329" s="76"/>
      <c r="K1329" s="76"/>
      <c r="L1329" s="76"/>
      <c r="M1329" s="76" t="s">
        <v>4755</v>
      </c>
      <c r="N1329" s="76"/>
      <c r="O1329" s="76"/>
      <c r="P1329" s="76"/>
      <c r="Q1329" s="76"/>
      <c r="R1329" s="76"/>
      <c r="S1329" s="76"/>
      <c r="T1329" s="76"/>
      <c r="U1329" s="76" t="s">
        <v>4756</v>
      </c>
      <c r="V1329" s="76"/>
      <c r="W1329" s="76"/>
      <c r="X1329" s="76"/>
    </row>
    <row r="1330" ht="18.0" customHeight="1">
      <c r="A1330" s="76"/>
      <c r="B1330" s="76"/>
      <c r="C1330" s="76"/>
      <c r="D1330" s="76"/>
      <c r="E1330" s="76"/>
      <c r="F1330" s="76"/>
      <c r="G1330" s="76"/>
      <c r="H1330" s="76"/>
      <c r="I1330" s="76"/>
      <c r="J1330" s="76"/>
      <c r="K1330" s="76"/>
      <c r="L1330" s="76"/>
      <c r="M1330" s="76" t="s">
        <v>4757</v>
      </c>
      <c r="N1330" s="76"/>
      <c r="O1330" s="76"/>
      <c r="P1330" s="76"/>
      <c r="Q1330" s="76"/>
      <c r="R1330" s="76"/>
      <c r="S1330" s="76"/>
      <c r="T1330" s="76"/>
      <c r="U1330" s="76" t="s">
        <v>4758</v>
      </c>
      <c r="V1330" s="76"/>
      <c r="W1330" s="76"/>
      <c r="X1330" s="76"/>
    </row>
    <row r="1331" ht="18.0" customHeight="1">
      <c r="A1331" s="76"/>
      <c r="B1331" s="76"/>
      <c r="C1331" s="76"/>
      <c r="D1331" s="76"/>
      <c r="E1331" s="76"/>
      <c r="F1331" s="76"/>
      <c r="G1331" s="76"/>
      <c r="H1331" s="76"/>
      <c r="I1331" s="76"/>
      <c r="J1331" s="76"/>
      <c r="K1331" s="76"/>
      <c r="L1331" s="76"/>
      <c r="M1331" s="76" t="s">
        <v>4759</v>
      </c>
      <c r="N1331" s="76"/>
      <c r="O1331" s="76"/>
      <c r="P1331" s="76"/>
      <c r="Q1331" s="76"/>
      <c r="R1331" s="76"/>
      <c r="S1331" s="76"/>
      <c r="T1331" s="76"/>
      <c r="U1331" s="76" t="s">
        <v>4760</v>
      </c>
      <c r="V1331" s="76"/>
      <c r="W1331" s="76"/>
      <c r="X1331" s="76"/>
    </row>
    <row r="1332" ht="18.0" customHeight="1">
      <c r="A1332" s="76"/>
      <c r="B1332" s="76"/>
      <c r="C1332" s="76"/>
      <c r="D1332" s="76"/>
      <c r="E1332" s="76"/>
      <c r="F1332" s="76"/>
      <c r="G1332" s="76"/>
      <c r="H1332" s="76"/>
      <c r="I1332" s="76"/>
      <c r="J1332" s="76"/>
      <c r="K1332" s="76"/>
      <c r="L1332" s="76"/>
      <c r="M1332" s="76" t="s">
        <v>4761</v>
      </c>
      <c r="N1332" s="76"/>
      <c r="O1332" s="76"/>
      <c r="P1332" s="76"/>
      <c r="Q1332" s="76"/>
      <c r="R1332" s="76"/>
      <c r="S1332" s="76"/>
      <c r="T1332" s="76"/>
      <c r="U1332" s="76" t="s">
        <v>4762</v>
      </c>
      <c r="V1332" s="76"/>
      <c r="W1332" s="76"/>
      <c r="X1332" s="76"/>
    </row>
    <row r="1333" ht="18.0" customHeight="1">
      <c r="A1333" s="76"/>
      <c r="B1333" s="76"/>
      <c r="C1333" s="76"/>
      <c r="D1333" s="76"/>
      <c r="E1333" s="76"/>
      <c r="F1333" s="76"/>
      <c r="G1333" s="76"/>
      <c r="H1333" s="76"/>
      <c r="I1333" s="76"/>
      <c r="J1333" s="76"/>
      <c r="K1333" s="76"/>
      <c r="L1333" s="76"/>
      <c r="M1333" s="76" t="s">
        <v>4763</v>
      </c>
      <c r="N1333" s="76"/>
      <c r="O1333" s="76"/>
      <c r="P1333" s="76"/>
      <c r="Q1333" s="76"/>
      <c r="R1333" s="76"/>
      <c r="S1333" s="76"/>
      <c r="T1333" s="76"/>
      <c r="U1333" s="76" t="s">
        <v>4764</v>
      </c>
      <c r="V1333" s="76"/>
      <c r="W1333" s="76"/>
      <c r="X1333" s="76"/>
    </row>
    <row r="1334" ht="18.0" customHeight="1">
      <c r="A1334" s="76"/>
      <c r="B1334" s="76"/>
      <c r="C1334" s="76"/>
      <c r="D1334" s="76"/>
      <c r="E1334" s="76"/>
      <c r="F1334" s="76"/>
      <c r="G1334" s="76"/>
      <c r="H1334" s="76"/>
      <c r="I1334" s="76"/>
      <c r="J1334" s="76"/>
      <c r="K1334" s="76"/>
      <c r="L1334" s="76"/>
      <c r="M1334" s="76" t="s">
        <v>4765</v>
      </c>
      <c r="N1334" s="76"/>
      <c r="O1334" s="76"/>
      <c r="P1334" s="76"/>
      <c r="Q1334" s="76"/>
      <c r="R1334" s="76"/>
      <c r="S1334" s="76"/>
      <c r="T1334" s="76"/>
      <c r="U1334" s="76" t="s">
        <v>4766</v>
      </c>
      <c r="V1334" s="76"/>
      <c r="W1334" s="76"/>
      <c r="X1334" s="76"/>
    </row>
    <row r="1335" ht="18.0" customHeight="1">
      <c r="A1335" s="76"/>
      <c r="B1335" s="76"/>
      <c r="C1335" s="76"/>
      <c r="D1335" s="76"/>
      <c r="E1335" s="76"/>
      <c r="F1335" s="76"/>
      <c r="G1335" s="76"/>
      <c r="H1335" s="76"/>
      <c r="I1335" s="76"/>
      <c r="J1335" s="76"/>
      <c r="K1335" s="76"/>
      <c r="L1335" s="76"/>
      <c r="M1335" s="76" t="s">
        <v>4767</v>
      </c>
      <c r="N1335" s="76"/>
      <c r="O1335" s="76"/>
      <c r="P1335" s="76"/>
      <c r="Q1335" s="76"/>
      <c r="R1335" s="76"/>
      <c r="S1335" s="76"/>
      <c r="T1335" s="76"/>
      <c r="U1335" s="76" t="s">
        <v>4768</v>
      </c>
      <c r="V1335" s="76"/>
      <c r="W1335" s="76"/>
      <c r="X1335" s="76"/>
    </row>
    <row r="1336" ht="18.0" customHeight="1">
      <c r="A1336" s="76"/>
      <c r="B1336" s="76"/>
      <c r="C1336" s="76"/>
      <c r="D1336" s="76"/>
      <c r="E1336" s="76"/>
      <c r="F1336" s="76"/>
      <c r="G1336" s="76"/>
      <c r="H1336" s="76"/>
      <c r="I1336" s="76"/>
      <c r="J1336" s="76"/>
      <c r="K1336" s="76"/>
      <c r="L1336" s="76"/>
      <c r="M1336" s="76" t="s">
        <v>4769</v>
      </c>
      <c r="N1336" s="76"/>
      <c r="O1336" s="76"/>
      <c r="P1336" s="76"/>
      <c r="Q1336" s="76"/>
      <c r="R1336" s="76"/>
      <c r="S1336" s="76"/>
      <c r="T1336" s="76"/>
      <c r="U1336" s="76" t="s">
        <v>4770</v>
      </c>
      <c r="V1336" s="76"/>
      <c r="W1336" s="76"/>
      <c r="X1336" s="76"/>
    </row>
    <row r="1337" ht="18.0" customHeight="1">
      <c r="A1337" s="76"/>
      <c r="B1337" s="76"/>
      <c r="C1337" s="76"/>
      <c r="D1337" s="76"/>
      <c r="E1337" s="76"/>
      <c r="F1337" s="76"/>
      <c r="G1337" s="76"/>
      <c r="H1337" s="76"/>
      <c r="I1337" s="76"/>
      <c r="J1337" s="76"/>
      <c r="K1337" s="76"/>
      <c r="L1337" s="76"/>
      <c r="M1337" s="76" t="s">
        <v>4771</v>
      </c>
      <c r="N1337" s="76"/>
      <c r="O1337" s="76"/>
      <c r="P1337" s="76"/>
      <c r="Q1337" s="76"/>
      <c r="R1337" s="76"/>
      <c r="S1337" s="76"/>
      <c r="T1337" s="76"/>
      <c r="U1337" s="76" t="s">
        <v>4772</v>
      </c>
      <c r="V1337" s="76"/>
      <c r="W1337" s="76"/>
      <c r="X1337" s="76"/>
    </row>
    <row r="1338" ht="18.0" customHeight="1">
      <c r="A1338" s="76"/>
      <c r="B1338" s="76"/>
      <c r="C1338" s="76"/>
      <c r="D1338" s="76"/>
      <c r="E1338" s="76"/>
      <c r="F1338" s="76"/>
      <c r="G1338" s="76"/>
      <c r="H1338" s="76"/>
      <c r="I1338" s="76"/>
      <c r="J1338" s="76"/>
      <c r="K1338" s="76"/>
      <c r="L1338" s="76"/>
      <c r="M1338" s="76" t="s">
        <v>4773</v>
      </c>
      <c r="N1338" s="76"/>
      <c r="O1338" s="76"/>
      <c r="P1338" s="76"/>
      <c r="Q1338" s="76"/>
      <c r="R1338" s="76"/>
      <c r="S1338" s="76"/>
      <c r="T1338" s="76"/>
      <c r="U1338" s="76" t="s">
        <v>4774</v>
      </c>
      <c r="V1338" s="76"/>
      <c r="W1338" s="76"/>
      <c r="X1338" s="76"/>
    </row>
    <row r="1339" ht="18.0" customHeight="1">
      <c r="A1339" s="76"/>
      <c r="B1339" s="76"/>
      <c r="C1339" s="76"/>
      <c r="D1339" s="76"/>
      <c r="E1339" s="76"/>
      <c r="F1339" s="76"/>
      <c r="G1339" s="76"/>
      <c r="H1339" s="76"/>
      <c r="I1339" s="76"/>
      <c r="J1339" s="76"/>
      <c r="K1339" s="76"/>
      <c r="L1339" s="76"/>
      <c r="M1339" s="76" t="s">
        <v>4775</v>
      </c>
      <c r="N1339" s="76"/>
      <c r="O1339" s="76"/>
      <c r="P1339" s="76"/>
      <c r="Q1339" s="76"/>
      <c r="R1339" s="76"/>
      <c r="S1339" s="76"/>
      <c r="T1339" s="76"/>
      <c r="U1339" s="76" t="s">
        <v>4776</v>
      </c>
      <c r="V1339" s="76"/>
      <c r="W1339" s="76"/>
      <c r="X1339" s="76"/>
    </row>
    <row r="1340" ht="18.0" customHeight="1">
      <c r="A1340" s="76"/>
      <c r="B1340" s="76"/>
      <c r="C1340" s="76"/>
      <c r="D1340" s="76"/>
      <c r="E1340" s="76"/>
      <c r="F1340" s="76"/>
      <c r="G1340" s="76"/>
      <c r="H1340" s="76"/>
      <c r="I1340" s="76"/>
      <c r="J1340" s="76"/>
      <c r="K1340" s="76"/>
      <c r="L1340" s="76"/>
      <c r="M1340" s="76" t="s">
        <v>4777</v>
      </c>
      <c r="N1340" s="76"/>
      <c r="O1340" s="76"/>
      <c r="P1340" s="76"/>
      <c r="Q1340" s="76"/>
      <c r="R1340" s="76"/>
      <c r="S1340" s="76"/>
      <c r="T1340" s="76"/>
      <c r="U1340" s="76" t="s">
        <v>4778</v>
      </c>
      <c r="V1340" s="76"/>
      <c r="W1340" s="76"/>
      <c r="X1340" s="76"/>
    </row>
    <row r="1341" ht="18.0" customHeight="1">
      <c r="A1341" s="76"/>
      <c r="B1341" s="76"/>
      <c r="C1341" s="76"/>
      <c r="D1341" s="76"/>
      <c r="E1341" s="76"/>
      <c r="F1341" s="76"/>
      <c r="G1341" s="76"/>
      <c r="H1341" s="76"/>
      <c r="I1341" s="76"/>
      <c r="J1341" s="76"/>
      <c r="K1341" s="76"/>
      <c r="L1341" s="76"/>
      <c r="M1341" s="76" t="s">
        <v>4779</v>
      </c>
      <c r="N1341" s="76"/>
      <c r="O1341" s="76"/>
      <c r="P1341" s="76"/>
      <c r="Q1341" s="76"/>
      <c r="R1341" s="76"/>
      <c r="S1341" s="76"/>
      <c r="T1341" s="76"/>
      <c r="U1341" s="76" t="s">
        <v>4780</v>
      </c>
      <c r="V1341" s="76"/>
      <c r="W1341" s="76"/>
      <c r="X1341" s="76"/>
    </row>
    <row r="1342" ht="18.0" customHeight="1">
      <c r="A1342" s="76"/>
      <c r="B1342" s="76"/>
      <c r="C1342" s="76"/>
      <c r="D1342" s="76"/>
      <c r="E1342" s="76"/>
      <c r="F1342" s="76"/>
      <c r="G1342" s="76"/>
      <c r="H1342" s="76"/>
      <c r="I1342" s="76"/>
      <c r="J1342" s="76"/>
      <c r="K1342" s="76"/>
      <c r="L1342" s="76"/>
      <c r="M1342" s="76" t="s">
        <v>4781</v>
      </c>
      <c r="N1342" s="76"/>
      <c r="O1342" s="76"/>
      <c r="P1342" s="76"/>
      <c r="Q1342" s="76"/>
      <c r="R1342" s="76"/>
      <c r="S1342" s="76"/>
      <c r="T1342" s="76"/>
      <c r="U1342" s="76" t="s">
        <v>4782</v>
      </c>
      <c r="V1342" s="76"/>
      <c r="W1342" s="76"/>
      <c r="X1342" s="76"/>
    </row>
    <row r="1343" ht="18.0" customHeight="1">
      <c r="A1343" s="76"/>
      <c r="B1343" s="76"/>
      <c r="C1343" s="76"/>
      <c r="D1343" s="76"/>
      <c r="E1343" s="76"/>
      <c r="F1343" s="76"/>
      <c r="G1343" s="76"/>
      <c r="H1343" s="76"/>
      <c r="I1343" s="76"/>
      <c r="J1343" s="76"/>
      <c r="K1343" s="76"/>
      <c r="L1343" s="76"/>
      <c r="M1343" s="76" t="s">
        <v>4783</v>
      </c>
      <c r="N1343" s="76"/>
      <c r="O1343" s="76"/>
      <c r="P1343" s="76"/>
      <c r="Q1343" s="76"/>
      <c r="R1343" s="76"/>
      <c r="S1343" s="76"/>
      <c r="T1343" s="76"/>
      <c r="U1343" s="76" t="s">
        <v>4784</v>
      </c>
      <c r="V1343" s="76"/>
      <c r="W1343" s="76"/>
      <c r="X1343" s="76"/>
    </row>
    <row r="1344" ht="18.0" customHeight="1">
      <c r="A1344" s="76"/>
      <c r="B1344" s="76"/>
      <c r="C1344" s="76"/>
      <c r="D1344" s="76"/>
      <c r="E1344" s="76"/>
      <c r="F1344" s="76"/>
      <c r="G1344" s="76"/>
      <c r="H1344" s="76"/>
      <c r="I1344" s="76"/>
      <c r="J1344" s="76"/>
      <c r="K1344" s="76"/>
      <c r="L1344" s="76"/>
      <c r="M1344" s="76" t="s">
        <v>4785</v>
      </c>
      <c r="N1344" s="76"/>
      <c r="O1344" s="76"/>
      <c r="P1344" s="76"/>
      <c r="Q1344" s="76"/>
      <c r="R1344" s="76"/>
      <c r="S1344" s="76"/>
      <c r="T1344" s="76"/>
      <c r="U1344" s="76" t="s">
        <v>4786</v>
      </c>
      <c r="V1344" s="76"/>
      <c r="W1344" s="76"/>
      <c r="X1344" s="76"/>
    </row>
    <row r="1345" ht="18.0" customHeight="1">
      <c r="A1345" s="76"/>
      <c r="B1345" s="76"/>
      <c r="C1345" s="76"/>
      <c r="D1345" s="76"/>
      <c r="E1345" s="76"/>
      <c r="F1345" s="76"/>
      <c r="G1345" s="76"/>
      <c r="H1345" s="76"/>
      <c r="I1345" s="76"/>
      <c r="J1345" s="76"/>
      <c r="K1345" s="76"/>
      <c r="L1345" s="76"/>
      <c r="M1345" s="76" t="s">
        <v>4787</v>
      </c>
      <c r="N1345" s="76"/>
      <c r="O1345" s="76"/>
      <c r="P1345" s="76"/>
      <c r="Q1345" s="76"/>
      <c r="R1345" s="76"/>
      <c r="S1345" s="76"/>
      <c r="T1345" s="76"/>
      <c r="U1345" s="76" t="s">
        <v>4788</v>
      </c>
      <c r="V1345" s="76"/>
      <c r="W1345" s="76"/>
      <c r="X1345" s="76"/>
    </row>
    <row r="1346" ht="18.0" customHeight="1">
      <c r="A1346" s="76"/>
      <c r="B1346" s="76"/>
      <c r="C1346" s="76"/>
      <c r="D1346" s="76"/>
      <c r="E1346" s="76"/>
      <c r="F1346" s="76"/>
      <c r="G1346" s="76"/>
      <c r="H1346" s="76"/>
      <c r="I1346" s="76"/>
      <c r="J1346" s="76"/>
      <c r="K1346" s="76"/>
      <c r="L1346" s="76"/>
      <c r="M1346" s="76" t="s">
        <v>4789</v>
      </c>
      <c r="N1346" s="76"/>
      <c r="O1346" s="76"/>
      <c r="P1346" s="76"/>
      <c r="Q1346" s="76"/>
      <c r="R1346" s="76"/>
      <c r="S1346" s="76"/>
      <c r="T1346" s="76"/>
      <c r="U1346" s="76" t="s">
        <v>4790</v>
      </c>
      <c r="V1346" s="76"/>
      <c r="W1346" s="76"/>
      <c r="X1346" s="76"/>
    </row>
    <row r="1347" ht="18.0" customHeight="1">
      <c r="A1347" s="76"/>
      <c r="B1347" s="76"/>
      <c r="C1347" s="76"/>
      <c r="D1347" s="76"/>
      <c r="E1347" s="76"/>
      <c r="F1347" s="76"/>
      <c r="G1347" s="76"/>
      <c r="H1347" s="76"/>
      <c r="I1347" s="76"/>
      <c r="J1347" s="76"/>
      <c r="K1347" s="76"/>
      <c r="L1347" s="76"/>
      <c r="M1347" s="76" t="s">
        <v>4791</v>
      </c>
      <c r="N1347" s="76"/>
      <c r="O1347" s="76"/>
      <c r="P1347" s="76"/>
      <c r="Q1347" s="76"/>
      <c r="R1347" s="76"/>
      <c r="S1347" s="76"/>
      <c r="T1347" s="76"/>
      <c r="U1347" s="76" t="s">
        <v>4792</v>
      </c>
      <c r="V1347" s="76"/>
      <c r="W1347" s="76"/>
      <c r="X1347" s="76"/>
    </row>
    <row r="1348" ht="18.0" customHeight="1">
      <c r="A1348" s="76"/>
      <c r="B1348" s="76"/>
      <c r="C1348" s="76"/>
      <c r="D1348" s="76"/>
      <c r="E1348" s="76"/>
      <c r="F1348" s="76"/>
      <c r="G1348" s="76"/>
      <c r="H1348" s="76"/>
      <c r="I1348" s="76"/>
      <c r="J1348" s="76"/>
      <c r="K1348" s="76"/>
      <c r="L1348" s="76"/>
      <c r="M1348" s="76" t="s">
        <v>4793</v>
      </c>
      <c r="N1348" s="76"/>
      <c r="O1348" s="76"/>
      <c r="P1348" s="76"/>
      <c r="Q1348" s="76"/>
      <c r="R1348" s="76"/>
      <c r="S1348" s="76"/>
      <c r="T1348" s="76"/>
      <c r="U1348" s="76" t="s">
        <v>4794</v>
      </c>
      <c r="V1348" s="76"/>
      <c r="W1348" s="76"/>
      <c r="X1348" s="76"/>
    </row>
    <row r="1349" ht="18.0" customHeight="1">
      <c r="A1349" s="76"/>
      <c r="B1349" s="76"/>
      <c r="C1349" s="76"/>
      <c r="D1349" s="76"/>
      <c r="E1349" s="76"/>
      <c r="F1349" s="76"/>
      <c r="G1349" s="76"/>
      <c r="H1349" s="76"/>
      <c r="I1349" s="76"/>
      <c r="J1349" s="76"/>
      <c r="K1349" s="76"/>
      <c r="L1349" s="76"/>
      <c r="M1349" s="76" t="s">
        <v>4795</v>
      </c>
      <c r="N1349" s="76"/>
      <c r="O1349" s="76"/>
      <c r="P1349" s="76"/>
      <c r="Q1349" s="76"/>
      <c r="R1349" s="76"/>
      <c r="S1349" s="76"/>
      <c r="T1349" s="76"/>
      <c r="U1349" s="76" t="s">
        <v>4796</v>
      </c>
      <c r="V1349" s="76"/>
      <c r="W1349" s="76"/>
      <c r="X1349" s="76"/>
    </row>
    <row r="1350" ht="18.0" customHeight="1">
      <c r="A1350" s="76"/>
      <c r="B1350" s="76"/>
      <c r="C1350" s="76"/>
      <c r="D1350" s="76"/>
      <c r="E1350" s="76"/>
      <c r="F1350" s="76"/>
      <c r="G1350" s="76"/>
      <c r="H1350" s="76"/>
      <c r="I1350" s="76"/>
      <c r="J1350" s="76"/>
      <c r="K1350" s="76"/>
      <c r="L1350" s="76"/>
      <c r="M1350" s="76" t="s">
        <v>4797</v>
      </c>
      <c r="N1350" s="76"/>
      <c r="O1350" s="76"/>
      <c r="P1350" s="76"/>
      <c r="Q1350" s="76"/>
      <c r="R1350" s="76"/>
      <c r="S1350" s="76"/>
      <c r="T1350" s="76"/>
      <c r="U1350" s="76" t="s">
        <v>4798</v>
      </c>
      <c r="V1350" s="76"/>
      <c r="W1350" s="76"/>
      <c r="X1350" s="76"/>
    </row>
    <row r="1351" ht="18.0" customHeight="1">
      <c r="A1351" s="76"/>
      <c r="B1351" s="76"/>
      <c r="C1351" s="76"/>
      <c r="D1351" s="76"/>
      <c r="E1351" s="76"/>
      <c r="F1351" s="76"/>
      <c r="G1351" s="76"/>
      <c r="H1351" s="76"/>
      <c r="I1351" s="76"/>
      <c r="J1351" s="76"/>
      <c r="K1351" s="76"/>
      <c r="L1351" s="76"/>
      <c r="M1351" s="76" t="s">
        <v>4799</v>
      </c>
      <c r="N1351" s="76"/>
      <c r="O1351" s="76"/>
      <c r="P1351" s="76"/>
      <c r="Q1351" s="76"/>
      <c r="R1351" s="76"/>
      <c r="S1351" s="76"/>
      <c r="T1351" s="76"/>
      <c r="U1351" s="76" t="s">
        <v>4800</v>
      </c>
      <c r="V1351" s="76"/>
      <c r="W1351" s="76"/>
      <c r="X1351" s="76"/>
    </row>
    <row r="1352" ht="18.0" customHeight="1">
      <c r="A1352" s="76"/>
      <c r="B1352" s="76"/>
      <c r="C1352" s="76"/>
      <c r="D1352" s="76"/>
      <c r="E1352" s="76"/>
      <c r="F1352" s="76"/>
      <c r="G1352" s="76"/>
      <c r="H1352" s="76"/>
      <c r="I1352" s="76"/>
      <c r="J1352" s="76"/>
      <c r="K1352" s="76"/>
      <c r="L1352" s="76"/>
      <c r="M1352" s="76" t="s">
        <v>4801</v>
      </c>
      <c r="N1352" s="76"/>
      <c r="O1352" s="76"/>
      <c r="P1352" s="76"/>
      <c r="Q1352" s="76"/>
      <c r="R1352" s="76"/>
      <c r="S1352" s="76"/>
      <c r="T1352" s="76"/>
      <c r="U1352" s="76" t="s">
        <v>4802</v>
      </c>
      <c r="V1352" s="76"/>
      <c r="W1352" s="76"/>
      <c r="X1352" s="76"/>
    </row>
    <row r="1353" ht="18.0" customHeight="1">
      <c r="A1353" s="76"/>
      <c r="B1353" s="76"/>
      <c r="C1353" s="76"/>
      <c r="D1353" s="76"/>
      <c r="E1353" s="76"/>
      <c r="F1353" s="76"/>
      <c r="G1353" s="76"/>
      <c r="H1353" s="76"/>
      <c r="I1353" s="76"/>
      <c r="J1353" s="76"/>
      <c r="K1353" s="76"/>
      <c r="L1353" s="76"/>
      <c r="M1353" s="76" t="s">
        <v>4803</v>
      </c>
      <c r="N1353" s="76"/>
      <c r="O1353" s="76"/>
      <c r="P1353" s="76"/>
      <c r="Q1353" s="76"/>
      <c r="R1353" s="76"/>
      <c r="S1353" s="76"/>
      <c r="T1353" s="76"/>
      <c r="U1353" s="76" t="s">
        <v>4804</v>
      </c>
      <c r="V1353" s="76"/>
      <c r="W1353" s="76"/>
      <c r="X1353" s="76"/>
    </row>
    <row r="1354" ht="18.0" customHeight="1">
      <c r="A1354" s="76"/>
      <c r="B1354" s="76"/>
      <c r="C1354" s="76"/>
      <c r="D1354" s="76"/>
      <c r="E1354" s="76"/>
      <c r="F1354" s="76"/>
      <c r="G1354" s="76"/>
      <c r="H1354" s="76"/>
      <c r="I1354" s="76"/>
      <c r="J1354" s="76"/>
      <c r="K1354" s="76"/>
      <c r="L1354" s="76"/>
      <c r="M1354" s="76" t="s">
        <v>4805</v>
      </c>
      <c r="N1354" s="76"/>
      <c r="O1354" s="76"/>
      <c r="P1354" s="76"/>
      <c r="Q1354" s="76"/>
      <c r="R1354" s="76"/>
      <c r="S1354" s="76"/>
      <c r="T1354" s="76"/>
      <c r="U1354" s="76" t="s">
        <v>4806</v>
      </c>
      <c r="V1354" s="76"/>
      <c r="W1354" s="76"/>
      <c r="X1354" s="76"/>
    </row>
    <row r="1355" ht="18.0" customHeight="1">
      <c r="A1355" s="76"/>
      <c r="B1355" s="76"/>
      <c r="C1355" s="76"/>
      <c r="D1355" s="76"/>
      <c r="E1355" s="76"/>
      <c r="F1355" s="76"/>
      <c r="G1355" s="76"/>
      <c r="H1355" s="76"/>
      <c r="I1355" s="76"/>
      <c r="J1355" s="76"/>
      <c r="K1355" s="76"/>
      <c r="L1355" s="76"/>
      <c r="M1355" s="76" t="s">
        <v>4807</v>
      </c>
      <c r="N1355" s="76"/>
      <c r="O1355" s="76"/>
      <c r="P1355" s="76"/>
      <c r="Q1355" s="76"/>
      <c r="R1355" s="76"/>
      <c r="S1355" s="76"/>
      <c r="T1355" s="76"/>
      <c r="U1355" s="76" t="s">
        <v>4808</v>
      </c>
      <c r="V1355" s="76"/>
      <c r="W1355" s="76"/>
      <c r="X1355" s="76"/>
    </row>
    <row r="1356" ht="18.0" customHeight="1">
      <c r="A1356" s="76"/>
      <c r="B1356" s="76"/>
      <c r="C1356" s="76"/>
      <c r="D1356" s="76"/>
      <c r="E1356" s="76"/>
      <c r="F1356" s="76"/>
      <c r="G1356" s="76"/>
      <c r="H1356" s="76"/>
      <c r="I1356" s="76"/>
      <c r="J1356" s="76"/>
      <c r="K1356" s="76"/>
      <c r="L1356" s="76"/>
      <c r="M1356" s="76" t="s">
        <v>4809</v>
      </c>
      <c r="N1356" s="76"/>
      <c r="O1356" s="76"/>
      <c r="P1356" s="76"/>
      <c r="Q1356" s="76"/>
      <c r="R1356" s="76"/>
      <c r="S1356" s="76"/>
      <c r="T1356" s="76"/>
      <c r="U1356" s="76" t="s">
        <v>4810</v>
      </c>
      <c r="V1356" s="76"/>
      <c r="W1356" s="76"/>
      <c r="X1356" s="76"/>
    </row>
    <row r="1357" ht="18.0" customHeight="1">
      <c r="A1357" s="76"/>
      <c r="B1357" s="76"/>
      <c r="C1357" s="76"/>
      <c r="D1357" s="76"/>
      <c r="E1357" s="76"/>
      <c r="F1357" s="76"/>
      <c r="G1357" s="76"/>
      <c r="H1357" s="76"/>
      <c r="I1357" s="76"/>
      <c r="J1357" s="76"/>
      <c r="K1357" s="76"/>
      <c r="L1357" s="76"/>
      <c r="M1357" s="76" t="s">
        <v>4811</v>
      </c>
      <c r="N1357" s="76"/>
      <c r="O1357" s="76"/>
      <c r="P1357" s="76"/>
      <c r="Q1357" s="76"/>
      <c r="R1357" s="76"/>
      <c r="S1357" s="76"/>
      <c r="T1357" s="76"/>
      <c r="U1357" s="76" t="s">
        <v>4812</v>
      </c>
      <c r="V1357" s="76"/>
      <c r="W1357" s="76"/>
      <c r="X1357" s="76"/>
    </row>
    <row r="1358" ht="18.0" customHeight="1">
      <c r="A1358" s="76"/>
      <c r="B1358" s="76"/>
      <c r="C1358" s="76"/>
      <c r="D1358" s="76"/>
      <c r="E1358" s="76"/>
      <c r="F1358" s="76"/>
      <c r="G1358" s="76"/>
      <c r="H1358" s="76"/>
      <c r="I1358" s="76"/>
      <c r="J1358" s="76"/>
      <c r="K1358" s="76"/>
      <c r="L1358" s="76"/>
      <c r="M1358" s="76" t="s">
        <v>4813</v>
      </c>
      <c r="N1358" s="76"/>
      <c r="O1358" s="76"/>
      <c r="P1358" s="76"/>
      <c r="Q1358" s="76"/>
      <c r="R1358" s="76"/>
      <c r="S1358" s="76"/>
      <c r="T1358" s="76"/>
      <c r="U1358" s="76" t="s">
        <v>4814</v>
      </c>
      <c r="V1358" s="76"/>
      <c r="W1358" s="76"/>
      <c r="X1358" s="76"/>
    </row>
    <row r="1359" ht="18.0" customHeight="1">
      <c r="A1359" s="76"/>
      <c r="B1359" s="76"/>
      <c r="C1359" s="76"/>
      <c r="D1359" s="76"/>
      <c r="E1359" s="76"/>
      <c r="F1359" s="76"/>
      <c r="G1359" s="76"/>
      <c r="H1359" s="76"/>
      <c r="I1359" s="76"/>
      <c r="J1359" s="76"/>
      <c r="K1359" s="76"/>
      <c r="L1359" s="76"/>
      <c r="M1359" s="76" t="s">
        <v>4815</v>
      </c>
      <c r="N1359" s="76"/>
      <c r="O1359" s="76"/>
      <c r="P1359" s="76"/>
      <c r="Q1359" s="76"/>
      <c r="R1359" s="76"/>
      <c r="S1359" s="76"/>
      <c r="T1359" s="76"/>
      <c r="U1359" s="76" t="s">
        <v>4816</v>
      </c>
      <c r="V1359" s="76"/>
      <c r="W1359" s="76"/>
      <c r="X1359" s="76"/>
    </row>
    <row r="1360" ht="18.0" customHeight="1">
      <c r="A1360" s="76"/>
      <c r="B1360" s="76"/>
      <c r="C1360" s="76"/>
      <c r="D1360" s="76"/>
      <c r="E1360" s="76"/>
      <c r="F1360" s="76"/>
      <c r="G1360" s="76"/>
      <c r="H1360" s="76"/>
      <c r="I1360" s="76"/>
      <c r="J1360" s="76"/>
      <c r="K1360" s="76"/>
      <c r="L1360" s="76"/>
      <c r="M1360" s="76" t="s">
        <v>4817</v>
      </c>
      <c r="N1360" s="76"/>
      <c r="O1360" s="76"/>
      <c r="P1360" s="76"/>
      <c r="Q1360" s="76"/>
      <c r="R1360" s="76"/>
      <c r="S1360" s="76"/>
      <c r="T1360" s="76"/>
      <c r="U1360" s="76" t="s">
        <v>4818</v>
      </c>
      <c r="V1360" s="76"/>
      <c r="W1360" s="76"/>
      <c r="X1360" s="76"/>
    </row>
    <row r="1361" ht="18.0" customHeight="1">
      <c r="A1361" s="76"/>
      <c r="B1361" s="76"/>
      <c r="C1361" s="76"/>
      <c r="D1361" s="76"/>
      <c r="E1361" s="76"/>
      <c r="F1361" s="76"/>
      <c r="G1361" s="76"/>
      <c r="H1361" s="76"/>
      <c r="I1361" s="76"/>
      <c r="J1361" s="76"/>
      <c r="K1361" s="76"/>
      <c r="L1361" s="76"/>
      <c r="M1361" s="76" t="s">
        <v>4819</v>
      </c>
      <c r="N1361" s="76"/>
      <c r="O1361" s="76"/>
      <c r="P1361" s="76"/>
      <c r="Q1361" s="76"/>
      <c r="R1361" s="76"/>
      <c r="S1361" s="76"/>
      <c r="T1361" s="76"/>
      <c r="U1361" s="76" t="s">
        <v>4820</v>
      </c>
      <c r="V1361" s="76"/>
      <c r="W1361" s="76"/>
      <c r="X1361" s="76"/>
    </row>
    <row r="1362" ht="18.0" customHeight="1">
      <c r="A1362" s="76"/>
      <c r="B1362" s="76"/>
      <c r="C1362" s="76"/>
      <c r="D1362" s="76"/>
      <c r="E1362" s="76"/>
      <c r="F1362" s="76"/>
      <c r="G1362" s="76"/>
      <c r="H1362" s="76"/>
      <c r="I1362" s="76"/>
      <c r="J1362" s="76"/>
      <c r="K1362" s="76"/>
      <c r="L1362" s="76"/>
      <c r="M1362" s="76" t="s">
        <v>4821</v>
      </c>
      <c r="N1362" s="76"/>
      <c r="O1362" s="76"/>
      <c r="P1362" s="76"/>
      <c r="Q1362" s="76"/>
      <c r="R1362" s="76"/>
      <c r="S1362" s="76"/>
      <c r="T1362" s="76"/>
      <c r="U1362" s="76" t="s">
        <v>4822</v>
      </c>
      <c r="V1362" s="76"/>
      <c r="W1362" s="76"/>
      <c r="X1362" s="76"/>
    </row>
    <row r="1363" ht="18.0" customHeight="1">
      <c r="A1363" s="76"/>
      <c r="B1363" s="76"/>
      <c r="C1363" s="76"/>
      <c r="D1363" s="76"/>
      <c r="E1363" s="76"/>
      <c r="F1363" s="76"/>
      <c r="G1363" s="76"/>
      <c r="H1363" s="76"/>
      <c r="I1363" s="76"/>
      <c r="J1363" s="76"/>
      <c r="K1363" s="76"/>
      <c r="L1363" s="76"/>
      <c r="M1363" s="76" t="s">
        <v>4823</v>
      </c>
      <c r="N1363" s="76"/>
      <c r="O1363" s="76"/>
      <c r="P1363" s="76"/>
      <c r="Q1363" s="76"/>
      <c r="R1363" s="76"/>
      <c r="S1363" s="76"/>
      <c r="T1363" s="76"/>
      <c r="U1363" s="76" t="s">
        <v>4824</v>
      </c>
      <c r="V1363" s="76"/>
      <c r="W1363" s="76"/>
      <c r="X1363" s="76"/>
    </row>
    <row r="1364" ht="18.0" customHeight="1">
      <c r="A1364" s="76"/>
      <c r="B1364" s="76"/>
      <c r="C1364" s="76"/>
      <c r="D1364" s="76"/>
      <c r="E1364" s="76"/>
      <c r="F1364" s="76"/>
      <c r="G1364" s="76"/>
      <c r="H1364" s="76"/>
      <c r="I1364" s="76"/>
      <c r="J1364" s="76"/>
      <c r="K1364" s="76"/>
      <c r="L1364" s="76"/>
      <c r="M1364" s="76" t="s">
        <v>4825</v>
      </c>
      <c r="N1364" s="76"/>
      <c r="O1364" s="76"/>
      <c r="P1364" s="76"/>
      <c r="Q1364" s="76"/>
      <c r="R1364" s="76"/>
      <c r="S1364" s="76"/>
      <c r="T1364" s="76"/>
      <c r="U1364" s="76" t="s">
        <v>4826</v>
      </c>
      <c r="V1364" s="76"/>
      <c r="W1364" s="76"/>
      <c r="X1364" s="76"/>
    </row>
    <row r="1365" ht="18.0" customHeight="1">
      <c r="A1365" s="76"/>
      <c r="B1365" s="76"/>
      <c r="C1365" s="76"/>
      <c r="D1365" s="76"/>
      <c r="E1365" s="76"/>
      <c r="F1365" s="76"/>
      <c r="G1365" s="76"/>
      <c r="H1365" s="76"/>
      <c r="I1365" s="76"/>
      <c r="J1365" s="76"/>
      <c r="K1365" s="76"/>
      <c r="L1365" s="76"/>
      <c r="M1365" s="76" t="s">
        <v>4827</v>
      </c>
      <c r="N1365" s="76"/>
      <c r="O1365" s="76"/>
      <c r="P1365" s="76"/>
      <c r="Q1365" s="76"/>
      <c r="R1365" s="76"/>
      <c r="S1365" s="76"/>
      <c r="T1365" s="76"/>
      <c r="U1365" s="76" t="s">
        <v>4828</v>
      </c>
      <c r="V1365" s="76"/>
      <c r="W1365" s="76"/>
      <c r="X1365" s="76"/>
    </row>
    <row r="1366" ht="18.0" customHeight="1">
      <c r="A1366" s="76"/>
      <c r="B1366" s="76"/>
      <c r="C1366" s="76"/>
      <c r="D1366" s="76"/>
      <c r="E1366" s="76"/>
      <c r="F1366" s="76"/>
      <c r="G1366" s="76"/>
      <c r="H1366" s="76"/>
      <c r="I1366" s="76"/>
      <c r="J1366" s="76"/>
      <c r="K1366" s="76"/>
      <c r="L1366" s="76"/>
      <c r="M1366" s="76" t="s">
        <v>4829</v>
      </c>
      <c r="N1366" s="76"/>
      <c r="O1366" s="76"/>
      <c r="P1366" s="76"/>
      <c r="Q1366" s="76"/>
      <c r="R1366" s="76"/>
      <c r="S1366" s="76"/>
      <c r="T1366" s="76"/>
      <c r="U1366" s="76" t="s">
        <v>4830</v>
      </c>
      <c r="V1366" s="76"/>
      <c r="W1366" s="76"/>
      <c r="X1366" s="76"/>
    </row>
    <row r="1367" ht="18.0" customHeight="1">
      <c r="A1367" s="76"/>
      <c r="B1367" s="76"/>
      <c r="C1367" s="76"/>
      <c r="D1367" s="76"/>
      <c r="E1367" s="76"/>
      <c r="F1367" s="76"/>
      <c r="G1367" s="76"/>
      <c r="H1367" s="76"/>
      <c r="I1367" s="76"/>
      <c r="J1367" s="76"/>
      <c r="K1367" s="76"/>
      <c r="L1367" s="76"/>
      <c r="M1367" s="76" t="s">
        <v>4831</v>
      </c>
      <c r="N1367" s="76"/>
      <c r="O1367" s="76"/>
      <c r="P1367" s="76"/>
      <c r="Q1367" s="76"/>
      <c r="R1367" s="76"/>
      <c r="S1367" s="76"/>
      <c r="T1367" s="76"/>
      <c r="U1367" s="76" t="s">
        <v>4832</v>
      </c>
      <c r="V1367" s="76"/>
      <c r="W1367" s="76"/>
      <c r="X1367" s="76"/>
    </row>
    <row r="1368" ht="18.0" customHeight="1">
      <c r="A1368" s="76"/>
      <c r="B1368" s="76"/>
      <c r="C1368" s="76"/>
      <c r="D1368" s="76"/>
      <c r="E1368" s="76"/>
      <c r="F1368" s="76"/>
      <c r="G1368" s="76"/>
      <c r="H1368" s="76"/>
      <c r="I1368" s="76"/>
      <c r="J1368" s="76"/>
      <c r="K1368" s="76"/>
      <c r="L1368" s="76"/>
      <c r="M1368" s="76" t="s">
        <v>4833</v>
      </c>
      <c r="N1368" s="76"/>
      <c r="O1368" s="76"/>
      <c r="P1368" s="76"/>
      <c r="Q1368" s="76"/>
      <c r="R1368" s="76"/>
      <c r="S1368" s="76"/>
      <c r="T1368" s="76"/>
      <c r="U1368" s="76" t="s">
        <v>4834</v>
      </c>
      <c r="V1368" s="76"/>
      <c r="W1368" s="76"/>
      <c r="X1368" s="76"/>
    </row>
    <row r="1369" ht="18.0" customHeight="1">
      <c r="A1369" s="76"/>
      <c r="B1369" s="76"/>
      <c r="C1369" s="76"/>
      <c r="D1369" s="76"/>
      <c r="E1369" s="76"/>
      <c r="F1369" s="76"/>
      <c r="G1369" s="76"/>
      <c r="H1369" s="76"/>
      <c r="I1369" s="76"/>
      <c r="J1369" s="76"/>
      <c r="K1369" s="76"/>
      <c r="L1369" s="76"/>
      <c r="M1369" s="76" t="s">
        <v>4835</v>
      </c>
      <c r="N1369" s="76"/>
      <c r="O1369" s="76"/>
      <c r="P1369" s="76"/>
      <c r="Q1369" s="76"/>
      <c r="R1369" s="76"/>
      <c r="S1369" s="76"/>
      <c r="T1369" s="76"/>
      <c r="U1369" s="76" t="s">
        <v>4836</v>
      </c>
      <c r="V1369" s="76"/>
      <c r="W1369" s="76"/>
      <c r="X1369" s="76"/>
    </row>
    <row r="1370" ht="18.0" customHeight="1">
      <c r="A1370" s="76"/>
      <c r="B1370" s="76"/>
      <c r="C1370" s="76"/>
      <c r="D1370" s="76"/>
      <c r="E1370" s="76"/>
      <c r="F1370" s="76"/>
      <c r="G1370" s="76"/>
      <c r="H1370" s="76"/>
      <c r="I1370" s="76"/>
      <c r="J1370" s="76"/>
      <c r="K1370" s="76"/>
      <c r="L1370" s="76"/>
      <c r="M1370" s="76" t="s">
        <v>4837</v>
      </c>
      <c r="N1370" s="76"/>
      <c r="O1370" s="76"/>
      <c r="P1370" s="76"/>
      <c r="Q1370" s="76"/>
      <c r="R1370" s="76"/>
      <c r="S1370" s="76"/>
      <c r="T1370" s="76"/>
      <c r="U1370" s="76" t="s">
        <v>4838</v>
      </c>
      <c r="V1370" s="76"/>
      <c r="W1370" s="76"/>
      <c r="X1370" s="76"/>
    </row>
    <row r="1371" ht="18.0" customHeight="1">
      <c r="A1371" s="76"/>
      <c r="B1371" s="76"/>
      <c r="C1371" s="76"/>
      <c r="D1371" s="76"/>
      <c r="E1371" s="76"/>
      <c r="F1371" s="76"/>
      <c r="G1371" s="76"/>
      <c r="H1371" s="76"/>
      <c r="I1371" s="76"/>
      <c r="J1371" s="76"/>
      <c r="K1371" s="76"/>
      <c r="L1371" s="76"/>
      <c r="M1371" s="76" t="s">
        <v>4839</v>
      </c>
      <c r="N1371" s="76"/>
      <c r="O1371" s="76"/>
      <c r="P1371" s="76"/>
      <c r="Q1371" s="76"/>
      <c r="R1371" s="76"/>
      <c r="S1371" s="76"/>
      <c r="T1371" s="76"/>
      <c r="U1371" s="76" t="s">
        <v>4840</v>
      </c>
      <c r="V1371" s="76"/>
      <c r="W1371" s="76"/>
      <c r="X1371" s="76"/>
    </row>
    <row r="1372" ht="18.0" customHeight="1">
      <c r="A1372" s="76"/>
      <c r="B1372" s="76"/>
      <c r="C1372" s="76"/>
      <c r="D1372" s="76"/>
      <c r="E1372" s="76"/>
      <c r="F1372" s="76"/>
      <c r="G1372" s="76"/>
      <c r="H1372" s="76"/>
      <c r="I1372" s="76"/>
      <c r="J1372" s="76"/>
      <c r="K1372" s="76"/>
      <c r="L1372" s="76"/>
      <c r="M1372" s="76" t="s">
        <v>4841</v>
      </c>
      <c r="N1372" s="76"/>
      <c r="O1372" s="76"/>
      <c r="P1372" s="76"/>
      <c r="Q1372" s="76"/>
      <c r="R1372" s="76"/>
      <c r="S1372" s="76"/>
      <c r="T1372" s="76"/>
      <c r="U1372" s="76" t="s">
        <v>4842</v>
      </c>
      <c r="V1372" s="76"/>
      <c r="W1372" s="76"/>
      <c r="X1372" s="76"/>
    </row>
    <row r="1373" ht="18.0" customHeight="1">
      <c r="A1373" s="76"/>
      <c r="B1373" s="76"/>
      <c r="C1373" s="76"/>
      <c r="D1373" s="76"/>
      <c r="E1373" s="76"/>
      <c r="F1373" s="76"/>
      <c r="G1373" s="76"/>
      <c r="H1373" s="76"/>
      <c r="I1373" s="76"/>
      <c r="J1373" s="76"/>
      <c r="K1373" s="76"/>
      <c r="L1373" s="76"/>
      <c r="M1373" s="76" t="s">
        <v>4843</v>
      </c>
      <c r="N1373" s="76"/>
      <c r="O1373" s="76"/>
      <c r="P1373" s="76"/>
      <c r="Q1373" s="76"/>
      <c r="R1373" s="76"/>
      <c r="S1373" s="76"/>
      <c r="T1373" s="76"/>
      <c r="U1373" s="76" t="s">
        <v>4844</v>
      </c>
      <c r="V1373" s="76"/>
      <c r="W1373" s="76"/>
      <c r="X1373" s="76"/>
    </row>
    <row r="1374" ht="18.0" customHeight="1">
      <c r="A1374" s="76"/>
      <c r="B1374" s="76"/>
      <c r="C1374" s="76"/>
      <c r="D1374" s="76"/>
      <c r="E1374" s="76"/>
      <c r="F1374" s="76"/>
      <c r="G1374" s="76"/>
      <c r="H1374" s="76"/>
      <c r="I1374" s="76"/>
      <c r="J1374" s="76"/>
      <c r="K1374" s="76"/>
      <c r="L1374" s="76"/>
      <c r="M1374" s="76" t="s">
        <v>4845</v>
      </c>
      <c r="N1374" s="76"/>
      <c r="O1374" s="76"/>
      <c r="P1374" s="76"/>
      <c r="Q1374" s="76"/>
      <c r="R1374" s="76"/>
      <c r="S1374" s="76"/>
      <c r="T1374" s="76"/>
      <c r="U1374" s="76" t="s">
        <v>4846</v>
      </c>
      <c r="V1374" s="76"/>
      <c r="W1374" s="76"/>
      <c r="X1374" s="76"/>
    </row>
    <row r="1375" ht="18.0" customHeight="1">
      <c r="A1375" s="76"/>
      <c r="B1375" s="76"/>
      <c r="C1375" s="76"/>
      <c r="D1375" s="76"/>
      <c r="E1375" s="76"/>
      <c r="F1375" s="76"/>
      <c r="G1375" s="76"/>
      <c r="H1375" s="76"/>
      <c r="I1375" s="76"/>
      <c r="J1375" s="76"/>
      <c r="K1375" s="76"/>
      <c r="L1375" s="76"/>
      <c r="M1375" s="76" t="s">
        <v>4847</v>
      </c>
      <c r="N1375" s="76"/>
      <c r="O1375" s="76"/>
      <c r="P1375" s="76"/>
      <c r="Q1375" s="76"/>
      <c r="R1375" s="76"/>
      <c r="S1375" s="76"/>
      <c r="T1375" s="76"/>
      <c r="U1375" s="76" t="s">
        <v>4848</v>
      </c>
      <c r="V1375" s="76"/>
      <c r="W1375" s="76"/>
      <c r="X1375" s="76"/>
    </row>
    <row r="1376" ht="18.0" customHeight="1">
      <c r="A1376" s="76"/>
      <c r="B1376" s="76"/>
      <c r="C1376" s="76"/>
      <c r="D1376" s="76"/>
      <c r="E1376" s="76"/>
      <c r="F1376" s="76"/>
      <c r="G1376" s="76"/>
      <c r="H1376" s="76"/>
      <c r="I1376" s="76"/>
      <c r="J1376" s="76"/>
      <c r="K1376" s="76"/>
      <c r="L1376" s="76"/>
      <c r="M1376" s="76" t="s">
        <v>4849</v>
      </c>
      <c r="N1376" s="76"/>
      <c r="O1376" s="76"/>
      <c r="P1376" s="76"/>
      <c r="Q1376" s="76"/>
      <c r="R1376" s="76"/>
      <c r="S1376" s="76"/>
      <c r="T1376" s="76"/>
      <c r="U1376" s="76" t="s">
        <v>4850</v>
      </c>
      <c r="V1376" s="76"/>
      <c r="W1376" s="76"/>
      <c r="X1376" s="76"/>
    </row>
    <row r="1377" ht="18.0" customHeight="1">
      <c r="A1377" s="76"/>
      <c r="B1377" s="76"/>
      <c r="C1377" s="76"/>
      <c r="D1377" s="76"/>
      <c r="E1377" s="76"/>
      <c r="F1377" s="76"/>
      <c r="G1377" s="76"/>
      <c r="H1377" s="76"/>
      <c r="I1377" s="76"/>
      <c r="J1377" s="76"/>
      <c r="K1377" s="76"/>
      <c r="L1377" s="76"/>
      <c r="M1377" s="76" t="s">
        <v>4851</v>
      </c>
      <c r="N1377" s="76"/>
      <c r="O1377" s="76"/>
      <c r="P1377" s="76"/>
      <c r="Q1377" s="76"/>
      <c r="R1377" s="76"/>
      <c r="S1377" s="76"/>
      <c r="T1377" s="76"/>
      <c r="U1377" s="76" t="s">
        <v>4852</v>
      </c>
      <c r="V1377" s="76"/>
      <c r="W1377" s="76"/>
      <c r="X1377" s="76"/>
    </row>
    <row r="1378" ht="18.0" customHeight="1">
      <c r="A1378" s="76"/>
      <c r="B1378" s="76"/>
      <c r="C1378" s="76"/>
      <c r="D1378" s="76"/>
      <c r="E1378" s="76"/>
      <c r="F1378" s="76"/>
      <c r="G1378" s="76"/>
      <c r="H1378" s="76"/>
      <c r="I1378" s="76"/>
      <c r="J1378" s="76"/>
      <c r="K1378" s="76"/>
      <c r="L1378" s="76"/>
      <c r="M1378" s="76" t="s">
        <v>4853</v>
      </c>
      <c r="N1378" s="76"/>
      <c r="O1378" s="76"/>
      <c r="P1378" s="76"/>
      <c r="Q1378" s="76"/>
      <c r="R1378" s="76"/>
      <c r="S1378" s="76"/>
      <c r="T1378" s="76"/>
      <c r="U1378" s="76" t="s">
        <v>4854</v>
      </c>
      <c r="V1378" s="76"/>
      <c r="W1378" s="76"/>
      <c r="X1378" s="76"/>
    </row>
    <row r="1379" ht="18.0" customHeight="1">
      <c r="A1379" s="76"/>
      <c r="B1379" s="76"/>
      <c r="C1379" s="76"/>
      <c r="D1379" s="76"/>
      <c r="E1379" s="76"/>
      <c r="F1379" s="76"/>
      <c r="G1379" s="76"/>
      <c r="H1379" s="76"/>
      <c r="I1379" s="76"/>
      <c r="J1379" s="76"/>
      <c r="K1379" s="76"/>
      <c r="L1379" s="76"/>
      <c r="M1379" s="76" t="s">
        <v>4855</v>
      </c>
      <c r="N1379" s="76"/>
      <c r="O1379" s="76"/>
      <c r="P1379" s="76"/>
      <c r="Q1379" s="76"/>
      <c r="R1379" s="76"/>
      <c r="S1379" s="76"/>
      <c r="T1379" s="76"/>
      <c r="U1379" s="76" t="s">
        <v>4856</v>
      </c>
      <c r="V1379" s="76"/>
      <c r="W1379" s="76"/>
      <c r="X1379" s="76"/>
    </row>
    <row r="1380" ht="18.0" customHeight="1">
      <c r="A1380" s="76"/>
      <c r="B1380" s="76"/>
      <c r="C1380" s="76"/>
      <c r="D1380" s="76"/>
      <c r="E1380" s="76"/>
      <c r="F1380" s="76"/>
      <c r="G1380" s="76"/>
      <c r="H1380" s="76"/>
      <c r="I1380" s="76"/>
      <c r="J1380" s="76"/>
      <c r="K1380" s="76"/>
      <c r="L1380" s="76"/>
      <c r="M1380" s="76" t="s">
        <v>4857</v>
      </c>
      <c r="N1380" s="76"/>
      <c r="O1380" s="76"/>
      <c r="P1380" s="76"/>
      <c r="Q1380" s="76"/>
      <c r="R1380" s="76"/>
      <c r="S1380" s="76"/>
      <c r="T1380" s="76"/>
      <c r="U1380" s="76" t="s">
        <v>4858</v>
      </c>
      <c r="V1380" s="76"/>
      <c r="W1380" s="76"/>
      <c r="X1380" s="76"/>
    </row>
    <row r="1381" ht="18.0" customHeight="1">
      <c r="A1381" s="76"/>
      <c r="B1381" s="76"/>
      <c r="C1381" s="76"/>
      <c r="D1381" s="76"/>
      <c r="E1381" s="76"/>
      <c r="F1381" s="76"/>
      <c r="G1381" s="76"/>
      <c r="H1381" s="76"/>
      <c r="I1381" s="76"/>
      <c r="J1381" s="76"/>
      <c r="K1381" s="76"/>
      <c r="L1381" s="76"/>
      <c r="M1381" s="76" t="s">
        <v>4859</v>
      </c>
      <c r="N1381" s="76"/>
      <c r="O1381" s="76"/>
      <c r="P1381" s="76"/>
      <c r="Q1381" s="76"/>
      <c r="R1381" s="76"/>
      <c r="S1381" s="76"/>
      <c r="T1381" s="76"/>
      <c r="U1381" s="76" t="s">
        <v>4860</v>
      </c>
      <c r="V1381" s="76"/>
      <c r="W1381" s="76"/>
      <c r="X1381" s="76"/>
    </row>
    <row r="1382" ht="18.0" customHeight="1">
      <c r="A1382" s="76"/>
      <c r="B1382" s="76"/>
      <c r="C1382" s="76"/>
      <c r="D1382" s="76"/>
      <c r="E1382" s="76"/>
      <c r="F1382" s="76"/>
      <c r="G1382" s="76"/>
      <c r="H1382" s="76"/>
      <c r="I1382" s="76"/>
      <c r="J1382" s="76"/>
      <c r="K1382" s="76"/>
      <c r="L1382" s="76"/>
      <c r="M1382" s="76" t="s">
        <v>4861</v>
      </c>
      <c r="N1382" s="76"/>
      <c r="O1382" s="76"/>
      <c r="P1382" s="76"/>
      <c r="Q1382" s="76"/>
      <c r="R1382" s="76"/>
      <c r="S1382" s="76"/>
      <c r="T1382" s="76"/>
      <c r="U1382" s="76" t="s">
        <v>4862</v>
      </c>
      <c r="V1382" s="76"/>
      <c r="W1382" s="76"/>
      <c r="X1382" s="76"/>
    </row>
    <row r="1383" ht="18.0" customHeight="1">
      <c r="A1383" s="76"/>
      <c r="B1383" s="76"/>
      <c r="C1383" s="76"/>
      <c r="D1383" s="76"/>
      <c r="E1383" s="76"/>
      <c r="F1383" s="76"/>
      <c r="G1383" s="76"/>
      <c r="H1383" s="76"/>
      <c r="I1383" s="76"/>
      <c r="J1383" s="76"/>
      <c r="K1383" s="76"/>
      <c r="L1383" s="76"/>
      <c r="M1383" s="76" t="s">
        <v>4863</v>
      </c>
      <c r="N1383" s="76"/>
      <c r="O1383" s="76"/>
      <c r="P1383" s="76"/>
      <c r="Q1383" s="76"/>
      <c r="R1383" s="76"/>
      <c r="S1383" s="76"/>
      <c r="T1383" s="76"/>
      <c r="U1383" s="76" t="s">
        <v>4864</v>
      </c>
      <c r="V1383" s="76"/>
      <c r="W1383" s="76"/>
      <c r="X1383" s="76"/>
    </row>
    <row r="1384" ht="18.0" customHeight="1">
      <c r="A1384" s="76"/>
      <c r="B1384" s="76"/>
      <c r="C1384" s="76"/>
      <c r="D1384" s="76"/>
      <c r="E1384" s="76"/>
      <c r="F1384" s="76"/>
      <c r="G1384" s="76"/>
      <c r="H1384" s="76"/>
      <c r="I1384" s="76"/>
      <c r="J1384" s="76"/>
      <c r="K1384" s="76"/>
      <c r="L1384" s="76"/>
      <c r="M1384" s="76" t="s">
        <v>4865</v>
      </c>
      <c r="N1384" s="76"/>
      <c r="O1384" s="76"/>
      <c r="P1384" s="76"/>
      <c r="Q1384" s="76"/>
      <c r="R1384" s="76"/>
      <c r="S1384" s="76"/>
      <c r="T1384" s="76"/>
      <c r="U1384" s="76" t="s">
        <v>4866</v>
      </c>
      <c r="V1384" s="76"/>
      <c r="W1384" s="76"/>
      <c r="X1384" s="76"/>
    </row>
    <row r="1385" ht="18.0" customHeight="1">
      <c r="A1385" s="76"/>
      <c r="B1385" s="76"/>
      <c r="C1385" s="76"/>
      <c r="D1385" s="76"/>
      <c r="E1385" s="76"/>
      <c r="F1385" s="76"/>
      <c r="G1385" s="76"/>
      <c r="H1385" s="76"/>
      <c r="I1385" s="76"/>
      <c r="J1385" s="76"/>
      <c r="K1385" s="76"/>
      <c r="L1385" s="76"/>
      <c r="M1385" s="76" t="s">
        <v>4867</v>
      </c>
      <c r="N1385" s="76"/>
      <c r="O1385" s="76"/>
      <c r="P1385" s="76"/>
      <c r="Q1385" s="76"/>
      <c r="R1385" s="76"/>
      <c r="S1385" s="76"/>
      <c r="T1385" s="76"/>
      <c r="U1385" s="76" t="s">
        <v>4868</v>
      </c>
      <c r="V1385" s="76"/>
      <c r="W1385" s="76"/>
      <c r="X1385" s="76"/>
    </row>
    <row r="1386" ht="18.0" customHeight="1">
      <c r="A1386" s="76"/>
      <c r="B1386" s="76"/>
      <c r="C1386" s="76"/>
      <c r="D1386" s="76"/>
      <c r="E1386" s="76"/>
      <c r="F1386" s="76"/>
      <c r="G1386" s="76"/>
      <c r="H1386" s="76"/>
      <c r="I1386" s="76"/>
      <c r="J1386" s="76"/>
      <c r="K1386" s="76"/>
      <c r="L1386" s="76"/>
      <c r="M1386" s="76" t="s">
        <v>4869</v>
      </c>
      <c r="N1386" s="76"/>
      <c r="O1386" s="76"/>
      <c r="P1386" s="76"/>
      <c r="Q1386" s="76"/>
      <c r="R1386" s="76"/>
      <c r="S1386" s="76"/>
      <c r="T1386" s="76"/>
      <c r="U1386" s="76" t="s">
        <v>4870</v>
      </c>
      <c r="V1386" s="76"/>
      <c r="W1386" s="76"/>
      <c r="X1386" s="76"/>
    </row>
    <row r="1387" ht="18.0" customHeight="1">
      <c r="A1387" s="76"/>
      <c r="B1387" s="76"/>
      <c r="C1387" s="76"/>
      <c r="D1387" s="76"/>
      <c r="E1387" s="76"/>
      <c r="F1387" s="76"/>
      <c r="G1387" s="76"/>
      <c r="H1387" s="76"/>
      <c r="I1387" s="76"/>
      <c r="J1387" s="76"/>
      <c r="K1387" s="76"/>
      <c r="L1387" s="76"/>
      <c r="M1387" s="76" t="s">
        <v>4871</v>
      </c>
      <c r="N1387" s="76"/>
      <c r="O1387" s="76"/>
      <c r="P1387" s="76"/>
      <c r="Q1387" s="76"/>
      <c r="R1387" s="76"/>
      <c r="S1387" s="76"/>
      <c r="T1387" s="76"/>
      <c r="U1387" s="76" t="s">
        <v>4872</v>
      </c>
      <c r="V1387" s="76"/>
      <c r="W1387" s="76"/>
      <c r="X1387" s="76"/>
    </row>
    <row r="1388" ht="18.0" customHeight="1">
      <c r="A1388" s="76"/>
      <c r="B1388" s="76"/>
      <c r="C1388" s="76"/>
      <c r="D1388" s="76"/>
      <c r="E1388" s="76"/>
      <c r="F1388" s="76"/>
      <c r="G1388" s="76"/>
      <c r="H1388" s="76"/>
      <c r="I1388" s="76"/>
      <c r="J1388" s="76"/>
      <c r="K1388" s="76"/>
      <c r="L1388" s="76"/>
      <c r="M1388" s="76" t="s">
        <v>4873</v>
      </c>
      <c r="N1388" s="76"/>
      <c r="O1388" s="76"/>
      <c r="P1388" s="76"/>
      <c r="Q1388" s="76"/>
      <c r="R1388" s="76"/>
      <c r="S1388" s="76"/>
      <c r="T1388" s="76"/>
      <c r="U1388" s="76" t="s">
        <v>4874</v>
      </c>
      <c r="V1388" s="76"/>
      <c r="W1388" s="76"/>
      <c r="X1388" s="76"/>
    </row>
    <row r="1389" ht="18.0" customHeight="1">
      <c r="A1389" s="76"/>
      <c r="B1389" s="76"/>
      <c r="C1389" s="76"/>
      <c r="D1389" s="76"/>
      <c r="E1389" s="76"/>
      <c r="F1389" s="76"/>
      <c r="G1389" s="76"/>
      <c r="H1389" s="76"/>
      <c r="I1389" s="76"/>
      <c r="J1389" s="76"/>
      <c r="K1389" s="76"/>
      <c r="L1389" s="76"/>
      <c r="M1389" s="76" t="s">
        <v>4875</v>
      </c>
      <c r="N1389" s="76"/>
      <c r="O1389" s="76"/>
      <c r="P1389" s="76"/>
      <c r="Q1389" s="76"/>
      <c r="R1389" s="76"/>
      <c r="S1389" s="76"/>
      <c r="T1389" s="76"/>
      <c r="U1389" s="76" t="s">
        <v>4876</v>
      </c>
      <c r="V1389" s="76"/>
      <c r="W1389" s="76"/>
      <c r="X1389" s="76"/>
    </row>
    <row r="1390" ht="18.0" customHeight="1">
      <c r="A1390" s="76"/>
      <c r="B1390" s="76"/>
      <c r="C1390" s="76"/>
      <c r="D1390" s="76"/>
      <c r="E1390" s="76"/>
      <c r="F1390" s="76"/>
      <c r="G1390" s="76"/>
      <c r="H1390" s="76"/>
      <c r="I1390" s="76"/>
      <c r="J1390" s="76"/>
      <c r="K1390" s="76"/>
      <c r="L1390" s="76"/>
      <c r="M1390" s="76" t="s">
        <v>4877</v>
      </c>
      <c r="N1390" s="76"/>
      <c r="O1390" s="76"/>
      <c r="P1390" s="76"/>
      <c r="Q1390" s="76"/>
      <c r="R1390" s="76"/>
      <c r="S1390" s="76"/>
      <c r="T1390" s="76"/>
      <c r="U1390" s="76" t="s">
        <v>4878</v>
      </c>
      <c r="V1390" s="76"/>
      <c r="W1390" s="76"/>
      <c r="X1390" s="76"/>
    </row>
    <row r="1391" ht="18.0" customHeight="1">
      <c r="A1391" s="76"/>
      <c r="B1391" s="76"/>
      <c r="C1391" s="76"/>
      <c r="D1391" s="76"/>
      <c r="E1391" s="76"/>
      <c r="F1391" s="76"/>
      <c r="G1391" s="76"/>
      <c r="H1391" s="76"/>
      <c r="I1391" s="76"/>
      <c r="J1391" s="76"/>
      <c r="K1391" s="76"/>
      <c r="L1391" s="76"/>
      <c r="M1391" s="76" t="s">
        <v>4879</v>
      </c>
      <c r="N1391" s="76"/>
      <c r="O1391" s="76"/>
      <c r="P1391" s="76"/>
      <c r="Q1391" s="76"/>
      <c r="R1391" s="76"/>
      <c r="S1391" s="76"/>
      <c r="T1391" s="76"/>
      <c r="U1391" s="76" t="s">
        <v>4880</v>
      </c>
      <c r="V1391" s="76"/>
      <c r="W1391" s="76"/>
      <c r="X1391" s="76"/>
    </row>
    <row r="1392" ht="18.0" customHeight="1">
      <c r="A1392" s="76"/>
      <c r="B1392" s="76"/>
      <c r="C1392" s="76"/>
      <c r="D1392" s="76"/>
      <c r="E1392" s="76"/>
      <c r="F1392" s="76"/>
      <c r="G1392" s="76"/>
      <c r="H1392" s="76"/>
      <c r="I1392" s="76"/>
      <c r="J1392" s="76"/>
      <c r="K1392" s="76"/>
      <c r="L1392" s="76"/>
      <c r="M1392" s="76" t="s">
        <v>4881</v>
      </c>
      <c r="N1392" s="76"/>
      <c r="O1392" s="76"/>
      <c r="P1392" s="76"/>
      <c r="Q1392" s="76"/>
      <c r="R1392" s="76"/>
      <c r="S1392" s="76"/>
      <c r="T1392" s="76"/>
      <c r="U1392" s="76" t="s">
        <v>4882</v>
      </c>
      <c r="V1392" s="76"/>
      <c r="W1392" s="76"/>
      <c r="X1392" s="76"/>
    </row>
    <row r="1393" ht="18.0" customHeight="1">
      <c r="A1393" s="76"/>
      <c r="B1393" s="76"/>
      <c r="C1393" s="76"/>
      <c r="D1393" s="76"/>
      <c r="E1393" s="76"/>
      <c r="F1393" s="76"/>
      <c r="G1393" s="76"/>
      <c r="H1393" s="76"/>
      <c r="I1393" s="76"/>
      <c r="J1393" s="76"/>
      <c r="K1393" s="76"/>
      <c r="L1393" s="76"/>
      <c r="M1393" s="76" t="s">
        <v>4883</v>
      </c>
      <c r="N1393" s="76"/>
      <c r="O1393" s="76"/>
      <c r="P1393" s="76"/>
      <c r="Q1393" s="76"/>
      <c r="R1393" s="76"/>
      <c r="S1393" s="76"/>
      <c r="T1393" s="76"/>
      <c r="U1393" s="76" t="s">
        <v>4884</v>
      </c>
      <c r="V1393" s="76"/>
      <c r="W1393" s="76"/>
      <c r="X1393" s="76"/>
    </row>
    <row r="1394" ht="18.0" customHeight="1">
      <c r="A1394" s="76"/>
      <c r="B1394" s="76"/>
      <c r="C1394" s="76"/>
      <c r="D1394" s="76"/>
      <c r="E1394" s="76"/>
      <c r="F1394" s="76"/>
      <c r="G1394" s="76"/>
      <c r="H1394" s="76"/>
      <c r="I1394" s="76"/>
      <c r="J1394" s="76"/>
      <c r="K1394" s="76"/>
      <c r="L1394" s="76"/>
      <c r="M1394" s="76" t="s">
        <v>4885</v>
      </c>
      <c r="N1394" s="76"/>
      <c r="O1394" s="76"/>
      <c r="P1394" s="76"/>
      <c r="Q1394" s="76"/>
      <c r="R1394" s="76"/>
      <c r="S1394" s="76"/>
      <c r="T1394" s="76"/>
      <c r="U1394" s="76" t="s">
        <v>4886</v>
      </c>
      <c r="V1394" s="76"/>
      <c r="W1394" s="76"/>
      <c r="X1394" s="76"/>
    </row>
    <row r="1395" ht="18.0" customHeight="1">
      <c r="A1395" s="76"/>
      <c r="B1395" s="76"/>
      <c r="C1395" s="76"/>
      <c r="D1395" s="76"/>
      <c r="E1395" s="76"/>
      <c r="F1395" s="76"/>
      <c r="G1395" s="76"/>
      <c r="H1395" s="76"/>
      <c r="I1395" s="76"/>
      <c r="J1395" s="76"/>
      <c r="K1395" s="76"/>
      <c r="L1395" s="76"/>
      <c r="M1395" s="76" t="s">
        <v>4887</v>
      </c>
      <c r="N1395" s="76"/>
      <c r="O1395" s="76"/>
      <c r="P1395" s="76"/>
      <c r="Q1395" s="76"/>
      <c r="R1395" s="76"/>
      <c r="S1395" s="76"/>
      <c r="T1395" s="76"/>
      <c r="U1395" s="76" t="s">
        <v>4888</v>
      </c>
      <c r="V1395" s="76"/>
      <c r="W1395" s="76"/>
      <c r="X1395" s="76"/>
    </row>
    <row r="1396" ht="18.0" customHeight="1">
      <c r="A1396" s="76"/>
      <c r="B1396" s="76"/>
      <c r="C1396" s="76"/>
      <c r="D1396" s="76"/>
      <c r="E1396" s="76"/>
      <c r="F1396" s="76"/>
      <c r="G1396" s="76"/>
      <c r="H1396" s="76"/>
      <c r="I1396" s="76"/>
      <c r="J1396" s="76"/>
      <c r="K1396" s="76"/>
      <c r="L1396" s="76"/>
      <c r="M1396" s="76" t="s">
        <v>4889</v>
      </c>
      <c r="N1396" s="76"/>
      <c r="O1396" s="76"/>
      <c r="P1396" s="76"/>
      <c r="Q1396" s="76"/>
      <c r="R1396" s="76"/>
      <c r="S1396" s="76"/>
      <c r="T1396" s="76"/>
      <c r="U1396" s="76" t="s">
        <v>4890</v>
      </c>
      <c r="V1396" s="76"/>
      <c r="W1396" s="76"/>
      <c r="X1396" s="76"/>
    </row>
    <row r="1397" ht="18.0" customHeight="1">
      <c r="A1397" s="76"/>
      <c r="B1397" s="76"/>
      <c r="C1397" s="76"/>
      <c r="D1397" s="76"/>
      <c r="E1397" s="76"/>
      <c r="F1397" s="76"/>
      <c r="G1397" s="76"/>
      <c r="H1397" s="76"/>
      <c r="I1397" s="76"/>
      <c r="J1397" s="76"/>
      <c r="K1397" s="76"/>
      <c r="L1397" s="76"/>
      <c r="M1397" s="76" t="s">
        <v>4891</v>
      </c>
      <c r="N1397" s="76"/>
      <c r="O1397" s="76"/>
      <c r="P1397" s="76"/>
      <c r="Q1397" s="76"/>
      <c r="R1397" s="76"/>
      <c r="S1397" s="76"/>
      <c r="T1397" s="76"/>
      <c r="U1397" s="76" t="s">
        <v>4892</v>
      </c>
      <c r="V1397" s="76"/>
      <c r="W1397" s="76"/>
      <c r="X1397" s="76"/>
    </row>
    <row r="1398" ht="18.0" customHeight="1">
      <c r="A1398" s="76"/>
      <c r="B1398" s="76"/>
      <c r="C1398" s="76"/>
      <c r="D1398" s="76"/>
      <c r="E1398" s="76"/>
      <c r="F1398" s="76"/>
      <c r="G1398" s="76"/>
      <c r="H1398" s="76"/>
      <c r="I1398" s="76"/>
      <c r="J1398" s="76"/>
      <c r="K1398" s="76"/>
      <c r="L1398" s="76"/>
      <c r="M1398" s="76" t="s">
        <v>4893</v>
      </c>
      <c r="N1398" s="76"/>
      <c r="O1398" s="76"/>
      <c r="P1398" s="76"/>
      <c r="Q1398" s="76"/>
      <c r="R1398" s="76"/>
      <c r="S1398" s="76"/>
      <c r="T1398" s="76"/>
      <c r="U1398" s="76" t="s">
        <v>4894</v>
      </c>
      <c r="V1398" s="76"/>
      <c r="W1398" s="76"/>
      <c r="X1398" s="76"/>
    </row>
    <row r="1399" ht="18.0" customHeight="1">
      <c r="A1399" s="76"/>
      <c r="B1399" s="76"/>
      <c r="C1399" s="76"/>
      <c r="D1399" s="76"/>
      <c r="E1399" s="76"/>
      <c r="F1399" s="76"/>
      <c r="G1399" s="76"/>
      <c r="H1399" s="76"/>
      <c r="I1399" s="76"/>
      <c r="J1399" s="76"/>
      <c r="K1399" s="76"/>
      <c r="L1399" s="76"/>
      <c r="M1399" s="76" t="s">
        <v>4895</v>
      </c>
      <c r="N1399" s="76"/>
      <c r="O1399" s="76"/>
      <c r="P1399" s="76"/>
      <c r="Q1399" s="76"/>
      <c r="R1399" s="76"/>
      <c r="S1399" s="76"/>
      <c r="T1399" s="76"/>
      <c r="U1399" s="76" t="s">
        <v>4896</v>
      </c>
      <c r="V1399" s="76"/>
      <c r="W1399" s="76"/>
      <c r="X1399" s="76"/>
    </row>
    <row r="1400" ht="18.0" customHeight="1">
      <c r="A1400" s="76"/>
      <c r="B1400" s="76"/>
      <c r="C1400" s="76"/>
      <c r="D1400" s="76"/>
      <c r="E1400" s="76"/>
      <c r="F1400" s="76"/>
      <c r="G1400" s="76"/>
      <c r="H1400" s="76"/>
      <c r="I1400" s="76"/>
      <c r="J1400" s="76"/>
      <c r="K1400" s="76"/>
      <c r="L1400" s="76"/>
      <c r="M1400" s="76" t="s">
        <v>4897</v>
      </c>
      <c r="N1400" s="76"/>
      <c r="O1400" s="76"/>
      <c r="P1400" s="76"/>
      <c r="Q1400" s="76"/>
      <c r="R1400" s="76"/>
      <c r="S1400" s="76"/>
      <c r="T1400" s="76"/>
      <c r="U1400" s="76" t="s">
        <v>4898</v>
      </c>
      <c r="V1400" s="76"/>
      <c r="W1400" s="76"/>
      <c r="X1400" s="76"/>
    </row>
    <row r="1401" ht="18.0" customHeight="1">
      <c r="A1401" s="76"/>
      <c r="B1401" s="76"/>
      <c r="C1401" s="76"/>
      <c r="D1401" s="76"/>
      <c r="E1401" s="76"/>
      <c r="F1401" s="76"/>
      <c r="G1401" s="76"/>
      <c r="H1401" s="76"/>
      <c r="I1401" s="76"/>
      <c r="J1401" s="76"/>
      <c r="K1401" s="76"/>
      <c r="L1401" s="76"/>
      <c r="M1401" s="76" t="s">
        <v>4899</v>
      </c>
      <c r="N1401" s="76"/>
      <c r="O1401" s="76"/>
      <c r="P1401" s="76"/>
      <c r="Q1401" s="76"/>
      <c r="R1401" s="76"/>
      <c r="S1401" s="76"/>
      <c r="T1401" s="76"/>
      <c r="U1401" s="76" t="s">
        <v>4900</v>
      </c>
      <c r="V1401" s="76"/>
      <c r="W1401" s="76"/>
      <c r="X1401" s="76"/>
    </row>
    <row r="1402" ht="18.0" customHeight="1">
      <c r="A1402" s="76"/>
      <c r="B1402" s="76"/>
      <c r="C1402" s="76"/>
      <c r="D1402" s="76"/>
      <c r="E1402" s="76"/>
      <c r="F1402" s="76"/>
      <c r="G1402" s="76"/>
      <c r="H1402" s="76"/>
      <c r="I1402" s="76"/>
      <c r="J1402" s="76"/>
      <c r="K1402" s="76"/>
      <c r="L1402" s="76"/>
      <c r="M1402" s="76" t="s">
        <v>4901</v>
      </c>
      <c r="N1402" s="76"/>
      <c r="O1402" s="76"/>
      <c r="P1402" s="76"/>
      <c r="Q1402" s="76"/>
      <c r="R1402" s="76"/>
      <c r="S1402" s="76"/>
      <c r="T1402" s="76"/>
      <c r="U1402" s="76" t="s">
        <v>4902</v>
      </c>
      <c r="V1402" s="76"/>
      <c r="W1402" s="76"/>
      <c r="X1402" s="76"/>
    </row>
    <row r="1403" ht="18.0" customHeight="1">
      <c r="A1403" s="76"/>
      <c r="B1403" s="76"/>
      <c r="C1403" s="76"/>
      <c r="D1403" s="76"/>
      <c r="E1403" s="76"/>
      <c r="F1403" s="76"/>
      <c r="G1403" s="76"/>
      <c r="H1403" s="76"/>
      <c r="I1403" s="76"/>
      <c r="J1403" s="76"/>
      <c r="K1403" s="76"/>
      <c r="L1403" s="76"/>
      <c r="M1403" s="76" t="s">
        <v>4903</v>
      </c>
      <c r="N1403" s="76"/>
      <c r="O1403" s="76"/>
      <c r="P1403" s="76"/>
      <c r="Q1403" s="76"/>
      <c r="R1403" s="76"/>
      <c r="S1403" s="76"/>
      <c r="T1403" s="76"/>
      <c r="U1403" s="76" t="s">
        <v>4904</v>
      </c>
      <c r="V1403" s="76"/>
      <c r="W1403" s="76"/>
      <c r="X1403" s="76"/>
    </row>
    <row r="1404" ht="18.0" customHeight="1">
      <c r="A1404" s="76"/>
      <c r="B1404" s="76"/>
      <c r="C1404" s="76"/>
      <c r="D1404" s="76"/>
      <c r="E1404" s="76"/>
      <c r="F1404" s="76"/>
      <c r="G1404" s="76"/>
      <c r="H1404" s="76"/>
      <c r="I1404" s="76"/>
      <c r="J1404" s="76"/>
      <c r="K1404" s="76"/>
      <c r="L1404" s="76"/>
      <c r="M1404" s="76" t="s">
        <v>4905</v>
      </c>
      <c r="N1404" s="76"/>
      <c r="O1404" s="76"/>
      <c r="P1404" s="76"/>
      <c r="Q1404" s="76"/>
      <c r="R1404" s="76"/>
      <c r="S1404" s="76"/>
      <c r="T1404" s="76"/>
      <c r="U1404" s="76" t="s">
        <v>4906</v>
      </c>
      <c r="V1404" s="76"/>
      <c r="W1404" s="76"/>
      <c r="X1404" s="76"/>
    </row>
    <row r="1405" ht="18.0" customHeight="1">
      <c r="A1405" s="76"/>
      <c r="B1405" s="76"/>
      <c r="C1405" s="76"/>
      <c r="D1405" s="76"/>
      <c r="E1405" s="76"/>
      <c r="F1405" s="76"/>
      <c r="G1405" s="76"/>
      <c r="H1405" s="76"/>
      <c r="I1405" s="76"/>
      <c r="J1405" s="76"/>
      <c r="K1405" s="76"/>
      <c r="L1405" s="76"/>
      <c r="M1405" s="76" t="s">
        <v>4907</v>
      </c>
      <c r="N1405" s="76"/>
      <c r="O1405" s="76"/>
      <c r="P1405" s="76"/>
      <c r="Q1405" s="76"/>
      <c r="R1405" s="76"/>
      <c r="S1405" s="76"/>
      <c r="T1405" s="76"/>
      <c r="U1405" s="76" t="s">
        <v>4908</v>
      </c>
      <c r="V1405" s="76"/>
      <c r="W1405" s="76"/>
      <c r="X1405" s="76"/>
    </row>
    <row r="1406" ht="18.0" customHeight="1">
      <c r="A1406" s="76"/>
      <c r="B1406" s="76"/>
      <c r="C1406" s="76"/>
      <c r="D1406" s="76"/>
      <c r="E1406" s="76"/>
      <c r="F1406" s="76"/>
      <c r="G1406" s="76"/>
      <c r="H1406" s="76"/>
      <c r="I1406" s="76"/>
      <c r="J1406" s="76"/>
      <c r="K1406" s="76"/>
      <c r="L1406" s="76"/>
      <c r="M1406" s="76" t="s">
        <v>4909</v>
      </c>
      <c r="N1406" s="76"/>
      <c r="O1406" s="76"/>
      <c r="P1406" s="76"/>
      <c r="Q1406" s="76"/>
      <c r="R1406" s="76"/>
      <c r="S1406" s="76"/>
      <c r="T1406" s="76"/>
      <c r="U1406" s="76" t="s">
        <v>4910</v>
      </c>
      <c r="V1406" s="76"/>
      <c r="W1406" s="76"/>
      <c r="X1406" s="76"/>
    </row>
    <row r="1407" ht="18.0" customHeight="1">
      <c r="A1407" s="76"/>
      <c r="B1407" s="76"/>
      <c r="C1407" s="76"/>
      <c r="D1407" s="76"/>
      <c r="E1407" s="76"/>
      <c r="F1407" s="76"/>
      <c r="G1407" s="76"/>
      <c r="H1407" s="76"/>
      <c r="I1407" s="76"/>
      <c r="J1407" s="76"/>
      <c r="K1407" s="76"/>
      <c r="L1407" s="76"/>
      <c r="M1407" s="76" t="s">
        <v>4911</v>
      </c>
      <c r="N1407" s="76"/>
      <c r="O1407" s="76"/>
      <c r="P1407" s="76"/>
      <c r="Q1407" s="76"/>
      <c r="R1407" s="76"/>
      <c r="S1407" s="76"/>
      <c r="T1407" s="76"/>
      <c r="U1407" s="76" t="s">
        <v>4912</v>
      </c>
      <c r="V1407" s="76"/>
      <c r="W1407" s="76"/>
      <c r="X1407" s="76"/>
    </row>
    <row r="1408" ht="18.0" customHeight="1">
      <c r="A1408" s="76"/>
      <c r="B1408" s="76"/>
      <c r="C1408" s="76"/>
      <c r="D1408" s="76"/>
      <c r="E1408" s="76"/>
      <c r="F1408" s="76"/>
      <c r="G1408" s="76"/>
      <c r="H1408" s="76"/>
      <c r="I1408" s="76"/>
      <c r="J1408" s="76"/>
      <c r="K1408" s="76"/>
      <c r="L1408" s="76"/>
      <c r="M1408" s="76" t="s">
        <v>4913</v>
      </c>
      <c r="N1408" s="76"/>
      <c r="O1408" s="76"/>
      <c r="P1408" s="76"/>
      <c r="Q1408" s="76"/>
      <c r="R1408" s="76"/>
      <c r="S1408" s="76"/>
      <c r="T1408" s="76"/>
      <c r="U1408" s="76" t="s">
        <v>4914</v>
      </c>
      <c r="V1408" s="76"/>
      <c r="W1408" s="76"/>
      <c r="X1408" s="76"/>
    </row>
    <row r="1409" ht="18.0" customHeight="1">
      <c r="A1409" s="76"/>
      <c r="B1409" s="76"/>
      <c r="C1409" s="76"/>
      <c r="D1409" s="76"/>
      <c r="E1409" s="76"/>
      <c r="F1409" s="76"/>
      <c r="G1409" s="76"/>
      <c r="H1409" s="76"/>
      <c r="I1409" s="76"/>
      <c r="J1409" s="76"/>
      <c r="K1409" s="76"/>
      <c r="L1409" s="76"/>
      <c r="M1409" s="76" t="s">
        <v>4915</v>
      </c>
      <c r="N1409" s="76"/>
      <c r="O1409" s="76"/>
      <c r="P1409" s="76"/>
      <c r="Q1409" s="76"/>
      <c r="R1409" s="76"/>
      <c r="S1409" s="76"/>
      <c r="T1409" s="76"/>
      <c r="U1409" s="76" t="s">
        <v>4916</v>
      </c>
      <c r="V1409" s="76"/>
      <c r="W1409" s="76"/>
      <c r="X1409" s="76"/>
    </row>
    <row r="1410" ht="18.0" customHeight="1">
      <c r="A1410" s="76"/>
      <c r="B1410" s="76"/>
      <c r="C1410" s="76"/>
      <c r="D1410" s="76"/>
      <c r="E1410" s="76"/>
      <c r="F1410" s="76"/>
      <c r="G1410" s="76"/>
      <c r="H1410" s="76"/>
      <c r="I1410" s="76"/>
      <c r="J1410" s="76"/>
      <c r="K1410" s="76"/>
      <c r="L1410" s="76"/>
      <c r="M1410" s="76" t="s">
        <v>4917</v>
      </c>
      <c r="N1410" s="76"/>
      <c r="O1410" s="76"/>
      <c r="P1410" s="76"/>
      <c r="Q1410" s="76"/>
      <c r="R1410" s="76"/>
      <c r="S1410" s="76"/>
      <c r="T1410" s="76"/>
      <c r="U1410" s="76" t="s">
        <v>4918</v>
      </c>
      <c r="V1410" s="76"/>
      <c r="W1410" s="76"/>
      <c r="X1410" s="76"/>
    </row>
    <row r="1411" ht="18.0" customHeight="1">
      <c r="A1411" s="76"/>
      <c r="B1411" s="76"/>
      <c r="C1411" s="76"/>
      <c r="D1411" s="76"/>
      <c r="E1411" s="76"/>
      <c r="F1411" s="76"/>
      <c r="G1411" s="76"/>
      <c r="H1411" s="76"/>
      <c r="I1411" s="76"/>
      <c r="J1411" s="76"/>
      <c r="K1411" s="76"/>
      <c r="L1411" s="76"/>
      <c r="M1411" s="76" t="s">
        <v>4919</v>
      </c>
      <c r="N1411" s="76"/>
      <c r="O1411" s="76"/>
      <c r="P1411" s="76"/>
      <c r="Q1411" s="76"/>
      <c r="R1411" s="76"/>
      <c r="S1411" s="76"/>
      <c r="T1411" s="76"/>
      <c r="U1411" s="76" t="s">
        <v>4920</v>
      </c>
      <c r="V1411" s="76"/>
      <c r="W1411" s="76"/>
      <c r="X1411" s="76"/>
    </row>
    <row r="1412" ht="18.0" customHeight="1">
      <c r="A1412" s="76"/>
      <c r="B1412" s="76"/>
      <c r="C1412" s="76"/>
      <c r="D1412" s="76"/>
      <c r="E1412" s="76"/>
      <c r="F1412" s="76"/>
      <c r="G1412" s="76"/>
      <c r="H1412" s="76"/>
      <c r="I1412" s="76"/>
      <c r="J1412" s="76"/>
      <c r="K1412" s="76"/>
      <c r="L1412" s="76"/>
      <c r="M1412" s="76" t="s">
        <v>4921</v>
      </c>
      <c r="N1412" s="76"/>
      <c r="O1412" s="76"/>
      <c r="P1412" s="76"/>
      <c r="Q1412" s="76"/>
      <c r="R1412" s="76"/>
      <c r="S1412" s="76"/>
      <c r="T1412" s="76"/>
      <c r="U1412" s="76" t="s">
        <v>4922</v>
      </c>
      <c r="V1412" s="76"/>
      <c r="W1412" s="76"/>
      <c r="X1412" s="76"/>
    </row>
    <row r="1413" ht="18.0" customHeight="1">
      <c r="A1413" s="76"/>
      <c r="B1413" s="76"/>
      <c r="C1413" s="76"/>
      <c r="D1413" s="76"/>
      <c r="E1413" s="76"/>
      <c r="F1413" s="76"/>
      <c r="G1413" s="76"/>
      <c r="H1413" s="76"/>
      <c r="I1413" s="76"/>
      <c r="J1413" s="76"/>
      <c r="K1413" s="76"/>
      <c r="L1413" s="76"/>
      <c r="M1413" s="76" t="s">
        <v>4923</v>
      </c>
      <c r="N1413" s="76"/>
      <c r="O1413" s="76"/>
      <c r="P1413" s="76"/>
      <c r="Q1413" s="76"/>
      <c r="R1413" s="76"/>
      <c r="S1413" s="76"/>
      <c r="T1413" s="76"/>
      <c r="U1413" s="76" t="s">
        <v>4924</v>
      </c>
      <c r="V1413" s="76"/>
      <c r="W1413" s="76"/>
      <c r="X1413" s="76"/>
    </row>
    <row r="1414" ht="18.0" customHeight="1">
      <c r="A1414" s="76"/>
      <c r="B1414" s="76"/>
      <c r="C1414" s="76"/>
      <c r="D1414" s="76"/>
      <c r="E1414" s="76"/>
      <c r="F1414" s="76"/>
      <c r="G1414" s="76"/>
      <c r="H1414" s="76"/>
      <c r="I1414" s="76"/>
      <c r="J1414" s="76"/>
      <c r="K1414" s="76"/>
      <c r="L1414" s="76"/>
      <c r="M1414" s="76" t="s">
        <v>4925</v>
      </c>
      <c r="N1414" s="76"/>
      <c r="O1414" s="76"/>
      <c r="P1414" s="76"/>
      <c r="Q1414" s="76"/>
      <c r="R1414" s="76"/>
      <c r="S1414" s="76"/>
      <c r="T1414" s="76"/>
      <c r="U1414" s="76" t="s">
        <v>4926</v>
      </c>
      <c r="V1414" s="76"/>
      <c r="W1414" s="76"/>
      <c r="X1414" s="76"/>
    </row>
    <row r="1415" ht="18.0" customHeight="1">
      <c r="A1415" s="76"/>
      <c r="B1415" s="76"/>
      <c r="C1415" s="76"/>
      <c r="D1415" s="76"/>
      <c r="E1415" s="76"/>
      <c r="F1415" s="76"/>
      <c r="G1415" s="76"/>
      <c r="H1415" s="76"/>
      <c r="I1415" s="76"/>
      <c r="J1415" s="76"/>
      <c r="K1415" s="76"/>
      <c r="L1415" s="76"/>
      <c r="M1415" s="76" t="s">
        <v>4927</v>
      </c>
      <c r="N1415" s="76"/>
      <c r="O1415" s="76"/>
      <c r="P1415" s="76"/>
      <c r="Q1415" s="76"/>
      <c r="R1415" s="76"/>
      <c r="S1415" s="76"/>
      <c r="T1415" s="76"/>
      <c r="U1415" s="76" t="s">
        <v>4928</v>
      </c>
      <c r="V1415" s="76"/>
      <c r="W1415" s="76"/>
      <c r="X1415" s="76"/>
    </row>
    <row r="1416" ht="18.0" customHeight="1">
      <c r="A1416" s="76"/>
      <c r="B1416" s="76"/>
      <c r="C1416" s="76"/>
      <c r="D1416" s="76"/>
      <c r="E1416" s="76"/>
      <c r="F1416" s="76"/>
      <c r="G1416" s="76"/>
      <c r="H1416" s="76"/>
      <c r="I1416" s="76"/>
      <c r="J1416" s="76"/>
      <c r="K1416" s="76"/>
      <c r="L1416" s="76"/>
      <c r="M1416" s="76" t="s">
        <v>4929</v>
      </c>
      <c r="N1416" s="76"/>
      <c r="O1416" s="76"/>
      <c r="P1416" s="76"/>
      <c r="Q1416" s="76"/>
      <c r="R1416" s="76"/>
      <c r="S1416" s="76"/>
      <c r="T1416" s="76"/>
      <c r="U1416" s="76" t="s">
        <v>4930</v>
      </c>
      <c r="V1416" s="76"/>
      <c r="W1416" s="76"/>
      <c r="X1416" s="76"/>
    </row>
    <row r="1417" ht="18.0" customHeight="1">
      <c r="A1417" s="76"/>
      <c r="B1417" s="76"/>
      <c r="C1417" s="76"/>
      <c r="D1417" s="76"/>
      <c r="E1417" s="76"/>
      <c r="F1417" s="76"/>
      <c r="G1417" s="76"/>
      <c r="H1417" s="76"/>
      <c r="I1417" s="76"/>
      <c r="J1417" s="76"/>
      <c r="K1417" s="76"/>
      <c r="L1417" s="76"/>
      <c r="M1417" s="76" t="s">
        <v>4931</v>
      </c>
      <c r="N1417" s="76"/>
      <c r="O1417" s="76"/>
      <c r="P1417" s="76"/>
      <c r="Q1417" s="76"/>
      <c r="R1417" s="76"/>
      <c r="S1417" s="76"/>
      <c r="T1417" s="76"/>
      <c r="U1417" s="76" t="s">
        <v>4932</v>
      </c>
      <c r="V1417" s="76"/>
      <c r="W1417" s="76"/>
      <c r="X1417" s="76"/>
    </row>
    <row r="1418" ht="18.0" customHeight="1">
      <c r="A1418" s="76"/>
      <c r="B1418" s="76"/>
      <c r="C1418" s="76"/>
      <c r="D1418" s="76"/>
      <c r="E1418" s="76"/>
      <c r="F1418" s="76"/>
      <c r="G1418" s="76"/>
      <c r="H1418" s="76"/>
      <c r="I1418" s="76"/>
      <c r="J1418" s="76"/>
      <c r="K1418" s="76"/>
      <c r="L1418" s="76"/>
      <c r="M1418" s="76" t="s">
        <v>4933</v>
      </c>
      <c r="N1418" s="76"/>
      <c r="O1418" s="76"/>
      <c r="P1418" s="76"/>
      <c r="Q1418" s="76"/>
      <c r="R1418" s="76"/>
      <c r="S1418" s="76"/>
      <c r="T1418" s="76"/>
      <c r="U1418" s="76" t="s">
        <v>4934</v>
      </c>
      <c r="V1418" s="76"/>
      <c r="W1418" s="76"/>
      <c r="X1418" s="76"/>
    </row>
    <row r="1419" ht="18.0" customHeight="1">
      <c r="A1419" s="76"/>
      <c r="B1419" s="76"/>
      <c r="C1419" s="76"/>
      <c r="D1419" s="76"/>
      <c r="E1419" s="76"/>
      <c r="F1419" s="76"/>
      <c r="G1419" s="76"/>
      <c r="H1419" s="76"/>
      <c r="I1419" s="76"/>
      <c r="J1419" s="76"/>
      <c r="K1419" s="76"/>
      <c r="L1419" s="76"/>
      <c r="M1419" s="76" t="s">
        <v>4935</v>
      </c>
      <c r="N1419" s="76"/>
      <c r="O1419" s="76"/>
      <c r="P1419" s="76"/>
      <c r="Q1419" s="76"/>
      <c r="R1419" s="76"/>
      <c r="S1419" s="76"/>
      <c r="T1419" s="76"/>
      <c r="U1419" s="76" t="s">
        <v>4936</v>
      </c>
      <c r="V1419" s="76"/>
      <c r="W1419" s="76"/>
      <c r="X1419" s="76"/>
    </row>
    <row r="1420" ht="18.0" customHeight="1">
      <c r="A1420" s="76"/>
      <c r="B1420" s="76"/>
      <c r="C1420" s="76"/>
      <c r="D1420" s="76"/>
      <c r="E1420" s="76"/>
      <c r="F1420" s="76"/>
      <c r="G1420" s="76"/>
      <c r="H1420" s="76"/>
      <c r="I1420" s="76"/>
      <c r="J1420" s="76"/>
      <c r="K1420" s="76"/>
      <c r="L1420" s="76"/>
      <c r="M1420" s="76" t="s">
        <v>4937</v>
      </c>
      <c r="N1420" s="76"/>
      <c r="O1420" s="76"/>
      <c r="P1420" s="76"/>
      <c r="Q1420" s="76"/>
      <c r="R1420" s="76"/>
      <c r="S1420" s="76"/>
      <c r="T1420" s="76"/>
      <c r="U1420" s="76" t="s">
        <v>4938</v>
      </c>
      <c r="V1420" s="76"/>
      <c r="W1420" s="76"/>
      <c r="X1420" s="76"/>
    </row>
    <row r="1421" ht="18.0" customHeight="1">
      <c r="A1421" s="76"/>
      <c r="B1421" s="76"/>
      <c r="C1421" s="76"/>
      <c r="D1421" s="76"/>
      <c r="E1421" s="76"/>
      <c r="F1421" s="76"/>
      <c r="G1421" s="76"/>
      <c r="H1421" s="76"/>
      <c r="I1421" s="76"/>
      <c r="J1421" s="76"/>
      <c r="K1421" s="76"/>
      <c r="L1421" s="76"/>
      <c r="M1421" s="76" t="s">
        <v>4939</v>
      </c>
      <c r="N1421" s="76"/>
      <c r="O1421" s="76"/>
      <c r="P1421" s="76"/>
      <c r="Q1421" s="76"/>
      <c r="R1421" s="76"/>
      <c r="S1421" s="76"/>
      <c r="T1421" s="76"/>
      <c r="U1421" s="76" t="s">
        <v>4940</v>
      </c>
      <c r="V1421" s="76"/>
      <c r="W1421" s="76"/>
      <c r="X1421" s="76"/>
    </row>
    <row r="1422" ht="18.0" customHeight="1">
      <c r="A1422" s="76"/>
      <c r="B1422" s="76"/>
      <c r="C1422" s="76"/>
      <c r="D1422" s="76"/>
      <c r="E1422" s="76"/>
      <c r="F1422" s="76"/>
      <c r="G1422" s="76"/>
      <c r="H1422" s="76"/>
      <c r="I1422" s="76"/>
      <c r="J1422" s="76"/>
      <c r="K1422" s="76"/>
      <c r="L1422" s="76"/>
      <c r="M1422" s="76" t="s">
        <v>4941</v>
      </c>
      <c r="N1422" s="76"/>
      <c r="O1422" s="76"/>
      <c r="P1422" s="76"/>
      <c r="Q1422" s="76"/>
      <c r="R1422" s="76"/>
      <c r="S1422" s="76"/>
      <c r="T1422" s="76"/>
      <c r="U1422" s="76" t="s">
        <v>4942</v>
      </c>
      <c r="V1422" s="76"/>
      <c r="W1422" s="76"/>
      <c r="X1422" s="76"/>
    </row>
    <row r="1423" ht="18.0" customHeight="1">
      <c r="A1423" s="76"/>
      <c r="B1423" s="76"/>
      <c r="C1423" s="76"/>
      <c r="D1423" s="76"/>
      <c r="E1423" s="76"/>
      <c r="F1423" s="76"/>
      <c r="G1423" s="76"/>
      <c r="H1423" s="76"/>
      <c r="I1423" s="76"/>
      <c r="J1423" s="76"/>
      <c r="K1423" s="76"/>
      <c r="L1423" s="76"/>
      <c r="M1423" s="76" t="s">
        <v>4943</v>
      </c>
      <c r="N1423" s="76"/>
      <c r="O1423" s="76"/>
      <c r="P1423" s="76"/>
      <c r="Q1423" s="76"/>
      <c r="R1423" s="76"/>
      <c r="S1423" s="76"/>
      <c r="T1423" s="76"/>
      <c r="U1423" s="76" t="s">
        <v>4944</v>
      </c>
      <c r="V1423" s="76"/>
      <c r="W1423" s="76"/>
      <c r="X1423" s="76"/>
    </row>
    <row r="1424" ht="18.0" customHeight="1">
      <c r="A1424" s="76"/>
      <c r="B1424" s="76"/>
      <c r="C1424" s="76"/>
      <c r="D1424" s="76"/>
      <c r="E1424" s="76"/>
      <c r="F1424" s="76"/>
      <c r="G1424" s="76"/>
      <c r="H1424" s="76"/>
      <c r="I1424" s="76"/>
      <c r="J1424" s="76"/>
      <c r="K1424" s="76"/>
      <c r="L1424" s="76"/>
      <c r="M1424" s="76" t="s">
        <v>4945</v>
      </c>
      <c r="N1424" s="76"/>
      <c r="O1424" s="76"/>
      <c r="P1424" s="76"/>
      <c r="Q1424" s="76"/>
      <c r="R1424" s="76"/>
      <c r="S1424" s="76"/>
      <c r="T1424" s="76"/>
      <c r="U1424" s="76" t="s">
        <v>4946</v>
      </c>
      <c r="V1424" s="76"/>
      <c r="W1424" s="76"/>
      <c r="X1424" s="76"/>
    </row>
    <row r="1425" ht="18.0" customHeight="1">
      <c r="A1425" s="76"/>
      <c r="B1425" s="76"/>
      <c r="C1425" s="76"/>
      <c r="D1425" s="76"/>
      <c r="E1425" s="76"/>
      <c r="F1425" s="76"/>
      <c r="G1425" s="76"/>
      <c r="H1425" s="76"/>
      <c r="I1425" s="76"/>
      <c r="J1425" s="76"/>
      <c r="K1425" s="76"/>
      <c r="L1425" s="76"/>
      <c r="M1425" s="76" t="s">
        <v>4947</v>
      </c>
      <c r="N1425" s="76"/>
      <c r="O1425" s="76"/>
      <c r="P1425" s="76"/>
      <c r="Q1425" s="76"/>
      <c r="R1425" s="76"/>
      <c r="S1425" s="76"/>
      <c r="T1425" s="76"/>
      <c r="U1425" s="76" t="s">
        <v>4948</v>
      </c>
      <c r="V1425" s="76"/>
      <c r="W1425" s="76"/>
      <c r="X1425" s="76"/>
    </row>
    <row r="1426" ht="18.0" customHeight="1">
      <c r="A1426" s="76"/>
      <c r="B1426" s="76"/>
      <c r="C1426" s="76"/>
      <c r="D1426" s="76"/>
      <c r="E1426" s="76"/>
      <c r="F1426" s="76"/>
      <c r="G1426" s="76"/>
      <c r="H1426" s="76"/>
      <c r="I1426" s="76"/>
      <c r="J1426" s="76"/>
      <c r="K1426" s="76"/>
      <c r="L1426" s="76"/>
      <c r="M1426" s="76" t="s">
        <v>4949</v>
      </c>
      <c r="N1426" s="76"/>
      <c r="O1426" s="76"/>
      <c r="P1426" s="76"/>
      <c r="Q1426" s="76"/>
      <c r="R1426" s="76"/>
      <c r="S1426" s="76"/>
      <c r="T1426" s="76"/>
      <c r="U1426" s="76" t="s">
        <v>4950</v>
      </c>
      <c r="V1426" s="76"/>
      <c r="W1426" s="76"/>
      <c r="X1426" s="76"/>
    </row>
    <row r="1427" ht="18.0" customHeight="1">
      <c r="A1427" s="76"/>
      <c r="B1427" s="76"/>
      <c r="C1427" s="76"/>
      <c r="D1427" s="76"/>
      <c r="E1427" s="76"/>
      <c r="F1427" s="76"/>
      <c r="G1427" s="76"/>
      <c r="H1427" s="76"/>
      <c r="I1427" s="76"/>
      <c r="J1427" s="76"/>
      <c r="K1427" s="76"/>
      <c r="L1427" s="76"/>
      <c r="M1427" s="76" t="s">
        <v>4951</v>
      </c>
      <c r="N1427" s="76"/>
      <c r="O1427" s="76"/>
      <c r="P1427" s="76"/>
      <c r="Q1427" s="76"/>
      <c r="R1427" s="76"/>
      <c r="S1427" s="76"/>
      <c r="T1427" s="76"/>
      <c r="U1427" s="76" t="s">
        <v>4952</v>
      </c>
      <c r="V1427" s="76"/>
      <c r="W1427" s="76"/>
      <c r="X1427" s="76"/>
    </row>
    <row r="1428" ht="18.0" customHeight="1">
      <c r="A1428" s="76"/>
      <c r="B1428" s="76"/>
      <c r="C1428" s="76"/>
      <c r="D1428" s="76"/>
      <c r="E1428" s="76"/>
      <c r="F1428" s="76"/>
      <c r="G1428" s="76"/>
      <c r="H1428" s="76"/>
      <c r="I1428" s="76"/>
      <c r="J1428" s="76"/>
      <c r="K1428" s="76"/>
      <c r="L1428" s="76"/>
      <c r="M1428" s="76" t="s">
        <v>4953</v>
      </c>
      <c r="N1428" s="76"/>
      <c r="O1428" s="76"/>
      <c r="P1428" s="76"/>
      <c r="Q1428" s="76"/>
      <c r="R1428" s="76"/>
      <c r="S1428" s="76"/>
      <c r="T1428" s="76"/>
      <c r="U1428" s="76" t="s">
        <v>4954</v>
      </c>
      <c r="V1428" s="76"/>
      <c r="W1428" s="76"/>
      <c r="X1428" s="76"/>
    </row>
    <row r="1429" ht="18.0" customHeight="1">
      <c r="A1429" s="76"/>
      <c r="B1429" s="76"/>
      <c r="C1429" s="76"/>
      <c r="D1429" s="76"/>
      <c r="E1429" s="76"/>
      <c r="F1429" s="76"/>
      <c r="G1429" s="76"/>
      <c r="H1429" s="76"/>
      <c r="I1429" s="76"/>
      <c r="J1429" s="76"/>
      <c r="K1429" s="76"/>
      <c r="L1429" s="76"/>
      <c r="M1429" s="76" t="s">
        <v>4955</v>
      </c>
      <c r="N1429" s="76"/>
      <c r="O1429" s="76"/>
      <c r="P1429" s="76"/>
      <c r="Q1429" s="76"/>
      <c r="R1429" s="76"/>
      <c r="S1429" s="76"/>
      <c r="T1429" s="76"/>
      <c r="U1429" s="76" t="s">
        <v>4956</v>
      </c>
      <c r="V1429" s="76"/>
      <c r="W1429" s="76"/>
      <c r="X1429" s="76"/>
    </row>
    <row r="1430" ht="18.0" customHeight="1">
      <c r="A1430" s="76"/>
      <c r="B1430" s="76"/>
      <c r="C1430" s="76"/>
      <c r="D1430" s="76"/>
      <c r="E1430" s="76"/>
      <c r="F1430" s="76"/>
      <c r="G1430" s="76"/>
      <c r="H1430" s="76"/>
      <c r="I1430" s="76"/>
      <c r="J1430" s="76"/>
      <c r="K1430" s="76"/>
      <c r="L1430" s="76"/>
      <c r="M1430" s="76" t="s">
        <v>4957</v>
      </c>
      <c r="N1430" s="76"/>
      <c r="O1430" s="76"/>
      <c r="P1430" s="76"/>
      <c r="Q1430" s="76"/>
      <c r="R1430" s="76"/>
      <c r="S1430" s="76"/>
      <c r="T1430" s="76"/>
      <c r="U1430" s="76" t="s">
        <v>4958</v>
      </c>
      <c r="V1430" s="76"/>
      <c r="W1430" s="76"/>
      <c r="X1430" s="76"/>
    </row>
    <row r="1431" ht="18.0" customHeight="1">
      <c r="A1431" s="76"/>
      <c r="B1431" s="76"/>
      <c r="C1431" s="76"/>
      <c r="D1431" s="76"/>
      <c r="E1431" s="76"/>
      <c r="F1431" s="76"/>
      <c r="G1431" s="76"/>
      <c r="H1431" s="76"/>
      <c r="I1431" s="76"/>
      <c r="J1431" s="76"/>
      <c r="K1431" s="76"/>
      <c r="L1431" s="76"/>
      <c r="M1431" s="76" t="s">
        <v>4959</v>
      </c>
      <c r="N1431" s="76"/>
      <c r="O1431" s="76"/>
      <c r="P1431" s="76"/>
      <c r="Q1431" s="76"/>
      <c r="R1431" s="76"/>
      <c r="S1431" s="76"/>
      <c r="T1431" s="76"/>
      <c r="U1431" s="76" t="s">
        <v>4960</v>
      </c>
      <c r="V1431" s="76"/>
      <c r="W1431" s="76"/>
      <c r="X1431" s="76"/>
    </row>
    <row r="1432" ht="18.0" customHeight="1">
      <c r="A1432" s="76"/>
      <c r="B1432" s="76"/>
      <c r="C1432" s="76"/>
      <c r="D1432" s="76"/>
      <c r="E1432" s="76"/>
      <c r="F1432" s="76"/>
      <c r="G1432" s="76"/>
      <c r="H1432" s="76"/>
      <c r="I1432" s="76"/>
      <c r="J1432" s="76"/>
      <c r="K1432" s="76"/>
      <c r="L1432" s="76"/>
      <c r="M1432" s="76" t="s">
        <v>4961</v>
      </c>
      <c r="N1432" s="76"/>
      <c r="O1432" s="76"/>
      <c r="P1432" s="76"/>
      <c r="Q1432" s="76"/>
      <c r="R1432" s="76"/>
      <c r="S1432" s="76"/>
      <c r="T1432" s="76"/>
      <c r="U1432" s="76" t="s">
        <v>4962</v>
      </c>
      <c r="V1432" s="76"/>
      <c r="W1432" s="76"/>
      <c r="X1432" s="76"/>
    </row>
    <row r="1433" ht="18.0" customHeight="1">
      <c r="A1433" s="76"/>
      <c r="B1433" s="76"/>
      <c r="C1433" s="76"/>
      <c r="D1433" s="76"/>
      <c r="E1433" s="76"/>
      <c r="F1433" s="76"/>
      <c r="G1433" s="76"/>
      <c r="H1433" s="76"/>
      <c r="I1433" s="76"/>
      <c r="J1433" s="76"/>
      <c r="K1433" s="76"/>
      <c r="L1433" s="76"/>
      <c r="M1433" s="76" t="s">
        <v>4963</v>
      </c>
      <c r="N1433" s="76"/>
      <c r="O1433" s="76"/>
      <c r="P1433" s="76"/>
      <c r="Q1433" s="76"/>
      <c r="R1433" s="76"/>
      <c r="S1433" s="76"/>
      <c r="T1433" s="76"/>
      <c r="U1433" s="76" t="s">
        <v>4964</v>
      </c>
      <c r="V1433" s="76"/>
      <c r="W1433" s="76"/>
      <c r="X1433" s="76"/>
    </row>
    <row r="1434" ht="18.0" customHeight="1">
      <c r="A1434" s="76"/>
      <c r="B1434" s="76"/>
      <c r="C1434" s="76"/>
      <c r="D1434" s="76"/>
      <c r="E1434" s="76"/>
      <c r="F1434" s="76"/>
      <c r="G1434" s="76"/>
      <c r="H1434" s="76"/>
      <c r="I1434" s="76"/>
      <c r="J1434" s="76"/>
      <c r="K1434" s="76"/>
      <c r="L1434" s="76"/>
      <c r="M1434" s="76" t="s">
        <v>4965</v>
      </c>
      <c r="N1434" s="76"/>
      <c r="O1434" s="76"/>
      <c r="P1434" s="76"/>
      <c r="Q1434" s="76"/>
      <c r="R1434" s="76"/>
      <c r="S1434" s="76"/>
      <c r="T1434" s="76"/>
      <c r="U1434" s="76" t="s">
        <v>4966</v>
      </c>
      <c r="V1434" s="76"/>
      <c r="W1434" s="76"/>
      <c r="X1434" s="76"/>
    </row>
    <row r="1435" ht="18.0" customHeight="1">
      <c r="A1435" s="76"/>
      <c r="B1435" s="76"/>
      <c r="C1435" s="76"/>
      <c r="D1435" s="76"/>
      <c r="E1435" s="76"/>
      <c r="F1435" s="76"/>
      <c r="G1435" s="76"/>
      <c r="H1435" s="76"/>
      <c r="I1435" s="76"/>
      <c r="J1435" s="76"/>
      <c r="K1435" s="76"/>
      <c r="L1435" s="76"/>
      <c r="M1435" s="76" t="s">
        <v>4967</v>
      </c>
      <c r="N1435" s="76"/>
      <c r="O1435" s="76"/>
      <c r="P1435" s="76"/>
      <c r="Q1435" s="76"/>
      <c r="R1435" s="76"/>
      <c r="S1435" s="76"/>
      <c r="T1435" s="76"/>
      <c r="U1435" s="76" t="s">
        <v>4968</v>
      </c>
      <c r="V1435" s="76"/>
      <c r="W1435" s="76"/>
      <c r="X1435" s="76"/>
    </row>
    <row r="1436" ht="18.0" customHeight="1">
      <c r="A1436" s="76"/>
      <c r="B1436" s="76"/>
      <c r="C1436" s="76"/>
      <c r="D1436" s="76"/>
      <c r="E1436" s="76"/>
      <c r="F1436" s="76"/>
      <c r="G1436" s="76"/>
      <c r="H1436" s="76"/>
      <c r="I1436" s="76"/>
      <c r="J1436" s="76"/>
      <c r="K1436" s="76"/>
      <c r="L1436" s="76"/>
      <c r="M1436" s="76" t="s">
        <v>4969</v>
      </c>
      <c r="N1436" s="76"/>
      <c r="O1436" s="76"/>
      <c r="P1436" s="76"/>
      <c r="Q1436" s="76"/>
      <c r="R1436" s="76"/>
      <c r="S1436" s="76"/>
      <c r="T1436" s="76"/>
      <c r="U1436" s="76" t="s">
        <v>4970</v>
      </c>
      <c r="V1436" s="76"/>
      <c r="W1436" s="76"/>
      <c r="X1436" s="76"/>
    </row>
    <row r="1437" ht="18.0" customHeight="1">
      <c r="A1437" s="76"/>
      <c r="B1437" s="76"/>
      <c r="C1437" s="76"/>
      <c r="D1437" s="76"/>
      <c r="E1437" s="76"/>
      <c r="F1437" s="76"/>
      <c r="G1437" s="76"/>
      <c r="H1437" s="76"/>
      <c r="I1437" s="76"/>
      <c r="J1437" s="76"/>
      <c r="K1437" s="76"/>
      <c r="L1437" s="76"/>
      <c r="M1437" s="76" t="s">
        <v>4971</v>
      </c>
      <c r="N1437" s="76"/>
      <c r="O1437" s="76"/>
      <c r="P1437" s="76"/>
      <c r="Q1437" s="76"/>
      <c r="R1437" s="76"/>
      <c r="S1437" s="76"/>
      <c r="T1437" s="76"/>
      <c r="U1437" s="76" t="s">
        <v>4972</v>
      </c>
      <c r="V1437" s="76"/>
      <c r="W1437" s="76"/>
      <c r="X1437" s="76"/>
    </row>
    <row r="1438" ht="18.0" customHeight="1">
      <c r="A1438" s="76"/>
      <c r="B1438" s="76"/>
      <c r="C1438" s="76"/>
      <c r="D1438" s="76"/>
      <c r="E1438" s="76"/>
      <c r="F1438" s="76"/>
      <c r="G1438" s="76"/>
      <c r="H1438" s="76"/>
      <c r="I1438" s="76"/>
      <c r="J1438" s="76"/>
      <c r="K1438" s="76"/>
      <c r="L1438" s="76"/>
      <c r="M1438" s="76" t="s">
        <v>4973</v>
      </c>
      <c r="N1438" s="76"/>
      <c r="O1438" s="76"/>
      <c r="P1438" s="76"/>
      <c r="Q1438" s="76"/>
      <c r="R1438" s="76"/>
      <c r="S1438" s="76"/>
      <c r="T1438" s="76"/>
      <c r="U1438" s="76" t="s">
        <v>4974</v>
      </c>
      <c r="V1438" s="76"/>
      <c r="W1438" s="76"/>
      <c r="X1438" s="76"/>
    </row>
    <row r="1439" ht="18.0" customHeight="1">
      <c r="A1439" s="76"/>
      <c r="B1439" s="76"/>
      <c r="C1439" s="76"/>
      <c r="D1439" s="76"/>
      <c r="E1439" s="76"/>
      <c r="F1439" s="76"/>
      <c r="G1439" s="76"/>
      <c r="H1439" s="76"/>
      <c r="I1439" s="76"/>
      <c r="J1439" s="76"/>
      <c r="K1439" s="76"/>
      <c r="L1439" s="76"/>
      <c r="M1439" s="76" t="s">
        <v>4975</v>
      </c>
      <c r="N1439" s="76"/>
      <c r="O1439" s="76"/>
      <c r="P1439" s="76"/>
      <c r="Q1439" s="76"/>
      <c r="R1439" s="76"/>
      <c r="S1439" s="76"/>
      <c r="T1439" s="76"/>
      <c r="U1439" s="76" t="s">
        <v>4976</v>
      </c>
      <c r="V1439" s="76"/>
      <c r="W1439" s="76"/>
      <c r="X1439" s="76"/>
    </row>
    <row r="1440" ht="18.0" customHeight="1">
      <c r="A1440" s="76"/>
      <c r="B1440" s="76"/>
      <c r="C1440" s="76"/>
      <c r="D1440" s="76"/>
      <c r="E1440" s="76"/>
      <c r="F1440" s="76"/>
      <c r="G1440" s="76"/>
      <c r="H1440" s="76"/>
      <c r="I1440" s="76"/>
      <c r="J1440" s="76"/>
      <c r="K1440" s="76"/>
      <c r="L1440" s="76"/>
      <c r="M1440" s="76" t="s">
        <v>4977</v>
      </c>
      <c r="N1440" s="76"/>
      <c r="O1440" s="76"/>
      <c r="P1440" s="76"/>
      <c r="Q1440" s="76"/>
      <c r="R1440" s="76"/>
      <c r="S1440" s="76"/>
      <c r="T1440" s="76"/>
      <c r="U1440" s="76" t="s">
        <v>4978</v>
      </c>
      <c r="V1440" s="76"/>
      <c r="W1440" s="76"/>
      <c r="X1440" s="76"/>
    </row>
    <row r="1441" ht="18.0" customHeight="1">
      <c r="A1441" s="76"/>
      <c r="B1441" s="76"/>
      <c r="C1441" s="76"/>
      <c r="D1441" s="76"/>
      <c r="E1441" s="76"/>
      <c r="F1441" s="76"/>
      <c r="G1441" s="76"/>
      <c r="H1441" s="76"/>
      <c r="I1441" s="76"/>
      <c r="J1441" s="76"/>
      <c r="K1441" s="76"/>
      <c r="L1441" s="76"/>
      <c r="M1441" s="76" t="s">
        <v>4979</v>
      </c>
      <c r="N1441" s="76"/>
      <c r="O1441" s="76"/>
      <c r="P1441" s="76"/>
      <c r="Q1441" s="76"/>
      <c r="R1441" s="76"/>
      <c r="S1441" s="76"/>
      <c r="T1441" s="76"/>
      <c r="U1441" s="76" t="s">
        <v>4980</v>
      </c>
      <c r="V1441" s="76"/>
      <c r="W1441" s="76"/>
      <c r="X1441" s="76"/>
    </row>
    <row r="1442" ht="18.0" customHeight="1">
      <c r="A1442" s="76"/>
      <c r="B1442" s="76"/>
      <c r="C1442" s="76"/>
      <c r="D1442" s="76"/>
      <c r="E1442" s="76"/>
      <c r="F1442" s="76"/>
      <c r="G1442" s="76"/>
      <c r="H1442" s="76"/>
      <c r="I1442" s="76"/>
      <c r="J1442" s="76"/>
      <c r="K1442" s="76"/>
      <c r="L1442" s="76"/>
      <c r="M1442" s="76" t="s">
        <v>4981</v>
      </c>
      <c r="N1442" s="76"/>
      <c r="O1442" s="76"/>
      <c r="P1442" s="76"/>
      <c r="Q1442" s="76"/>
      <c r="R1442" s="76"/>
      <c r="S1442" s="76"/>
      <c r="T1442" s="76"/>
      <c r="U1442" s="76" t="s">
        <v>4982</v>
      </c>
      <c r="V1442" s="76"/>
      <c r="W1442" s="76"/>
      <c r="X1442" s="76"/>
    </row>
    <row r="1443" ht="18.0" customHeight="1">
      <c r="A1443" s="76"/>
      <c r="B1443" s="76"/>
      <c r="C1443" s="76"/>
      <c r="D1443" s="76"/>
      <c r="E1443" s="76"/>
      <c r="F1443" s="76"/>
      <c r="G1443" s="76"/>
      <c r="H1443" s="76"/>
      <c r="I1443" s="76"/>
      <c r="J1443" s="76"/>
      <c r="K1443" s="76"/>
      <c r="L1443" s="76"/>
      <c r="M1443" s="76" t="s">
        <v>4983</v>
      </c>
      <c r="N1443" s="76"/>
      <c r="O1443" s="76"/>
      <c r="P1443" s="76"/>
      <c r="Q1443" s="76"/>
      <c r="R1443" s="76"/>
      <c r="S1443" s="76"/>
      <c r="T1443" s="76"/>
      <c r="U1443" s="76" t="s">
        <v>4984</v>
      </c>
      <c r="V1443" s="76"/>
      <c r="W1443" s="76"/>
      <c r="X1443" s="76"/>
    </row>
    <row r="1444" ht="18.0" customHeight="1">
      <c r="A1444" s="76"/>
      <c r="B1444" s="76"/>
      <c r="C1444" s="76"/>
      <c r="D1444" s="76"/>
      <c r="E1444" s="76"/>
      <c r="F1444" s="76"/>
      <c r="G1444" s="76"/>
      <c r="H1444" s="76"/>
      <c r="I1444" s="76"/>
      <c r="J1444" s="76"/>
      <c r="K1444" s="76"/>
      <c r="L1444" s="76"/>
      <c r="M1444" s="76" t="s">
        <v>4985</v>
      </c>
      <c r="N1444" s="76"/>
      <c r="O1444" s="76"/>
      <c r="P1444" s="76"/>
      <c r="Q1444" s="76"/>
      <c r="R1444" s="76"/>
      <c r="S1444" s="76"/>
      <c r="T1444" s="76"/>
      <c r="U1444" s="76" t="s">
        <v>4986</v>
      </c>
      <c r="V1444" s="76"/>
      <c r="W1444" s="76"/>
      <c r="X1444" s="76"/>
    </row>
    <row r="1445" ht="18.0" customHeight="1">
      <c r="A1445" s="76"/>
      <c r="B1445" s="76"/>
      <c r="C1445" s="76"/>
      <c r="D1445" s="76"/>
      <c r="E1445" s="76"/>
      <c r="F1445" s="76"/>
      <c r="G1445" s="76"/>
      <c r="H1445" s="76"/>
      <c r="I1445" s="76"/>
      <c r="J1445" s="76"/>
      <c r="K1445" s="76"/>
      <c r="L1445" s="76"/>
      <c r="M1445" s="76" t="s">
        <v>4987</v>
      </c>
      <c r="N1445" s="76"/>
      <c r="O1445" s="76"/>
      <c r="P1445" s="76"/>
      <c r="Q1445" s="76"/>
      <c r="R1445" s="76"/>
      <c r="S1445" s="76"/>
      <c r="T1445" s="76"/>
      <c r="U1445" s="76" t="s">
        <v>4988</v>
      </c>
      <c r="V1445" s="76"/>
      <c r="W1445" s="76"/>
      <c r="X1445" s="76"/>
    </row>
    <row r="1446" ht="18.0" customHeight="1">
      <c r="A1446" s="76"/>
      <c r="B1446" s="76"/>
      <c r="C1446" s="76"/>
      <c r="D1446" s="76"/>
      <c r="E1446" s="76"/>
      <c r="F1446" s="76"/>
      <c r="G1446" s="76"/>
      <c r="H1446" s="76"/>
      <c r="I1446" s="76"/>
      <c r="J1446" s="76"/>
      <c r="K1446" s="76"/>
      <c r="L1446" s="76"/>
      <c r="M1446" s="76" t="s">
        <v>4989</v>
      </c>
      <c r="N1446" s="76"/>
      <c r="O1446" s="76"/>
      <c r="P1446" s="76"/>
      <c r="Q1446" s="76"/>
      <c r="R1446" s="76"/>
      <c r="S1446" s="76"/>
      <c r="T1446" s="76"/>
      <c r="U1446" s="76" t="s">
        <v>4990</v>
      </c>
      <c r="V1446" s="76"/>
      <c r="W1446" s="76"/>
      <c r="X1446" s="76"/>
    </row>
    <row r="1447" ht="18.0" customHeight="1">
      <c r="A1447" s="76"/>
      <c r="B1447" s="76"/>
      <c r="C1447" s="76"/>
      <c r="D1447" s="76"/>
      <c r="E1447" s="76"/>
      <c r="F1447" s="76"/>
      <c r="G1447" s="76"/>
      <c r="H1447" s="76"/>
      <c r="I1447" s="76"/>
      <c r="J1447" s="76"/>
      <c r="K1447" s="76"/>
      <c r="L1447" s="76"/>
      <c r="M1447" s="76" t="s">
        <v>4991</v>
      </c>
      <c r="N1447" s="76"/>
      <c r="O1447" s="76"/>
      <c r="P1447" s="76"/>
      <c r="Q1447" s="76"/>
      <c r="R1447" s="76"/>
      <c r="S1447" s="76"/>
      <c r="T1447" s="76"/>
      <c r="U1447" s="76" t="s">
        <v>4992</v>
      </c>
      <c r="V1447" s="76"/>
      <c r="W1447" s="76"/>
      <c r="X1447" s="76"/>
    </row>
    <row r="1448" ht="18.0" customHeight="1">
      <c r="A1448" s="76"/>
      <c r="B1448" s="76"/>
      <c r="C1448" s="76"/>
      <c r="D1448" s="76"/>
      <c r="E1448" s="76"/>
      <c r="F1448" s="76"/>
      <c r="G1448" s="76"/>
      <c r="H1448" s="76"/>
      <c r="I1448" s="76"/>
      <c r="J1448" s="76"/>
      <c r="K1448" s="76"/>
      <c r="L1448" s="76"/>
      <c r="M1448" s="76" t="s">
        <v>4993</v>
      </c>
      <c r="N1448" s="76"/>
      <c r="O1448" s="76"/>
      <c r="P1448" s="76"/>
      <c r="Q1448" s="76"/>
      <c r="R1448" s="76"/>
      <c r="S1448" s="76"/>
      <c r="T1448" s="76"/>
      <c r="U1448" s="76" t="s">
        <v>4994</v>
      </c>
      <c r="V1448" s="76"/>
      <c r="W1448" s="76"/>
      <c r="X1448" s="76"/>
    </row>
    <row r="1449" ht="18.0" customHeight="1">
      <c r="A1449" s="76"/>
      <c r="B1449" s="76"/>
      <c r="C1449" s="76"/>
      <c r="D1449" s="76"/>
      <c r="E1449" s="76"/>
      <c r="F1449" s="76"/>
      <c r="G1449" s="76"/>
      <c r="H1449" s="76"/>
      <c r="I1449" s="76"/>
      <c r="J1449" s="76"/>
      <c r="K1449" s="76"/>
      <c r="L1449" s="76"/>
      <c r="M1449" s="76" t="s">
        <v>4995</v>
      </c>
      <c r="N1449" s="76"/>
      <c r="O1449" s="76"/>
      <c r="P1449" s="76"/>
      <c r="Q1449" s="76"/>
      <c r="R1449" s="76"/>
      <c r="S1449" s="76"/>
      <c r="T1449" s="76"/>
      <c r="U1449" s="76" t="s">
        <v>4996</v>
      </c>
      <c r="V1449" s="76"/>
      <c r="W1449" s="76"/>
      <c r="X1449" s="76"/>
    </row>
    <row r="1450" ht="18.0" customHeight="1">
      <c r="A1450" s="76"/>
      <c r="B1450" s="76"/>
      <c r="C1450" s="76"/>
      <c r="D1450" s="76"/>
      <c r="E1450" s="76"/>
      <c r="F1450" s="76"/>
      <c r="G1450" s="76"/>
      <c r="H1450" s="76"/>
      <c r="I1450" s="76"/>
      <c r="J1450" s="76"/>
      <c r="K1450" s="76"/>
      <c r="L1450" s="76"/>
      <c r="M1450" s="76" t="s">
        <v>4997</v>
      </c>
      <c r="N1450" s="76"/>
      <c r="O1450" s="76"/>
      <c r="P1450" s="76"/>
      <c r="Q1450" s="76"/>
      <c r="R1450" s="76"/>
      <c r="S1450" s="76"/>
      <c r="T1450" s="76"/>
      <c r="U1450" s="76" t="s">
        <v>4998</v>
      </c>
      <c r="V1450" s="76"/>
      <c r="W1450" s="76"/>
      <c r="X1450" s="76"/>
    </row>
    <row r="1451" ht="18.0" customHeight="1">
      <c r="A1451" s="76"/>
      <c r="B1451" s="76"/>
      <c r="C1451" s="76"/>
      <c r="D1451" s="76"/>
      <c r="E1451" s="76"/>
      <c r="F1451" s="76"/>
      <c r="G1451" s="76"/>
      <c r="H1451" s="76"/>
      <c r="I1451" s="76"/>
      <c r="J1451" s="76"/>
      <c r="K1451" s="76"/>
      <c r="L1451" s="76"/>
      <c r="M1451" s="76" t="s">
        <v>4999</v>
      </c>
      <c r="N1451" s="76"/>
      <c r="O1451" s="76"/>
      <c r="P1451" s="76"/>
      <c r="Q1451" s="76"/>
      <c r="R1451" s="76"/>
      <c r="S1451" s="76"/>
      <c r="T1451" s="76"/>
      <c r="U1451" s="76" t="s">
        <v>5000</v>
      </c>
      <c r="V1451" s="76"/>
      <c r="W1451" s="76"/>
      <c r="X1451" s="76"/>
    </row>
    <row r="1452" ht="18.0" customHeight="1">
      <c r="A1452" s="76"/>
      <c r="B1452" s="76"/>
      <c r="C1452" s="76"/>
      <c r="D1452" s="76"/>
      <c r="E1452" s="76"/>
      <c r="F1452" s="76"/>
      <c r="G1452" s="76"/>
      <c r="H1452" s="76"/>
      <c r="I1452" s="76"/>
      <c r="J1452" s="76"/>
      <c r="K1452" s="76"/>
      <c r="L1452" s="76"/>
      <c r="M1452" s="76" t="s">
        <v>5001</v>
      </c>
      <c r="N1452" s="76"/>
      <c r="O1452" s="76"/>
      <c r="P1452" s="76"/>
      <c r="Q1452" s="76"/>
      <c r="R1452" s="76"/>
      <c r="S1452" s="76"/>
      <c r="T1452" s="76"/>
      <c r="U1452" s="76" t="s">
        <v>5002</v>
      </c>
      <c r="V1452" s="76"/>
      <c r="W1452" s="76"/>
      <c r="X1452" s="76"/>
    </row>
    <row r="1453" ht="18.0" customHeight="1">
      <c r="A1453" s="76"/>
      <c r="B1453" s="76"/>
      <c r="C1453" s="76"/>
      <c r="D1453" s="76"/>
      <c r="E1453" s="76"/>
      <c r="F1453" s="76"/>
      <c r="G1453" s="76"/>
      <c r="H1453" s="76"/>
      <c r="I1453" s="76"/>
      <c r="J1453" s="76"/>
      <c r="K1453" s="76"/>
      <c r="L1453" s="76"/>
      <c r="M1453" s="76" t="s">
        <v>5003</v>
      </c>
      <c r="N1453" s="76"/>
      <c r="O1453" s="76"/>
      <c r="P1453" s="76"/>
      <c r="Q1453" s="76"/>
      <c r="R1453" s="76"/>
      <c r="S1453" s="76"/>
      <c r="T1453" s="76"/>
      <c r="U1453" s="76" t="s">
        <v>5004</v>
      </c>
      <c r="V1453" s="76"/>
      <c r="W1453" s="76"/>
      <c r="X1453" s="76"/>
    </row>
    <row r="1454" ht="18.0" customHeight="1">
      <c r="A1454" s="76"/>
      <c r="B1454" s="76"/>
      <c r="C1454" s="76"/>
      <c r="D1454" s="76"/>
      <c r="E1454" s="76"/>
      <c r="F1454" s="76"/>
      <c r="G1454" s="76"/>
      <c r="H1454" s="76"/>
      <c r="I1454" s="76"/>
      <c r="J1454" s="76"/>
      <c r="K1454" s="76"/>
      <c r="L1454" s="76"/>
      <c r="M1454" s="76" t="s">
        <v>5005</v>
      </c>
      <c r="N1454" s="76"/>
      <c r="O1454" s="76"/>
      <c r="P1454" s="76"/>
      <c r="Q1454" s="76"/>
      <c r="R1454" s="76"/>
      <c r="S1454" s="76"/>
      <c r="T1454" s="76"/>
      <c r="U1454" s="76" t="s">
        <v>5006</v>
      </c>
      <c r="V1454" s="76"/>
      <c r="W1454" s="76"/>
      <c r="X1454" s="76"/>
    </row>
    <row r="1455" ht="18.0" customHeight="1">
      <c r="A1455" s="76"/>
      <c r="B1455" s="76"/>
      <c r="C1455" s="76"/>
      <c r="D1455" s="76"/>
      <c r="E1455" s="76"/>
      <c r="F1455" s="76"/>
      <c r="G1455" s="76"/>
      <c r="H1455" s="76"/>
      <c r="I1455" s="76"/>
      <c r="J1455" s="76"/>
      <c r="K1455" s="76"/>
      <c r="L1455" s="76"/>
      <c r="M1455" s="76" t="s">
        <v>5007</v>
      </c>
      <c r="N1455" s="76"/>
      <c r="O1455" s="76"/>
      <c r="P1455" s="76"/>
      <c r="Q1455" s="76"/>
      <c r="R1455" s="76"/>
      <c r="S1455" s="76"/>
      <c r="T1455" s="76"/>
      <c r="U1455" s="76" t="s">
        <v>5008</v>
      </c>
      <c r="V1455" s="76"/>
      <c r="W1455" s="76"/>
      <c r="X1455" s="76"/>
    </row>
    <row r="1456" ht="18.0" customHeight="1">
      <c r="A1456" s="76"/>
      <c r="B1456" s="76"/>
      <c r="C1456" s="76"/>
      <c r="D1456" s="76"/>
      <c r="E1456" s="76"/>
      <c r="F1456" s="76"/>
      <c r="G1456" s="76"/>
      <c r="H1456" s="76"/>
      <c r="I1456" s="76"/>
      <c r="J1456" s="76"/>
      <c r="K1456" s="76"/>
      <c r="L1456" s="76"/>
      <c r="M1456" s="76" t="s">
        <v>5009</v>
      </c>
      <c r="N1456" s="76"/>
      <c r="O1456" s="76"/>
      <c r="P1456" s="76"/>
      <c r="Q1456" s="76"/>
      <c r="R1456" s="76"/>
      <c r="S1456" s="76"/>
      <c r="T1456" s="76"/>
      <c r="U1456" s="76" t="s">
        <v>5010</v>
      </c>
      <c r="V1456" s="76"/>
      <c r="W1456" s="76"/>
      <c r="X1456" s="76"/>
    </row>
    <row r="1457" ht="18.0" customHeight="1">
      <c r="A1457" s="76"/>
      <c r="B1457" s="76"/>
      <c r="C1457" s="76"/>
      <c r="D1457" s="76"/>
      <c r="E1457" s="76"/>
      <c r="F1457" s="76"/>
      <c r="G1457" s="76"/>
      <c r="H1457" s="76"/>
      <c r="I1457" s="76"/>
      <c r="J1457" s="76"/>
      <c r="K1457" s="76"/>
      <c r="L1457" s="76"/>
      <c r="M1457" s="76" t="s">
        <v>5011</v>
      </c>
      <c r="N1457" s="76"/>
      <c r="O1457" s="76"/>
      <c r="P1457" s="76"/>
      <c r="Q1457" s="76"/>
      <c r="R1457" s="76"/>
      <c r="S1457" s="76"/>
      <c r="T1457" s="76"/>
      <c r="U1457" s="76" t="s">
        <v>5012</v>
      </c>
      <c r="V1457" s="76"/>
      <c r="W1457" s="76"/>
      <c r="X1457" s="76"/>
    </row>
    <row r="1458" ht="18.0" customHeight="1">
      <c r="A1458" s="76"/>
      <c r="B1458" s="76"/>
      <c r="C1458" s="76"/>
      <c r="D1458" s="76"/>
      <c r="E1458" s="76"/>
      <c r="F1458" s="76"/>
      <c r="G1458" s="76"/>
      <c r="H1458" s="76"/>
      <c r="I1458" s="76"/>
      <c r="J1458" s="76"/>
      <c r="K1458" s="76"/>
      <c r="L1458" s="76"/>
      <c r="M1458" s="76" t="s">
        <v>5013</v>
      </c>
      <c r="N1458" s="76"/>
      <c r="O1458" s="76"/>
      <c r="P1458" s="76"/>
      <c r="Q1458" s="76"/>
      <c r="R1458" s="76"/>
      <c r="S1458" s="76"/>
      <c r="T1458" s="76"/>
      <c r="U1458" s="76" t="s">
        <v>5014</v>
      </c>
      <c r="V1458" s="76"/>
      <c r="W1458" s="76"/>
      <c r="X1458" s="76"/>
    </row>
    <row r="1459" ht="18.0" customHeight="1">
      <c r="A1459" s="76"/>
      <c r="B1459" s="76"/>
      <c r="C1459" s="76"/>
      <c r="D1459" s="76"/>
      <c r="E1459" s="76"/>
      <c r="F1459" s="76"/>
      <c r="G1459" s="76"/>
      <c r="H1459" s="76"/>
      <c r="I1459" s="76"/>
      <c r="J1459" s="76"/>
      <c r="K1459" s="76"/>
      <c r="L1459" s="76"/>
      <c r="M1459" s="76" t="s">
        <v>5015</v>
      </c>
      <c r="N1459" s="76"/>
      <c r="O1459" s="76"/>
      <c r="P1459" s="76"/>
      <c r="Q1459" s="76"/>
      <c r="R1459" s="76"/>
      <c r="S1459" s="76"/>
      <c r="T1459" s="76"/>
      <c r="U1459" s="76" t="s">
        <v>5016</v>
      </c>
      <c r="V1459" s="76"/>
      <c r="W1459" s="76"/>
      <c r="X1459" s="76"/>
    </row>
    <row r="1460" ht="18.0" customHeight="1">
      <c r="A1460" s="76"/>
      <c r="B1460" s="76"/>
      <c r="C1460" s="76"/>
      <c r="D1460" s="76"/>
      <c r="E1460" s="76"/>
      <c r="F1460" s="76"/>
      <c r="G1460" s="76"/>
      <c r="H1460" s="76"/>
      <c r="I1460" s="76"/>
      <c r="J1460" s="76"/>
      <c r="K1460" s="76"/>
      <c r="L1460" s="76"/>
      <c r="M1460" s="76" t="s">
        <v>5017</v>
      </c>
      <c r="N1460" s="76"/>
      <c r="O1460" s="76"/>
      <c r="P1460" s="76"/>
      <c r="Q1460" s="76"/>
      <c r="R1460" s="76"/>
      <c r="S1460" s="76"/>
      <c r="T1460" s="76"/>
      <c r="U1460" s="76" t="s">
        <v>5018</v>
      </c>
      <c r="V1460" s="76"/>
      <c r="W1460" s="76"/>
      <c r="X1460" s="76"/>
    </row>
    <row r="1461" ht="18.0" customHeight="1">
      <c r="A1461" s="76"/>
      <c r="B1461" s="76"/>
      <c r="C1461" s="76"/>
      <c r="D1461" s="76"/>
      <c r="E1461" s="76"/>
      <c r="F1461" s="76"/>
      <c r="G1461" s="76"/>
      <c r="H1461" s="76"/>
      <c r="I1461" s="76"/>
      <c r="J1461" s="76"/>
      <c r="K1461" s="76"/>
      <c r="L1461" s="76"/>
      <c r="M1461" s="76" t="s">
        <v>5019</v>
      </c>
      <c r="N1461" s="76"/>
      <c r="O1461" s="76"/>
      <c r="P1461" s="76"/>
      <c r="Q1461" s="76"/>
      <c r="R1461" s="76"/>
      <c r="S1461" s="76"/>
      <c r="T1461" s="76"/>
      <c r="U1461" s="76" t="s">
        <v>5020</v>
      </c>
      <c r="V1461" s="76"/>
      <c r="W1461" s="76"/>
      <c r="X1461" s="76"/>
    </row>
    <row r="1462" ht="18.0" customHeight="1">
      <c r="A1462" s="76"/>
      <c r="B1462" s="76"/>
      <c r="C1462" s="76"/>
      <c r="D1462" s="76"/>
      <c r="E1462" s="76"/>
      <c r="F1462" s="76"/>
      <c r="G1462" s="76"/>
      <c r="H1462" s="76"/>
      <c r="I1462" s="76"/>
      <c r="J1462" s="76"/>
      <c r="K1462" s="76"/>
      <c r="L1462" s="76"/>
      <c r="M1462" s="76" t="s">
        <v>5021</v>
      </c>
      <c r="N1462" s="76"/>
      <c r="O1462" s="76"/>
      <c r="P1462" s="76"/>
      <c r="Q1462" s="76"/>
      <c r="R1462" s="76"/>
      <c r="S1462" s="76"/>
      <c r="T1462" s="76"/>
      <c r="U1462" s="76" t="s">
        <v>5022</v>
      </c>
      <c r="V1462" s="76"/>
      <c r="W1462" s="76"/>
      <c r="X1462" s="76"/>
    </row>
    <row r="1463" ht="18.0" customHeight="1">
      <c r="A1463" s="76"/>
      <c r="B1463" s="76"/>
      <c r="C1463" s="76"/>
      <c r="D1463" s="76"/>
      <c r="E1463" s="76"/>
      <c r="F1463" s="76"/>
      <c r="G1463" s="76"/>
      <c r="H1463" s="76"/>
      <c r="I1463" s="76"/>
      <c r="J1463" s="76"/>
      <c r="K1463" s="76"/>
      <c r="L1463" s="76"/>
      <c r="M1463" s="76" t="s">
        <v>5023</v>
      </c>
      <c r="N1463" s="76"/>
      <c r="O1463" s="76"/>
      <c r="P1463" s="76"/>
      <c r="Q1463" s="76"/>
      <c r="R1463" s="76"/>
      <c r="S1463" s="76"/>
      <c r="T1463" s="76"/>
      <c r="U1463" s="76" t="s">
        <v>5024</v>
      </c>
      <c r="V1463" s="76"/>
      <c r="W1463" s="76"/>
      <c r="X1463" s="76"/>
    </row>
    <row r="1464" ht="18.0" customHeight="1">
      <c r="A1464" s="76"/>
      <c r="B1464" s="76"/>
      <c r="C1464" s="76"/>
      <c r="D1464" s="76"/>
      <c r="E1464" s="76"/>
      <c r="F1464" s="76"/>
      <c r="G1464" s="76"/>
      <c r="H1464" s="76"/>
      <c r="I1464" s="76"/>
      <c r="J1464" s="76"/>
      <c r="K1464" s="76"/>
      <c r="L1464" s="76"/>
      <c r="M1464" s="76" t="s">
        <v>5025</v>
      </c>
      <c r="N1464" s="76"/>
      <c r="O1464" s="76"/>
      <c r="P1464" s="76"/>
      <c r="Q1464" s="76"/>
      <c r="R1464" s="76"/>
      <c r="S1464" s="76"/>
      <c r="T1464" s="76"/>
      <c r="U1464" s="76" t="s">
        <v>5026</v>
      </c>
      <c r="V1464" s="76"/>
      <c r="W1464" s="76"/>
      <c r="X1464" s="76"/>
    </row>
    <row r="1465" ht="18.0" customHeight="1">
      <c r="A1465" s="76"/>
      <c r="B1465" s="76"/>
      <c r="C1465" s="76"/>
      <c r="D1465" s="76"/>
      <c r="E1465" s="76"/>
      <c r="F1465" s="76"/>
      <c r="G1465" s="76"/>
      <c r="H1465" s="76"/>
      <c r="I1465" s="76"/>
      <c r="J1465" s="76"/>
      <c r="K1465" s="76"/>
      <c r="L1465" s="76"/>
      <c r="M1465" s="76" t="s">
        <v>5027</v>
      </c>
      <c r="N1465" s="76"/>
      <c r="O1465" s="76"/>
      <c r="P1465" s="76"/>
      <c r="Q1465" s="76"/>
      <c r="R1465" s="76"/>
      <c r="S1465" s="76"/>
      <c r="T1465" s="76"/>
      <c r="U1465" s="76" t="s">
        <v>5028</v>
      </c>
      <c r="V1465" s="76"/>
      <c r="W1465" s="76"/>
      <c r="X1465" s="76"/>
    </row>
    <row r="1466" ht="18.0" customHeight="1">
      <c r="A1466" s="76"/>
      <c r="B1466" s="76"/>
      <c r="C1466" s="76"/>
      <c r="D1466" s="76"/>
      <c r="E1466" s="76"/>
      <c r="F1466" s="76"/>
      <c r="G1466" s="76"/>
      <c r="H1466" s="76"/>
      <c r="I1466" s="76"/>
      <c r="J1466" s="76"/>
      <c r="K1466" s="76"/>
      <c r="L1466" s="76"/>
      <c r="M1466" s="76" t="s">
        <v>5029</v>
      </c>
      <c r="N1466" s="76"/>
      <c r="O1466" s="76"/>
      <c r="P1466" s="76"/>
      <c r="Q1466" s="76"/>
      <c r="R1466" s="76"/>
      <c r="S1466" s="76"/>
      <c r="T1466" s="76"/>
      <c r="U1466" s="76" t="s">
        <v>5030</v>
      </c>
      <c r="V1466" s="76"/>
      <c r="W1466" s="76"/>
      <c r="X1466" s="76"/>
    </row>
    <row r="1467" ht="18.0" customHeight="1">
      <c r="A1467" s="76"/>
      <c r="B1467" s="76"/>
      <c r="C1467" s="76"/>
      <c r="D1467" s="76"/>
      <c r="E1467" s="76"/>
      <c r="F1467" s="76"/>
      <c r="G1467" s="76"/>
      <c r="H1467" s="76"/>
      <c r="I1467" s="76"/>
      <c r="J1467" s="76"/>
      <c r="K1467" s="76"/>
      <c r="L1467" s="76"/>
      <c r="M1467" s="76" t="s">
        <v>5031</v>
      </c>
      <c r="N1467" s="76"/>
      <c r="O1467" s="76"/>
      <c r="P1467" s="76"/>
      <c r="Q1467" s="76"/>
      <c r="R1467" s="76"/>
      <c r="S1467" s="76"/>
      <c r="T1467" s="76"/>
      <c r="U1467" s="76" t="s">
        <v>5032</v>
      </c>
      <c r="V1467" s="76"/>
      <c r="W1467" s="76"/>
      <c r="X1467" s="76"/>
    </row>
    <row r="1468" ht="18.0" customHeight="1">
      <c r="A1468" s="76"/>
      <c r="B1468" s="76"/>
      <c r="C1468" s="76"/>
      <c r="D1468" s="76"/>
      <c r="E1468" s="76"/>
      <c r="F1468" s="76"/>
      <c r="G1468" s="76"/>
      <c r="H1468" s="76"/>
      <c r="I1468" s="76"/>
      <c r="J1468" s="76"/>
      <c r="K1468" s="76"/>
      <c r="L1468" s="76"/>
      <c r="M1468" s="76" t="s">
        <v>5033</v>
      </c>
      <c r="N1468" s="76"/>
      <c r="O1468" s="76"/>
      <c r="P1468" s="76"/>
      <c r="Q1468" s="76"/>
      <c r="R1468" s="76"/>
      <c r="S1468" s="76"/>
      <c r="T1468" s="76"/>
      <c r="U1468" s="76" t="s">
        <v>5034</v>
      </c>
      <c r="V1468" s="76"/>
      <c r="W1468" s="76"/>
      <c r="X1468" s="76"/>
    </row>
    <row r="1469" ht="18.0" customHeight="1">
      <c r="A1469" s="76"/>
      <c r="B1469" s="76"/>
      <c r="C1469" s="76"/>
      <c r="D1469" s="76"/>
      <c r="E1469" s="76"/>
      <c r="F1469" s="76"/>
      <c r="G1469" s="76"/>
      <c r="H1469" s="76"/>
      <c r="I1469" s="76"/>
      <c r="J1469" s="76"/>
      <c r="K1469" s="76"/>
      <c r="L1469" s="76"/>
      <c r="M1469" s="76" t="s">
        <v>5035</v>
      </c>
      <c r="N1469" s="76"/>
      <c r="O1469" s="76"/>
      <c r="P1469" s="76"/>
      <c r="Q1469" s="76"/>
      <c r="R1469" s="76"/>
      <c r="S1469" s="76"/>
      <c r="T1469" s="76"/>
      <c r="U1469" s="76" t="s">
        <v>5036</v>
      </c>
      <c r="V1469" s="76"/>
      <c r="W1469" s="76"/>
      <c r="X1469" s="76"/>
    </row>
    <row r="1470" ht="18.0" customHeight="1">
      <c r="A1470" s="76"/>
      <c r="B1470" s="76"/>
      <c r="C1470" s="76"/>
      <c r="D1470" s="76"/>
      <c r="E1470" s="76"/>
      <c r="F1470" s="76"/>
      <c r="G1470" s="76"/>
      <c r="H1470" s="76"/>
      <c r="I1470" s="76"/>
      <c r="J1470" s="76"/>
      <c r="K1470" s="76"/>
      <c r="L1470" s="76"/>
      <c r="M1470" s="76" t="s">
        <v>5037</v>
      </c>
      <c r="N1470" s="76"/>
      <c r="O1470" s="76"/>
      <c r="P1470" s="76"/>
      <c r="Q1470" s="76"/>
      <c r="R1470" s="76"/>
      <c r="S1470" s="76"/>
      <c r="T1470" s="76"/>
      <c r="U1470" s="76" t="s">
        <v>5038</v>
      </c>
      <c r="V1470" s="76"/>
      <c r="W1470" s="76"/>
      <c r="X1470" s="76"/>
    </row>
    <row r="1471" ht="18.0" customHeight="1">
      <c r="A1471" s="76"/>
      <c r="B1471" s="76"/>
      <c r="C1471" s="76"/>
      <c r="D1471" s="76"/>
      <c r="E1471" s="76"/>
      <c r="F1471" s="76"/>
      <c r="G1471" s="76"/>
      <c r="H1471" s="76"/>
      <c r="I1471" s="76"/>
      <c r="J1471" s="76"/>
      <c r="K1471" s="76"/>
      <c r="L1471" s="76"/>
      <c r="M1471" s="76" t="s">
        <v>5039</v>
      </c>
      <c r="N1471" s="76"/>
      <c r="O1471" s="76"/>
      <c r="P1471" s="76"/>
      <c r="Q1471" s="76"/>
      <c r="R1471" s="76"/>
      <c r="S1471" s="76"/>
      <c r="T1471" s="76"/>
      <c r="U1471" s="76" t="s">
        <v>5040</v>
      </c>
      <c r="V1471" s="76"/>
      <c r="W1471" s="76"/>
      <c r="X1471" s="76"/>
    </row>
    <row r="1472" ht="18.0" customHeight="1">
      <c r="A1472" s="76"/>
      <c r="B1472" s="76"/>
      <c r="C1472" s="76"/>
      <c r="D1472" s="76"/>
      <c r="E1472" s="76"/>
      <c r="F1472" s="76"/>
      <c r="G1472" s="76"/>
      <c r="H1472" s="76"/>
      <c r="I1472" s="76"/>
      <c r="J1472" s="76"/>
      <c r="K1472" s="76"/>
      <c r="L1472" s="76"/>
      <c r="M1472" s="76" t="s">
        <v>5041</v>
      </c>
      <c r="N1472" s="76"/>
      <c r="O1472" s="76"/>
      <c r="P1472" s="76"/>
      <c r="Q1472" s="76"/>
      <c r="R1472" s="76"/>
      <c r="S1472" s="76"/>
      <c r="T1472" s="76"/>
      <c r="U1472" s="76" t="s">
        <v>5042</v>
      </c>
      <c r="V1472" s="76"/>
      <c r="W1472" s="76"/>
      <c r="X1472" s="76"/>
    </row>
    <row r="1473" ht="18.0" customHeight="1">
      <c r="A1473" s="76"/>
      <c r="B1473" s="76"/>
      <c r="C1473" s="76"/>
      <c r="D1473" s="76"/>
      <c r="E1473" s="76"/>
      <c r="F1473" s="76"/>
      <c r="G1473" s="76"/>
      <c r="H1473" s="76"/>
      <c r="I1473" s="76"/>
      <c r="J1473" s="76"/>
      <c r="K1473" s="76"/>
      <c r="L1473" s="76"/>
      <c r="M1473" s="76" t="s">
        <v>5043</v>
      </c>
      <c r="N1473" s="76"/>
      <c r="O1473" s="76"/>
      <c r="P1473" s="76"/>
      <c r="Q1473" s="76"/>
      <c r="R1473" s="76"/>
      <c r="S1473" s="76"/>
      <c r="T1473" s="76"/>
      <c r="U1473" s="76" t="s">
        <v>5044</v>
      </c>
      <c r="V1473" s="76"/>
      <c r="W1473" s="76"/>
      <c r="X1473" s="76"/>
    </row>
    <row r="1474" ht="18.0" customHeight="1">
      <c r="A1474" s="76"/>
      <c r="B1474" s="76"/>
      <c r="C1474" s="76"/>
      <c r="D1474" s="76"/>
      <c r="E1474" s="76"/>
      <c r="F1474" s="76"/>
      <c r="G1474" s="76"/>
      <c r="H1474" s="76"/>
      <c r="I1474" s="76"/>
      <c r="J1474" s="76"/>
      <c r="K1474" s="76"/>
      <c r="L1474" s="76"/>
      <c r="M1474" s="76" t="s">
        <v>5045</v>
      </c>
      <c r="N1474" s="76"/>
      <c r="O1474" s="76"/>
      <c r="P1474" s="76"/>
      <c r="Q1474" s="76"/>
      <c r="R1474" s="76"/>
      <c r="S1474" s="76"/>
      <c r="T1474" s="76"/>
      <c r="U1474" s="76" t="s">
        <v>5046</v>
      </c>
      <c r="V1474" s="76"/>
      <c r="W1474" s="76"/>
      <c r="X1474" s="76"/>
    </row>
    <row r="1475" ht="18.0" customHeight="1">
      <c r="A1475" s="76"/>
      <c r="B1475" s="76"/>
      <c r="C1475" s="76"/>
      <c r="D1475" s="76"/>
      <c r="E1475" s="76"/>
      <c r="F1475" s="76"/>
      <c r="G1475" s="76"/>
      <c r="H1475" s="76"/>
      <c r="I1475" s="76"/>
      <c r="J1475" s="76"/>
      <c r="K1475" s="76"/>
      <c r="L1475" s="76"/>
      <c r="M1475" s="76" t="s">
        <v>5047</v>
      </c>
      <c r="N1475" s="76"/>
      <c r="O1475" s="76"/>
      <c r="P1475" s="76"/>
      <c r="Q1475" s="76"/>
      <c r="R1475" s="76"/>
      <c r="S1475" s="76"/>
      <c r="T1475" s="76"/>
      <c r="U1475" s="76" t="s">
        <v>5048</v>
      </c>
      <c r="V1475" s="76"/>
      <c r="W1475" s="76"/>
      <c r="X1475" s="76"/>
    </row>
    <row r="1476" ht="18.0" customHeight="1">
      <c r="A1476" s="76"/>
      <c r="B1476" s="76"/>
      <c r="C1476" s="76"/>
      <c r="D1476" s="76"/>
      <c r="E1476" s="76"/>
      <c r="F1476" s="76"/>
      <c r="G1476" s="76"/>
      <c r="H1476" s="76"/>
      <c r="I1476" s="76"/>
      <c r="J1476" s="76"/>
      <c r="K1476" s="76"/>
      <c r="L1476" s="76"/>
      <c r="M1476" s="76" t="s">
        <v>5049</v>
      </c>
      <c r="N1476" s="76"/>
      <c r="O1476" s="76"/>
      <c r="P1476" s="76"/>
      <c r="Q1476" s="76"/>
      <c r="R1476" s="76"/>
      <c r="S1476" s="76"/>
      <c r="T1476" s="76"/>
      <c r="U1476" s="76" t="s">
        <v>5050</v>
      </c>
      <c r="V1476" s="76"/>
      <c r="W1476" s="76"/>
      <c r="X1476" s="76"/>
    </row>
    <row r="1477" ht="18.0" customHeight="1">
      <c r="A1477" s="76"/>
      <c r="B1477" s="76"/>
      <c r="C1477" s="76"/>
      <c r="D1477" s="76"/>
      <c r="E1477" s="76"/>
      <c r="F1477" s="76"/>
      <c r="G1477" s="76"/>
      <c r="H1477" s="76"/>
      <c r="I1477" s="76"/>
      <c r="J1477" s="76"/>
      <c r="K1477" s="76"/>
      <c r="L1477" s="76"/>
      <c r="M1477" s="76" t="s">
        <v>5051</v>
      </c>
      <c r="N1477" s="76"/>
      <c r="O1477" s="76"/>
      <c r="P1477" s="76"/>
      <c r="Q1477" s="76"/>
      <c r="R1477" s="76"/>
      <c r="S1477" s="76"/>
      <c r="T1477" s="76"/>
      <c r="U1477" s="76" t="s">
        <v>5052</v>
      </c>
      <c r="V1477" s="76"/>
      <c r="W1477" s="76"/>
      <c r="X1477" s="76"/>
    </row>
    <row r="1478" ht="18.0" customHeight="1">
      <c r="A1478" s="76"/>
      <c r="B1478" s="76"/>
      <c r="C1478" s="76"/>
      <c r="D1478" s="76"/>
      <c r="E1478" s="76"/>
      <c r="F1478" s="76"/>
      <c r="G1478" s="76"/>
      <c r="H1478" s="76"/>
      <c r="I1478" s="76"/>
      <c r="J1478" s="76"/>
      <c r="K1478" s="76"/>
      <c r="L1478" s="76"/>
      <c r="M1478" s="76" t="s">
        <v>5053</v>
      </c>
      <c r="N1478" s="76"/>
      <c r="O1478" s="76"/>
      <c r="P1478" s="76"/>
      <c r="Q1478" s="76"/>
      <c r="R1478" s="76"/>
      <c r="S1478" s="76"/>
      <c r="T1478" s="76"/>
      <c r="U1478" s="76" t="s">
        <v>5054</v>
      </c>
      <c r="V1478" s="76"/>
      <c r="W1478" s="76"/>
      <c r="X1478" s="76"/>
    </row>
    <row r="1479" ht="18.0" customHeight="1">
      <c r="A1479" s="76"/>
      <c r="B1479" s="76"/>
      <c r="C1479" s="76"/>
      <c r="D1479" s="76"/>
      <c r="E1479" s="76"/>
      <c r="F1479" s="76"/>
      <c r="G1479" s="76"/>
      <c r="H1479" s="76"/>
      <c r="I1479" s="76"/>
      <c r="J1479" s="76"/>
      <c r="K1479" s="76"/>
      <c r="L1479" s="76"/>
      <c r="M1479" s="76" t="s">
        <v>5055</v>
      </c>
      <c r="N1479" s="76"/>
      <c r="O1479" s="76"/>
      <c r="P1479" s="76"/>
      <c r="Q1479" s="76"/>
      <c r="R1479" s="76"/>
      <c r="S1479" s="76"/>
      <c r="T1479" s="76"/>
      <c r="U1479" s="76" t="s">
        <v>5056</v>
      </c>
      <c r="V1479" s="76"/>
      <c r="W1479" s="76"/>
      <c r="X1479" s="76"/>
    </row>
    <row r="1480" ht="18.0" customHeight="1">
      <c r="A1480" s="76"/>
      <c r="B1480" s="76"/>
      <c r="C1480" s="76"/>
      <c r="D1480" s="76"/>
      <c r="E1480" s="76"/>
      <c r="F1480" s="76"/>
      <c r="G1480" s="76"/>
      <c r="H1480" s="76"/>
      <c r="I1480" s="76"/>
      <c r="J1480" s="76"/>
      <c r="K1480" s="76"/>
      <c r="L1480" s="76"/>
      <c r="M1480" s="76" t="s">
        <v>5057</v>
      </c>
      <c r="N1480" s="76"/>
      <c r="O1480" s="76"/>
      <c r="P1480" s="76"/>
      <c r="Q1480" s="76"/>
      <c r="R1480" s="76"/>
      <c r="S1480" s="76"/>
      <c r="T1480" s="76"/>
      <c r="U1480" s="76" t="s">
        <v>5058</v>
      </c>
      <c r="V1480" s="76"/>
      <c r="W1480" s="76"/>
      <c r="X1480" s="76"/>
    </row>
    <row r="1481" ht="18.0" customHeight="1">
      <c r="A1481" s="76"/>
      <c r="B1481" s="76"/>
      <c r="C1481" s="76"/>
      <c r="D1481" s="76"/>
      <c r="E1481" s="76"/>
      <c r="F1481" s="76"/>
      <c r="G1481" s="76"/>
      <c r="H1481" s="76"/>
      <c r="I1481" s="76"/>
      <c r="J1481" s="76"/>
      <c r="K1481" s="76"/>
      <c r="L1481" s="76"/>
      <c r="M1481" s="76" t="s">
        <v>5059</v>
      </c>
      <c r="N1481" s="76"/>
      <c r="O1481" s="76"/>
      <c r="P1481" s="76"/>
      <c r="Q1481" s="76"/>
      <c r="R1481" s="76"/>
      <c r="S1481" s="76"/>
      <c r="T1481" s="76"/>
      <c r="U1481" s="76" t="s">
        <v>5060</v>
      </c>
      <c r="V1481" s="76"/>
      <c r="W1481" s="76"/>
      <c r="X1481" s="76"/>
    </row>
    <row r="1482" ht="18.0" customHeight="1">
      <c r="A1482" s="76"/>
      <c r="B1482" s="76"/>
      <c r="C1482" s="76"/>
      <c r="D1482" s="76"/>
      <c r="E1482" s="76"/>
      <c r="F1482" s="76"/>
      <c r="G1482" s="76"/>
      <c r="H1482" s="76"/>
      <c r="I1482" s="76"/>
      <c r="J1482" s="76"/>
      <c r="K1482" s="76"/>
      <c r="L1482" s="76"/>
      <c r="M1482" s="76" t="s">
        <v>5061</v>
      </c>
      <c r="N1482" s="76"/>
      <c r="O1482" s="76"/>
      <c r="P1482" s="76"/>
      <c r="Q1482" s="76"/>
      <c r="R1482" s="76"/>
      <c r="S1482" s="76"/>
      <c r="T1482" s="76"/>
      <c r="U1482" s="76" t="s">
        <v>5062</v>
      </c>
      <c r="V1482" s="76"/>
      <c r="W1482" s="76"/>
      <c r="X1482" s="76"/>
    </row>
    <row r="1483" ht="18.0" customHeight="1">
      <c r="A1483" s="76"/>
      <c r="B1483" s="76"/>
      <c r="C1483" s="76"/>
      <c r="D1483" s="76"/>
      <c r="E1483" s="76"/>
      <c r="F1483" s="76"/>
      <c r="G1483" s="76"/>
      <c r="H1483" s="76"/>
      <c r="I1483" s="76"/>
      <c r="J1483" s="76"/>
      <c r="K1483" s="76"/>
      <c r="L1483" s="76"/>
      <c r="M1483" s="76" t="s">
        <v>5063</v>
      </c>
      <c r="N1483" s="76"/>
      <c r="O1483" s="76"/>
      <c r="P1483" s="76"/>
      <c r="Q1483" s="76"/>
      <c r="R1483" s="76"/>
      <c r="S1483" s="76"/>
      <c r="T1483" s="76"/>
      <c r="U1483" s="76" t="s">
        <v>5064</v>
      </c>
      <c r="V1483" s="76"/>
      <c r="W1483" s="76"/>
      <c r="X1483" s="76"/>
    </row>
    <row r="1484" ht="18.0" customHeight="1">
      <c r="A1484" s="76"/>
      <c r="B1484" s="76"/>
      <c r="C1484" s="76"/>
      <c r="D1484" s="76"/>
      <c r="E1484" s="76"/>
      <c r="F1484" s="76"/>
      <c r="G1484" s="76"/>
      <c r="H1484" s="76"/>
      <c r="I1484" s="76"/>
      <c r="J1484" s="76"/>
      <c r="K1484" s="76"/>
      <c r="L1484" s="76"/>
      <c r="M1484" s="76" t="s">
        <v>5065</v>
      </c>
      <c r="N1484" s="76"/>
      <c r="O1484" s="76"/>
      <c r="P1484" s="76"/>
      <c r="Q1484" s="76"/>
      <c r="R1484" s="76"/>
      <c r="S1484" s="76"/>
      <c r="T1484" s="76"/>
      <c r="U1484" s="76" t="s">
        <v>5066</v>
      </c>
      <c r="V1484" s="76"/>
      <c r="W1484" s="76"/>
      <c r="X1484" s="76"/>
    </row>
    <row r="1485" ht="18.0" customHeight="1">
      <c r="A1485" s="76"/>
      <c r="B1485" s="76"/>
      <c r="C1485" s="76"/>
      <c r="D1485" s="76"/>
      <c r="E1485" s="76"/>
      <c r="F1485" s="76"/>
      <c r="G1485" s="76"/>
      <c r="H1485" s="76"/>
      <c r="I1485" s="76"/>
      <c r="J1485" s="76"/>
      <c r="K1485" s="76"/>
      <c r="L1485" s="76"/>
      <c r="M1485" s="76" t="s">
        <v>5067</v>
      </c>
      <c r="N1485" s="76"/>
      <c r="O1485" s="76"/>
      <c r="P1485" s="76"/>
      <c r="Q1485" s="76"/>
      <c r="R1485" s="76"/>
      <c r="S1485" s="76"/>
      <c r="T1485" s="76"/>
      <c r="U1485" s="76" t="s">
        <v>5068</v>
      </c>
      <c r="V1485" s="76"/>
      <c r="W1485" s="76"/>
      <c r="X1485" s="76"/>
    </row>
    <row r="1486" ht="18.0" customHeight="1">
      <c r="A1486" s="76"/>
      <c r="B1486" s="76"/>
      <c r="C1486" s="76"/>
      <c r="D1486" s="76"/>
      <c r="E1486" s="76"/>
      <c r="F1486" s="76"/>
      <c r="G1486" s="76"/>
      <c r="H1486" s="76"/>
      <c r="I1486" s="76"/>
      <c r="J1486" s="76"/>
      <c r="K1486" s="76"/>
      <c r="L1486" s="76"/>
      <c r="M1486" s="76" t="s">
        <v>5069</v>
      </c>
      <c r="N1486" s="76"/>
      <c r="O1486" s="76"/>
      <c r="P1486" s="76"/>
      <c r="Q1486" s="76"/>
      <c r="R1486" s="76"/>
      <c r="S1486" s="76"/>
      <c r="T1486" s="76"/>
      <c r="U1486" s="76" t="s">
        <v>5070</v>
      </c>
      <c r="V1486" s="76"/>
      <c r="W1486" s="76"/>
      <c r="X1486" s="76"/>
    </row>
    <row r="1487" ht="18.0" customHeight="1">
      <c r="A1487" s="76"/>
      <c r="B1487" s="76"/>
      <c r="C1487" s="76"/>
      <c r="D1487" s="76"/>
      <c r="E1487" s="76"/>
      <c r="F1487" s="76"/>
      <c r="G1487" s="76"/>
      <c r="H1487" s="76"/>
      <c r="I1487" s="76"/>
      <c r="J1487" s="76"/>
      <c r="K1487" s="76"/>
      <c r="L1487" s="76"/>
      <c r="M1487" s="76" t="s">
        <v>5071</v>
      </c>
      <c r="N1487" s="76"/>
      <c r="O1487" s="76"/>
      <c r="P1487" s="76"/>
      <c r="Q1487" s="76"/>
      <c r="R1487" s="76"/>
      <c r="S1487" s="76"/>
      <c r="T1487" s="76"/>
      <c r="U1487" s="76" t="s">
        <v>5072</v>
      </c>
      <c r="V1487" s="76"/>
      <c r="W1487" s="76"/>
      <c r="X1487" s="76"/>
    </row>
    <row r="1488" ht="18.0" customHeight="1">
      <c r="A1488" s="76"/>
      <c r="B1488" s="76"/>
      <c r="C1488" s="76"/>
      <c r="D1488" s="76"/>
      <c r="E1488" s="76"/>
      <c r="F1488" s="76"/>
      <c r="G1488" s="76"/>
      <c r="H1488" s="76"/>
      <c r="I1488" s="76"/>
      <c r="J1488" s="76"/>
      <c r="K1488" s="76"/>
      <c r="L1488" s="76"/>
      <c r="M1488" s="76" t="s">
        <v>5073</v>
      </c>
      <c r="N1488" s="76"/>
      <c r="O1488" s="76"/>
      <c r="P1488" s="76"/>
      <c r="Q1488" s="76"/>
      <c r="R1488" s="76"/>
      <c r="S1488" s="76"/>
      <c r="T1488" s="76"/>
      <c r="U1488" s="76" t="s">
        <v>5074</v>
      </c>
      <c r="V1488" s="76"/>
      <c r="W1488" s="76"/>
      <c r="X1488" s="76"/>
    </row>
    <row r="1489" ht="18.0" customHeight="1">
      <c r="A1489" s="76"/>
      <c r="B1489" s="76"/>
      <c r="C1489" s="76"/>
      <c r="D1489" s="76"/>
      <c r="E1489" s="76"/>
      <c r="F1489" s="76"/>
      <c r="G1489" s="76"/>
      <c r="H1489" s="76"/>
      <c r="I1489" s="76"/>
      <c r="J1489" s="76"/>
      <c r="K1489" s="76"/>
      <c r="L1489" s="76"/>
      <c r="M1489" s="76" t="s">
        <v>5075</v>
      </c>
      <c r="N1489" s="76"/>
      <c r="O1489" s="76"/>
      <c r="P1489" s="76"/>
      <c r="Q1489" s="76"/>
      <c r="R1489" s="76"/>
      <c r="S1489" s="76"/>
      <c r="T1489" s="76"/>
      <c r="U1489" s="76" t="s">
        <v>5076</v>
      </c>
      <c r="V1489" s="76"/>
      <c r="W1489" s="76"/>
      <c r="X1489" s="76"/>
    </row>
    <row r="1490" ht="18.0" customHeight="1">
      <c r="A1490" s="76"/>
      <c r="B1490" s="76"/>
      <c r="C1490" s="76"/>
      <c r="D1490" s="76"/>
      <c r="E1490" s="76"/>
      <c r="F1490" s="76"/>
      <c r="G1490" s="76"/>
      <c r="H1490" s="76"/>
      <c r="I1490" s="76"/>
      <c r="J1490" s="76"/>
      <c r="K1490" s="76"/>
      <c r="L1490" s="76"/>
      <c r="M1490" s="76" t="s">
        <v>5077</v>
      </c>
      <c r="N1490" s="76"/>
      <c r="O1490" s="76"/>
      <c r="P1490" s="76"/>
      <c r="Q1490" s="76"/>
      <c r="R1490" s="76"/>
      <c r="S1490" s="76"/>
      <c r="T1490" s="76"/>
      <c r="U1490" s="76" t="s">
        <v>5078</v>
      </c>
      <c r="V1490" s="76"/>
      <c r="W1490" s="76"/>
      <c r="X1490" s="76"/>
    </row>
    <row r="1491" ht="18.0" customHeight="1">
      <c r="A1491" s="76"/>
      <c r="B1491" s="76"/>
      <c r="C1491" s="76"/>
      <c r="D1491" s="76"/>
      <c r="E1491" s="76"/>
      <c r="F1491" s="76"/>
      <c r="G1491" s="76"/>
      <c r="H1491" s="76"/>
      <c r="I1491" s="76"/>
      <c r="J1491" s="76"/>
      <c r="K1491" s="76"/>
      <c r="L1491" s="76"/>
      <c r="M1491" s="76" t="s">
        <v>5079</v>
      </c>
      <c r="N1491" s="76"/>
      <c r="O1491" s="76"/>
      <c r="P1491" s="76"/>
      <c r="Q1491" s="76"/>
      <c r="R1491" s="76"/>
      <c r="S1491" s="76"/>
      <c r="T1491" s="76"/>
      <c r="U1491" s="76" t="s">
        <v>5080</v>
      </c>
      <c r="V1491" s="76"/>
      <c r="W1491" s="76"/>
      <c r="X1491" s="76"/>
    </row>
    <row r="1492" ht="18.0" customHeight="1">
      <c r="A1492" s="76"/>
      <c r="B1492" s="76"/>
      <c r="C1492" s="76"/>
      <c r="D1492" s="76"/>
      <c r="E1492" s="76"/>
      <c r="F1492" s="76"/>
      <c r="G1492" s="76"/>
      <c r="H1492" s="76"/>
      <c r="I1492" s="76"/>
      <c r="J1492" s="76"/>
      <c r="K1492" s="76"/>
      <c r="L1492" s="76"/>
      <c r="M1492" s="76" t="s">
        <v>5081</v>
      </c>
      <c r="N1492" s="76"/>
      <c r="O1492" s="76"/>
      <c r="P1492" s="76"/>
      <c r="Q1492" s="76"/>
      <c r="R1492" s="76"/>
      <c r="S1492" s="76"/>
      <c r="T1492" s="76"/>
      <c r="U1492" s="76" t="s">
        <v>5082</v>
      </c>
      <c r="V1492" s="76"/>
      <c r="W1492" s="76"/>
      <c r="X1492" s="76"/>
    </row>
    <row r="1493" ht="18.0" customHeight="1">
      <c r="A1493" s="76"/>
      <c r="B1493" s="76"/>
      <c r="C1493" s="76"/>
      <c r="D1493" s="76"/>
      <c r="E1493" s="76"/>
      <c r="F1493" s="76"/>
      <c r="G1493" s="76"/>
      <c r="H1493" s="76"/>
      <c r="I1493" s="76"/>
      <c r="J1493" s="76"/>
      <c r="K1493" s="76"/>
      <c r="L1493" s="76"/>
      <c r="M1493" s="76" t="s">
        <v>5083</v>
      </c>
      <c r="N1493" s="76"/>
      <c r="O1493" s="76"/>
      <c r="P1493" s="76"/>
      <c r="Q1493" s="76"/>
      <c r="R1493" s="76"/>
      <c r="S1493" s="76"/>
      <c r="T1493" s="76"/>
      <c r="U1493" s="76" t="s">
        <v>5084</v>
      </c>
      <c r="V1493" s="76"/>
      <c r="W1493" s="76"/>
      <c r="X1493" s="76"/>
    </row>
    <row r="1494" ht="18.0" customHeight="1">
      <c r="A1494" s="76"/>
      <c r="B1494" s="76"/>
      <c r="C1494" s="76"/>
      <c r="D1494" s="76"/>
      <c r="E1494" s="76"/>
      <c r="F1494" s="76"/>
      <c r="G1494" s="76"/>
      <c r="H1494" s="76"/>
      <c r="I1494" s="76"/>
      <c r="J1494" s="76"/>
      <c r="K1494" s="76"/>
      <c r="L1494" s="76"/>
      <c r="M1494" s="76" t="s">
        <v>5085</v>
      </c>
      <c r="N1494" s="76"/>
      <c r="O1494" s="76"/>
      <c r="P1494" s="76"/>
      <c r="Q1494" s="76"/>
      <c r="R1494" s="76"/>
      <c r="S1494" s="76"/>
      <c r="T1494" s="76"/>
      <c r="U1494" s="76" t="s">
        <v>5086</v>
      </c>
      <c r="V1494" s="76"/>
      <c r="W1494" s="76"/>
      <c r="X1494" s="76"/>
    </row>
    <row r="1495" ht="18.0" customHeight="1">
      <c r="A1495" s="76"/>
      <c r="B1495" s="76"/>
      <c r="C1495" s="76"/>
      <c r="D1495" s="76"/>
      <c r="E1495" s="76"/>
      <c r="F1495" s="76"/>
      <c r="G1495" s="76"/>
      <c r="H1495" s="76"/>
      <c r="I1495" s="76"/>
      <c r="J1495" s="76"/>
      <c r="K1495" s="76"/>
      <c r="L1495" s="76"/>
      <c r="M1495" s="76" t="s">
        <v>5087</v>
      </c>
      <c r="N1495" s="76"/>
      <c r="O1495" s="76"/>
      <c r="P1495" s="76"/>
      <c r="Q1495" s="76"/>
      <c r="R1495" s="76"/>
      <c r="S1495" s="76"/>
      <c r="T1495" s="76"/>
      <c r="U1495" s="76" t="s">
        <v>5088</v>
      </c>
      <c r="V1495" s="76"/>
      <c r="W1495" s="76"/>
      <c r="X1495" s="76"/>
    </row>
    <row r="1496" ht="18.0" customHeight="1">
      <c r="A1496" s="76"/>
      <c r="B1496" s="76"/>
      <c r="C1496" s="76"/>
      <c r="D1496" s="76"/>
      <c r="E1496" s="76"/>
      <c r="F1496" s="76"/>
      <c r="G1496" s="76"/>
      <c r="H1496" s="76"/>
      <c r="I1496" s="76"/>
      <c r="J1496" s="76"/>
      <c r="K1496" s="76"/>
      <c r="L1496" s="76"/>
      <c r="M1496" s="76" t="s">
        <v>5089</v>
      </c>
      <c r="N1496" s="76"/>
      <c r="O1496" s="76"/>
      <c r="P1496" s="76"/>
      <c r="Q1496" s="76"/>
      <c r="R1496" s="76"/>
      <c r="S1496" s="76"/>
      <c r="T1496" s="76"/>
      <c r="U1496" s="76" t="s">
        <v>5090</v>
      </c>
      <c r="V1496" s="76"/>
      <c r="W1496" s="76"/>
      <c r="X1496" s="76"/>
    </row>
    <row r="1497" ht="18.0" customHeight="1">
      <c r="A1497" s="76"/>
      <c r="B1497" s="76"/>
      <c r="C1497" s="76"/>
      <c r="D1497" s="76"/>
      <c r="E1497" s="76"/>
      <c r="F1497" s="76"/>
      <c r="G1497" s="76"/>
      <c r="H1497" s="76"/>
      <c r="I1497" s="76"/>
      <c r="J1497" s="76"/>
      <c r="K1497" s="76"/>
      <c r="L1497" s="76"/>
      <c r="M1497" s="76" t="s">
        <v>5091</v>
      </c>
      <c r="N1497" s="76"/>
      <c r="O1497" s="76"/>
      <c r="P1497" s="76"/>
      <c r="Q1497" s="76"/>
      <c r="R1497" s="76"/>
      <c r="S1497" s="76"/>
      <c r="T1497" s="76"/>
      <c r="U1497" s="76" t="s">
        <v>5092</v>
      </c>
      <c r="V1497" s="76"/>
      <c r="W1497" s="76"/>
      <c r="X1497" s="76"/>
    </row>
    <row r="1498" ht="18.0" customHeight="1">
      <c r="A1498" s="76"/>
      <c r="B1498" s="76"/>
      <c r="C1498" s="76"/>
      <c r="D1498" s="76"/>
      <c r="E1498" s="76"/>
      <c r="F1498" s="76"/>
      <c r="G1498" s="76"/>
      <c r="H1498" s="76"/>
      <c r="I1498" s="76"/>
      <c r="J1498" s="76"/>
      <c r="K1498" s="76"/>
      <c r="L1498" s="76"/>
      <c r="M1498" s="76" t="s">
        <v>5093</v>
      </c>
      <c r="N1498" s="76"/>
      <c r="O1498" s="76"/>
      <c r="P1498" s="76"/>
      <c r="Q1498" s="76"/>
      <c r="R1498" s="76"/>
      <c r="S1498" s="76"/>
      <c r="T1498" s="76"/>
      <c r="U1498" s="76" t="s">
        <v>5094</v>
      </c>
      <c r="V1498" s="76"/>
      <c r="W1498" s="76"/>
      <c r="X1498" s="76"/>
    </row>
    <row r="1499" ht="18.0" customHeight="1">
      <c r="A1499" s="76"/>
      <c r="B1499" s="76"/>
      <c r="C1499" s="76"/>
      <c r="D1499" s="76"/>
      <c r="E1499" s="76"/>
      <c r="F1499" s="76"/>
      <c r="G1499" s="76"/>
      <c r="H1499" s="76"/>
      <c r="I1499" s="76"/>
      <c r="J1499" s="76"/>
      <c r="K1499" s="76"/>
      <c r="L1499" s="76"/>
      <c r="M1499" s="76" t="s">
        <v>5095</v>
      </c>
      <c r="N1499" s="76"/>
      <c r="O1499" s="76"/>
      <c r="P1499" s="76"/>
      <c r="Q1499" s="76"/>
      <c r="R1499" s="76"/>
      <c r="S1499" s="76"/>
      <c r="T1499" s="76"/>
      <c r="U1499" s="76" t="s">
        <v>5096</v>
      </c>
      <c r="V1499" s="76"/>
      <c r="W1499" s="76"/>
      <c r="X1499" s="76"/>
    </row>
    <row r="1500" ht="18.0" customHeight="1">
      <c r="A1500" s="76"/>
      <c r="B1500" s="76"/>
      <c r="C1500" s="76"/>
      <c r="D1500" s="76"/>
      <c r="E1500" s="76"/>
      <c r="F1500" s="76"/>
      <c r="G1500" s="76"/>
      <c r="H1500" s="76"/>
      <c r="I1500" s="76"/>
      <c r="J1500" s="76"/>
      <c r="K1500" s="76"/>
      <c r="L1500" s="76"/>
      <c r="M1500" s="76" t="s">
        <v>5097</v>
      </c>
      <c r="N1500" s="76"/>
      <c r="O1500" s="76"/>
      <c r="P1500" s="76"/>
      <c r="Q1500" s="76"/>
      <c r="R1500" s="76"/>
      <c r="S1500" s="76"/>
      <c r="T1500" s="76"/>
      <c r="U1500" s="76" t="s">
        <v>5098</v>
      </c>
      <c r="V1500" s="76"/>
      <c r="W1500" s="76"/>
      <c r="X1500" s="76"/>
    </row>
    <row r="1501" ht="18.0" customHeight="1">
      <c r="A1501" s="76"/>
      <c r="B1501" s="76"/>
      <c r="C1501" s="76"/>
      <c r="D1501" s="76"/>
      <c r="E1501" s="76"/>
      <c r="F1501" s="76"/>
      <c r="G1501" s="76"/>
      <c r="H1501" s="76"/>
      <c r="I1501" s="76"/>
      <c r="J1501" s="76"/>
      <c r="K1501" s="76"/>
      <c r="L1501" s="76"/>
      <c r="M1501" s="76" t="s">
        <v>5099</v>
      </c>
      <c r="N1501" s="76"/>
      <c r="O1501" s="76"/>
      <c r="P1501" s="76"/>
      <c r="Q1501" s="76"/>
      <c r="R1501" s="76"/>
      <c r="S1501" s="76"/>
      <c r="T1501" s="76"/>
      <c r="U1501" s="76" t="s">
        <v>5100</v>
      </c>
      <c r="V1501" s="76"/>
      <c r="W1501" s="76"/>
      <c r="X1501" s="76"/>
    </row>
    <row r="1502" ht="18.0" customHeight="1">
      <c r="A1502" s="76"/>
      <c r="B1502" s="76"/>
      <c r="C1502" s="76"/>
      <c r="D1502" s="76"/>
      <c r="E1502" s="76"/>
      <c r="F1502" s="76"/>
      <c r="G1502" s="76"/>
      <c r="H1502" s="76"/>
      <c r="I1502" s="76"/>
      <c r="J1502" s="76"/>
      <c r="K1502" s="76"/>
      <c r="L1502" s="76"/>
      <c r="M1502" s="76" t="s">
        <v>5101</v>
      </c>
      <c r="N1502" s="76"/>
      <c r="O1502" s="76"/>
      <c r="P1502" s="76"/>
      <c r="Q1502" s="76"/>
      <c r="R1502" s="76"/>
      <c r="S1502" s="76"/>
      <c r="T1502" s="76"/>
      <c r="U1502" s="76" t="s">
        <v>5102</v>
      </c>
      <c r="V1502" s="76"/>
      <c r="W1502" s="76"/>
      <c r="X1502" s="76"/>
    </row>
    <row r="1503" ht="18.0" customHeight="1">
      <c r="A1503" s="76"/>
      <c r="B1503" s="76"/>
      <c r="C1503" s="76"/>
      <c r="D1503" s="76"/>
      <c r="E1503" s="76"/>
      <c r="F1503" s="76"/>
      <c r="G1503" s="76"/>
      <c r="H1503" s="76"/>
      <c r="I1503" s="76"/>
      <c r="J1503" s="76"/>
      <c r="K1503" s="76"/>
      <c r="L1503" s="76"/>
      <c r="M1503" s="76" t="s">
        <v>5103</v>
      </c>
      <c r="N1503" s="76"/>
      <c r="O1503" s="76"/>
      <c r="P1503" s="76"/>
      <c r="Q1503" s="76"/>
      <c r="R1503" s="76"/>
      <c r="S1503" s="76"/>
      <c r="T1503" s="76"/>
      <c r="U1503" s="76" t="s">
        <v>5104</v>
      </c>
      <c r="V1503" s="76"/>
      <c r="W1503" s="76"/>
      <c r="X1503" s="76"/>
    </row>
    <row r="1504" ht="18.0" customHeight="1">
      <c r="A1504" s="76"/>
      <c r="B1504" s="76"/>
      <c r="C1504" s="76"/>
      <c r="D1504" s="76"/>
      <c r="E1504" s="76"/>
      <c r="F1504" s="76"/>
      <c r="G1504" s="76"/>
      <c r="H1504" s="76"/>
      <c r="I1504" s="76"/>
      <c r="J1504" s="76"/>
      <c r="K1504" s="76"/>
      <c r="L1504" s="76"/>
      <c r="M1504" s="76" t="s">
        <v>5105</v>
      </c>
      <c r="N1504" s="76"/>
      <c r="O1504" s="76"/>
      <c r="P1504" s="76"/>
      <c r="Q1504" s="76"/>
      <c r="R1504" s="76"/>
      <c r="S1504" s="76"/>
      <c r="T1504" s="76"/>
      <c r="U1504" s="76" t="s">
        <v>5106</v>
      </c>
      <c r="V1504" s="76"/>
      <c r="W1504" s="76"/>
      <c r="X1504" s="76"/>
    </row>
    <row r="1505" ht="18.0" customHeight="1">
      <c r="A1505" s="76"/>
      <c r="B1505" s="76"/>
      <c r="C1505" s="76"/>
      <c r="D1505" s="76"/>
      <c r="E1505" s="76"/>
      <c r="F1505" s="76"/>
      <c r="G1505" s="76"/>
      <c r="H1505" s="76"/>
      <c r="I1505" s="76"/>
      <c r="J1505" s="76"/>
      <c r="K1505" s="76"/>
      <c r="L1505" s="76"/>
      <c r="M1505" s="76" t="s">
        <v>5107</v>
      </c>
      <c r="N1505" s="76"/>
      <c r="O1505" s="76"/>
      <c r="P1505" s="76"/>
      <c r="Q1505" s="76"/>
      <c r="R1505" s="76"/>
      <c r="S1505" s="76"/>
      <c r="T1505" s="76"/>
      <c r="U1505" s="76" t="s">
        <v>5108</v>
      </c>
      <c r="V1505" s="76"/>
      <c r="W1505" s="76"/>
      <c r="X1505" s="76"/>
    </row>
    <row r="1506" ht="18.0" customHeight="1">
      <c r="A1506" s="76"/>
      <c r="B1506" s="76"/>
      <c r="C1506" s="76"/>
      <c r="D1506" s="76"/>
      <c r="E1506" s="76"/>
      <c r="F1506" s="76"/>
      <c r="G1506" s="76"/>
      <c r="H1506" s="76"/>
      <c r="I1506" s="76"/>
      <c r="J1506" s="76"/>
      <c r="K1506" s="76"/>
      <c r="L1506" s="76"/>
      <c r="M1506" s="76" t="s">
        <v>5109</v>
      </c>
      <c r="N1506" s="76"/>
      <c r="O1506" s="76"/>
      <c r="P1506" s="76"/>
      <c r="Q1506" s="76"/>
      <c r="R1506" s="76"/>
      <c r="S1506" s="76"/>
      <c r="T1506" s="76"/>
      <c r="U1506" s="76" t="s">
        <v>5110</v>
      </c>
      <c r="V1506" s="76"/>
      <c r="W1506" s="76"/>
      <c r="X1506" s="76"/>
    </row>
    <row r="1507" ht="18.0" customHeight="1">
      <c r="A1507" s="76"/>
      <c r="B1507" s="76"/>
      <c r="C1507" s="76"/>
      <c r="D1507" s="76"/>
      <c r="E1507" s="76"/>
      <c r="F1507" s="76"/>
      <c r="G1507" s="76"/>
      <c r="H1507" s="76"/>
      <c r="I1507" s="76"/>
      <c r="J1507" s="76"/>
      <c r="K1507" s="76"/>
      <c r="L1507" s="76"/>
      <c r="M1507" s="76" t="s">
        <v>5111</v>
      </c>
      <c r="N1507" s="76"/>
      <c r="O1507" s="76"/>
      <c r="P1507" s="76"/>
      <c r="Q1507" s="76"/>
      <c r="R1507" s="76"/>
      <c r="S1507" s="76"/>
      <c r="T1507" s="76"/>
      <c r="U1507" s="76" t="s">
        <v>5112</v>
      </c>
      <c r="V1507" s="76"/>
      <c r="W1507" s="76"/>
      <c r="X1507" s="76"/>
    </row>
    <row r="1508" ht="18.0" customHeight="1">
      <c r="A1508" s="76"/>
      <c r="B1508" s="76"/>
      <c r="C1508" s="76"/>
      <c r="D1508" s="76"/>
      <c r="E1508" s="76"/>
      <c r="F1508" s="76"/>
      <c r="G1508" s="76"/>
      <c r="H1508" s="76"/>
      <c r="I1508" s="76"/>
      <c r="J1508" s="76"/>
      <c r="K1508" s="76"/>
      <c r="L1508" s="76"/>
      <c r="M1508" s="76" t="s">
        <v>5113</v>
      </c>
      <c r="N1508" s="76"/>
      <c r="O1508" s="76"/>
      <c r="P1508" s="76"/>
      <c r="Q1508" s="76"/>
      <c r="R1508" s="76"/>
      <c r="S1508" s="76"/>
      <c r="T1508" s="76"/>
      <c r="U1508" s="76" t="s">
        <v>5114</v>
      </c>
      <c r="V1508" s="76"/>
      <c r="W1508" s="76"/>
      <c r="X1508" s="76"/>
    </row>
    <row r="1509" ht="18.0" customHeight="1">
      <c r="A1509" s="76"/>
      <c r="B1509" s="76"/>
      <c r="C1509" s="76"/>
      <c r="D1509" s="76"/>
      <c r="E1509" s="76"/>
      <c r="F1509" s="76"/>
      <c r="G1509" s="76"/>
      <c r="H1509" s="76"/>
      <c r="I1509" s="76"/>
      <c r="J1509" s="76"/>
      <c r="K1509" s="76"/>
      <c r="L1509" s="76"/>
      <c r="M1509" s="76" t="s">
        <v>5115</v>
      </c>
      <c r="N1509" s="76"/>
      <c r="O1509" s="76"/>
      <c r="P1509" s="76"/>
      <c r="Q1509" s="76"/>
      <c r="R1509" s="76"/>
      <c r="S1509" s="76"/>
      <c r="T1509" s="76"/>
      <c r="U1509" s="76" t="s">
        <v>5116</v>
      </c>
      <c r="V1509" s="76"/>
      <c r="W1509" s="76"/>
      <c r="X1509" s="76"/>
    </row>
    <row r="1510" ht="18.0" customHeight="1">
      <c r="A1510" s="76"/>
      <c r="B1510" s="76"/>
      <c r="C1510" s="76"/>
      <c r="D1510" s="76"/>
      <c r="E1510" s="76"/>
      <c r="F1510" s="76"/>
      <c r="G1510" s="76"/>
      <c r="H1510" s="76"/>
      <c r="I1510" s="76"/>
      <c r="J1510" s="76"/>
      <c r="K1510" s="76"/>
      <c r="L1510" s="76"/>
      <c r="M1510" s="76" t="s">
        <v>5117</v>
      </c>
      <c r="N1510" s="76"/>
      <c r="O1510" s="76"/>
      <c r="P1510" s="76"/>
      <c r="Q1510" s="76"/>
      <c r="R1510" s="76"/>
      <c r="S1510" s="76"/>
      <c r="T1510" s="76"/>
      <c r="U1510" s="76" t="s">
        <v>5118</v>
      </c>
      <c r="V1510" s="76"/>
      <c r="W1510" s="76"/>
      <c r="X1510" s="76"/>
    </row>
    <row r="1511" ht="18.0" customHeight="1">
      <c r="A1511" s="76"/>
      <c r="B1511" s="76"/>
      <c r="C1511" s="76"/>
      <c r="D1511" s="76"/>
      <c r="E1511" s="76"/>
      <c r="F1511" s="76"/>
      <c r="G1511" s="76"/>
      <c r="H1511" s="76"/>
      <c r="I1511" s="76"/>
      <c r="J1511" s="76"/>
      <c r="K1511" s="76"/>
      <c r="L1511" s="76"/>
      <c r="M1511" s="76" t="s">
        <v>5119</v>
      </c>
      <c r="N1511" s="76"/>
      <c r="O1511" s="76"/>
      <c r="P1511" s="76"/>
      <c r="Q1511" s="76"/>
      <c r="R1511" s="76"/>
      <c r="S1511" s="76"/>
      <c r="T1511" s="76"/>
      <c r="U1511" s="76" t="s">
        <v>5120</v>
      </c>
      <c r="V1511" s="76"/>
      <c r="W1511" s="76"/>
      <c r="X1511" s="76"/>
    </row>
    <row r="1512" ht="18.0" customHeight="1">
      <c r="A1512" s="76"/>
      <c r="B1512" s="76"/>
      <c r="C1512" s="76"/>
      <c r="D1512" s="76"/>
      <c r="E1512" s="76"/>
      <c r="F1512" s="76"/>
      <c r="G1512" s="76"/>
      <c r="H1512" s="76"/>
      <c r="I1512" s="76"/>
      <c r="J1512" s="76"/>
      <c r="K1512" s="76"/>
      <c r="L1512" s="76"/>
      <c r="M1512" s="76" t="s">
        <v>5121</v>
      </c>
      <c r="N1512" s="76"/>
      <c r="O1512" s="76"/>
      <c r="P1512" s="76"/>
      <c r="Q1512" s="76"/>
      <c r="R1512" s="76"/>
      <c r="S1512" s="76"/>
      <c r="T1512" s="76"/>
      <c r="U1512" s="76" t="s">
        <v>5122</v>
      </c>
      <c r="V1512" s="76"/>
      <c r="W1512" s="76"/>
      <c r="X1512" s="76"/>
    </row>
    <row r="1513" ht="18.0" customHeight="1">
      <c r="A1513" s="76"/>
      <c r="B1513" s="76"/>
      <c r="C1513" s="76"/>
      <c r="D1513" s="76"/>
      <c r="E1513" s="76"/>
      <c r="F1513" s="76"/>
      <c r="G1513" s="76"/>
      <c r="H1513" s="76"/>
      <c r="I1513" s="76"/>
      <c r="J1513" s="76"/>
      <c r="K1513" s="76"/>
      <c r="L1513" s="76"/>
      <c r="M1513" s="76" t="s">
        <v>5123</v>
      </c>
      <c r="N1513" s="76"/>
      <c r="O1513" s="76"/>
      <c r="P1513" s="76"/>
      <c r="Q1513" s="76"/>
      <c r="R1513" s="76"/>
      <c r="S1513" s="76"/>
      <c r="T1513" s="76"/>
      <c r="U1513" s="76" t="s">
        <v>5124</v>
      </c>
      <c r="V1513" s="76"/>
      <c r="W1513" s="76"/>
      <c r="X1513" s="76"/>
    </row>
    <row r="1514" ht="18.0" customHeight="1">
      <c r="A1514" s="76"/>
      <c r="B1514" s="76"/>
      <c r="C1514" s="76"/>
      <c r="D1514" s="76"/>
      <c r="E1514" s="76"/>
      <c r="F1514" s="76"/>
      <c r="G1514" s="76"/>
      <c r="H1514" s="76"/>
      <c r="I1514" s="76"/>
      <c r="J1514" s="76"/>
      <c r="K1514" s="76"/>
      <c r="L1514" s="76"/>
      <c r="M1514" s="76" t="s">
        <v>5125</v>
      </c>
      <c r="N1514" s="76"/>
      <c r="O1514" s="76"/>
      <c r="P1514" s="76"/>
      <c r="Q1514" s="76"/>
      <c r="R1514" s="76"/>
      <c r="S1514" s="76"/>
      <c r="T1514" s="76"/>
      <c r="U1514" s="76" t="s">
        <v>5126</v>
      </c>
      <c r="V1514" s="76"/>
      <c r="W1514" s="76"/>
      <c r="X1514" s="76"/>
    </row>
    <row r="1515" ht="18.0" customHeight="1">
      <c r="A1515" s="76"/>
      <c r="B1515" s="76"/>
      <c r="C1515" s="76"/>
      <c r="D1515" s="76"/>
      <c r="E1515" s="76"/>
      <c r="F1515" s="76"/>
      <c r="G1515" s="76"/>
      <c r="H1515" s="76"/>
      <c r="I1515" s="76"/>
      <c r="J1515" s="76"/>
      <c r="K1515" s="76"/>
      <c r="L1515" s="76"/>
      <c r="M1515" s="76" t="s">
        <v>5127</v>
      </c>
      <c r="N1515" s="76"/>
      <c r="O1515" s="76"/>
      <c r="P1515" s="76"/>
      <c r="Q1515" s="76"/>
      <c r="R1515" s="76"/>
      <c r="S1515" s="76"/>
      <c r="T1515" s="76"/>
      <c r="U1515" s="76" t="s">
        <v>5128</v>
      </c>
      <c r="V1515" s="76"/>
      <c r="W1515" s="76"/>
      <c r="X1515" s="76"/>
    </row>
    <row r="1516" ht="18.0" customHeight="1">
      <c r="A1516" s="76"/>
      <c r="B1516" s="76"/>
      <c r="C1516" s="76"/>
      <c r="D1516" s="76"/>
      <c r="E1516" s="76"/>
      <c r="F1516" s="76"/>
      <c r="G1516" s="76"/>
      <c r="H1516" s="76"/>
      <c r="I1516" s="76"/>
      <c r="J1516" s="76"/>
      <c r="K1516" s="76"/>
      <c r="L1516" s="76"/>
      <c r="M1516" s="76" t="s">
        <v>5129</v>
      </c>
      <c r="N1516" s="76"/>
      <c r="O1516" s="76"/>
      <c r="P1516" s="76"/>
      <c r="Q1516" s="76"/>
      <c r="R1516" s="76"/>
      <c r="S1516" s="76"/>
      <c r="T1516" s="76"/>
      <c r="U1516" s="76" t="s">
        <v>5130</v>
      </c>
      <c r="V1516" s="76"/>
      <c r="W1516" s="76"/>
      <c r="X1516" s="76"/>
    </row>
    <row r="1517" ht="18.0" customHeight="1">
      <c r="A1517" s="76"/>
      <c r="B1517" s="76"/>
      <c r="C1517" s="76"/>
      <c r="D1517" s="76"/>
      <c r="E1517" s="76"/>
      <c r="F1517" s="76"/>
      <c r="G1517" s="76"/>
      <c r="H1517" s="76"/>
      <c r="I1517" s="76"/>
      <c r="J1517" s="76"/>
      <c r="K1517" s="76"/>
      <c r="L1517" s="76"/>
      <c r="M1517" s="76" t="s">
        <v>5131</v>
      </c>
      <c r="N1517" s="76"/>
      <c r="O1517" s="76"/>
      <c r="P1517" s="76"/>
      <c r="Q1517" s="76"/>
      <c r="R1517" s="76"/>
      <c r="S1517" s="76"/>
      <c r="T1517" s="76"/>
      <c r="U1517" s="76" t="s">
        <v>5132</v>
      </c>
      <c r="V1517" s="76"/>
      <c r="W1517" s="76"/>
      <c r="X1517" s="76"/>
    </row>
    <row r="1518" ht="18.0" customHeight="1">
      <c r="A1518" s="76"/>
      <c r="B1518" s="76"/>
      <c r="C1518" s="76"/>
      <c r="D1518" s="76"/>
      <c r="E1518" s="76"/>
      <c r="F1518" s="76"/>
      <c r="G1518" s="76"/>
      <c r="H1518" s="76"/>
      <c r="I1518" s="76"/>
      <c r="J1518" s="76"/>
      <c r="K1518" s="76"/>
      <c r="L1518" s="76"/>
      <c r="M1518" s="76" t="s">
        <v>5133</v>
      </c>
      <c r="N1518" s="76"/>
      <c r="O1518" s="76"/>
      <c r="P1518" s="76"/>
      <c r="Q1518" s="76"/>
      <c r="R1518" s="76"/>
      <c r="S1518" s="76"/>
      <c r="T1518" s="76"/>
      <c r="U1518" s="76" t="s">
        <v>5134</v>
      </c>
      <c r="V1518" s="76"/>
      <c r="W1518" s="76"/>
      <c r="X1518" s="76"/>
    </row>
    <row r="1519" ht="18.0" customHeight="1">
      <c r="A1519" s="76"/>
      <c r="B1519" s="76"/>
      <c r="C1519" s="76"/>
      <c r="D1519" s="76"/>
      <c r="E1519" s="76"/>
      <c r="F1519" s="76"/>
      <c r="G1519" s="76"/>
      <c r="H1519" s="76"/>
      <c r="I1519" s="76"/>
      <c r="J1519" s="76"/>
      <c r="K1519" s="76"/>
      <c r="L1519" s="76"/>
      <c r="M1519" s="76" t="s">
        <v>5135</v>
      </c>
      <c r="N1519" s="76"/>
      <c r="O1519" s="76"/>
      <c r="P1519" s="76"/>
      <c r="Q1519" s="76"/>
      <c r="R1519" s="76"/>
      <c r="S1519" s="76"/>
      <c r="T1519" s="76"/>
      <c r="U1519" s="76" t="s">
        <v>5136</v>
      </c>
      <c r="V1519" s="76"/>
      <c r="W1519" s="76"/>
      <c r="X1519" s="76"/>
    </row>
    <row r="1520" ht="18.0" customHeight="1">
      <c r="A1520" s="76"/>
      <c r="B1520" s="76"/>
      <c r="C1520" s="76"/>
      <c r="D1520" s="76"/>
      <c r="E1520" s="76"/>
      <c r="F1520" s="76"/>
      <c r="G1520" s="76"/>
      <c r="H1520" s="76"/>
      <c r="I1520" s="76"/>
      <c r="J1520" s="76"/>
      <c r="K1520" s="76"/>
      <c r="L1520" s="76"/>
      <c r="M1520" s="76" t="s">
        <v>5137</v>
      </c>
      <c r="N1520" s="76"/>
      <c r="O1520" s="76"/>
      <c r="P1520" s="76"/>
      <c r="Q1520" s="76"/>
      <c r="R1520" s="76"/>
      <c r="S1520" s="76"/>
      <c r="T1520" s="76"/>
      <c r="U1520" s="76" t="s">
        <v>5138</v>
      </c>
      <c r="V1520" s="76"/>
      <c r="W1520" s="76"/>
      <c r="X1520" s="76"/>
    </row>
    <row r="1521" ht="18.0" customHeight="1">
      <c r="A1521" s="76"/>
      <c r="B1521" s="76"/>
      <c r="C1521" s="76"/>
      <c r="D1521" s="76"/>
      <c r="E1521" s="76"/>
      <c r="F1521" s="76"/>
      <c r="G1521" s="76"/>
      <c r="H1521" s="76"/>
      <c r="I1521" s="76"/>
      <c r="J1521" s="76"/>
      <c r="K1521" s="76"/>
      <c r="L1521" s="76"/>
      <c r="M1521" s="76" t="s">
        <v>5139</v>
      </c>
      <c r="N1521" s="76"/>
      <c r="O1521" s="76"/>
      <c r="P1521" s="76"/>
      <c r="Q1521" s="76"/>
      <c r="R1521" s="76"/>
      <c r="S1521" s="76"/>
      <c r="T1521" s="76"/>
      <c r="U1521" s="76" t="s">
        <v>5140</v>
      </c>
      <c r="V1521" s="76"/>
      <c r="W1521" s="76"/>
      <c r="X1521" s="76"/>
    </row>
    <row r="1522" ht="18.0" customHeight="1">
      <c r="A1522" s="76"/>
      <c r="B1522" s="76"/>
      <c r="C1522" s="76"/>
      <c r="D1522" s="76"/>
      <c r="E1522" s="76"/>
      <c r="F1522" s="76"/>
      <c r="G1522" s="76"/>
      <c r="H1522" s="76"/>
      <c r="I1522" s="76"/>
      <c r="J1522" s="76"/>
      <c r="K1522" s="76"/>
      <c r="L1522" s="76"/>
      <c r="M1522" s="76" t="s">
        <v>5141</v>
      </c>
      <c r="N1522" s="76"/>
      <c r="O1522" s="76"/>
      <c r="P1522" s="76"/>
      <c r="Q1522" s="76"/>
      <c r="R1522" s="76"/>
      <c r="S1522" s="76"/>
      <c r="T1522" s="76"/>
      <c r="U1522" s="76" t="s">
        <v>5142</v>
      </c>
      <c r="V1522" s="76"/>
      <c r="W1522" s="76"/>
      <c r="X1522" s="76"/>
    </row>
    <row r="1523" ht="18.0" customHeight="1">
      <c r="A1523" s="76"/>
      <c r="B1523" s="76"/>
      <c r="C1523" s="76"/>
      <c r="D1523" s="76"/>
      <c r="E1523" s="76"/>
      <c r="F1523" s="76"/>
      <c r="G1523" s="76"/>
      <c r="H1523" s="76"/>
      <c r="I1523" s="76"/>
      <c r="J1523" s="76"/>
      <c r="K1523" s="76"/>
      <c r="L1523" s="76"/>
      <c r="M1523" s="76" t="s">
        <v>5143</v>
      </c>
      <c r="N1523" s="76"/>
      <c r="O1523" s="76"/>
      <c r="P1523" s="76"/>
      <c r="Q1523" s="76"/>
      <c r="R1523" s="76"/>
      <c r="S1523" s="76"/>
      <c r="T1523" s="76"/>
      <c r="U1523" s="76" t="s">
        <v>5144</v>
      </c>
      <c r="V1523" s="76"/>
      <c r="W1523" s="76"/>
      <c r="X1523" s="76"/>
    </row>
    <row r="1524" ht="18.0" customHeight="1">
      <c r="A1524" s="76"/>
      <c r="B1524" s="76"/>
      <c r="C1524" s="76"/>
      <c r="D1524" s="76"/>
      <c r="E1524" s="76"/>
      <c r="F1524" s="76"/>
      <c r="G1524" s="76"/>
      <c r="H1524" s="76"/>
      <c r="I1524" s="76"/>
      <c r="J1524" s="76"/>
      <c r="K1524" s="76"/>
      <c r="L1524" s="76"/>
      <c r="M1524" s="76" t="s">
        <v>5145</v>
      </c>
      <c r="N1524" s="76"/>
      <c r="O1524" s="76"/>
      <c r="P1524" s="76"/>
      <c r="Q1524" s="76"/>
      <c r="R1524" s="76"/>
      <c r="S1524" s="76"/>
      <c r="T1524" s="76"/>
      <c r="U1524" s="76" t="s">
        <v>5146</v>
      </c>
      <c r="V1524" s="76"/>
      <c r="W1524" s="76"/>
      <c r="X1524" s="76"/>
    </row>
    <row r="1525" ht="18.0" customHeight="1">
      <c r="A1525" s="76"/>
      <c r="B1525" s="76"/>
      <c r="C1525" s="76"/>
      <c r="D1525" s="76"/>
      <c r="E1525" s="76"/>
      <c r="F1525" s="76"/>
      <c r="G1525" s="76"/>
      <c r="H1525" s="76"/>
      <c r="I1525" s="76"/>
      <c r="J1525" s="76"/>
      <c r="K1525" s="76"/>
      <c r="L1525" s="76"/>
      <c r="M1525" s="76" t="s">
        <v>5147</v>
      </c>
      <c r="N1525" s="76"/>
      <c r="O1525" s="76"/>
      <c r="P1525" s="76"/>
      <c r="Q1525" s="76"/>
      <c r="R1525" s="76"/>
      <c r="S1525" s="76"/>
      <c r="T1525" s="76"/>
      <c r="U1525" s="76" t="s">
        <v>5148</v>
      </c>
      <c r="V1525" s="76"/>
      <c r="W1525" s="76"/>
      <c r="X1525" s="76"/>
    </row>
    <row r="1526" ht="18.0" customHeight="1">
      <c r="A1526" s="76"/>
      <c r="B1526" s="76"/>
      <c r="C1526" s="76"/>
      <c r="D1526" s="76"/>
      <c r="E1526" s="76"/>
      <c r="F1526" s="76"/>
      <c r="G1526" s="76"/>
      <c r="H1526" s="76"/>
      <c r="I1526" s="76"/>
      <c r="J1526" s="76"/>
      <c r="K1526" s="76"/>
      <c r="L1526" s="76"/>
      <c r="M1526" s="76" t="s">
        <v>5149</v>
      </c>
      <c r="N1526" s="76"/>
      <c r="O1526" s="76"/>
      <c r="P1526" s="76"/>
      <c r="Q1526" s="76"/>
      <c r="R1526" s="76"/>
      <c r="S1526" s="76"/>
      <c r="T1526" s="76"/>
      <c r="U1526" s="76" t="s">
        <v>5150</v>
      </c>
      <c r="V1526" s="76"/>
      <c r="W1526" s="76"/>
      <c r="X1526" s="76"/>
    </row>
    <row r="1527" ht="18.0" customHeight="1">
      <c r="A1527" s="76"/>
      <c r="B1527" s="76"/>
      <c r="C1527" s="76"/>
      <c r="D1527" s="76"/>
      <c r="E1527" s="76"/>
      <c r="F1527" s="76"/>
      <c r="G1527" s="76"/>
      <c r="H1527" s="76"/>
      <c r="I1527" s="76"/>
      <c r="J1527" s="76"/>
      <c r="K1527" s="76"/>
      <c r="L1527" s="76"/>
      <c r="M1527" s="76" t="s">
        <v>5151</v>
      </c>
      <c r="N1527" s="76"/>
      <c r="O1527" s="76"/>
      <c r="P1527" s="76"/>
      <c r="Q1527" s="76"/>
      <c r="R1527" s="76"/>
      <c r="S1527" s="76"/>
      <c r="T1527" s="76"/>
      <c r="U1527" s="76" t="s">
        <v>5152</v>
      </c>
      <c r="V1527" s="76"/>
      <c r="W1527" s="76"/>
      <c r="X1527" s="76"/>
    </row>
    <row r="1528" ht="18.0" customHeight="1">
      <c r="A1528" s="76"/>
      <c r="B1528" s="76"/>
      <c r="C1528" s="76"/>
      <c r="D1528" s="76"/>
      <c r="E1528" s="76"/>
      <c r="F1528" s="76"/>
      <c r="G1528" s="76"/>
      <c r="H1528" s="76"/>
      <c r="I1528" s="76"/>
      <c r="J1528" s="76"/>
      <c r="K1528" s="76"/>
      <c r="L1528" s="76"/>
      <c r="M1528" s="76" t="s">
        <v>5153</v>
      </c>
      <c r="N1528" s="76"/>
      <c r="O1528" s="76"/>
      <c r="P1528" s="76"/>
      <c r="Q1528" s="76"/>
      <c r="R1528" s="76"/>
      <c r="S1528" s="76"/>
      <c r="T1528" s="76"/>
      <c r="U1528" s="76" t="s">
        <v>5154</v>
      </c>
      <c r="V1528" s="76"/>
      <c r="W1528" s="76"/>
      <c r="X1528" s="76"/>
    </row>
    <row r="1529" ht="18.0" customHeight="1">
      <c r="A1529" s="76"/>
      <c r="B1529" s="76"/>
      <c r="C1529" s="76"/>
      <c r="D1529" s="76"/>
      <c r="E1529" s="76"/>
      <c r="F1529" s="76"/>
      <c r="G1529" s="76"/>
      <c r="H1529" s="76"/>
      <c r="I1529" s="76"/>
      <c r="J1529" s="76"/>
      <c r="K1529" s="76"/>
      <c r="L1529" s="76"/>
      <c r="M1529" s="76" t="s">
        <v>5155</v>
      </c>
      <c r="N1529" s="76"/>
      <c r="O1529" s="76"/>
      <c r="P1529" s="76"/>
      <c r="Q1529" s="76"/>
      <c r="R1529" s="76"/>
      <c r="S1529" s="76"/>
      <c r="T1529" s="76"/>
      <c r="U1529" s="76" t="s">
        <v>5156</v>
      </c>
      <c r="V1529" s="76"/>
      <c r="W1529" s="76"/>
      <c r="X1529" s="76"/>
    </row>
    <row r="1530" ht="18.0" customHeight="1">
      <c r="A1530" s="76"/>
      <c r="B1530" s="76"/>
      <c r="C1530" s="76"/>
      <c r="D1530" s="76"/>
      <c r="E1530" s="76"/>
      <c r="F1530" s="76"/>
      <c r="G1530" s="76"/>
      <c r="H1530" s="76"/>
      <c r="I1530" s="76"/>
      <c r="J1530" s="76"/>
      <c r="K1530" s="76"/>
      <c r="L1530" s="76"/>
      <c r="M1530" s="76" t="s">
        <v>5157</v>
      </c>
      <c r="N1530" s="76"/>
      <c r="O1530" s="76"/>
      <c r="P1530" s="76"/>
      <c r="Q1530" s="76"/>
      <c r="R1530" s="76"/>
      <c r="S1530" s="76"/>
      <c r="T1530" s="76"/>
      <c r="U1530" s="76" t="s">
        <v>5158</v>
      </c>
      <c r="V1530" s="76"/>
      <c r="W1530" s="76"/>
      <c r="X1530" s="76"/>
    </row>
    <row r="1531" ht="18.0" customHeight="1">
      <c r="A1531" s="76"/>
      <c r="B1531" s="76"/>
      <c r="C1531" s="76"/>
      <c r="D1531" s="76"/>
      <c r="E1531" s="76"/>
      <c r="F1531" s="76"/>
      <c r="G1531" s="76"/>
      <c r="H1531" s="76"/>
      <c r="I1531" s="76"/>
      <c r="J1531" s="76"/>
      <c r="K1531" s="76"/>
      <c r="L1531" s="76"/>
      <c r="M1531" s="76" t="s">
        <v>5159</v>
      </c>
      <c r="N1531" s="76"/>
      <c r="O1531" s="76"/>
      <c r="P1531" s="76"/>
      <c r="Q1531" s="76"/>
      <c r="R1531" s="76"/>
      <c r="S1531" s="76"/>
      <c r="T1531" s="76"/>
      <c r="U1531" s="76" t="s">
        <v>5160</v>
      </c>
      <c r="V1531" s="76"/>
      <c r="W1531" s="76"/>
      <c r="X1531" s="76"/>
    </row>
    <row r="1532" ht="18.0" customHeight="1">
      <c r="A1532" s="76"/>
      <c r="B1532" s="76"/>
      <c r="C1532" s="76"/>
      <c r="D1532" s="76"/>
      <c r="E1532" s="76"/>
      <c r="F1532" s="76"/>
      <c r="G1532" s="76"/>
      <c r="H1532" s="76"/>
      <c r="I1532" s="76"/>
      <c r="J1532" s="76"/>
      <c r="K1532" s="76"/>
      <c r="L1532" s="76"/>
      <c r="M1532" s="76" t="s">
        <v>5161</v>
      </c>
      <c r="N1532" s="76"/>
      <c r="O1532" s="76"/>
      <c r="P1532" s="76"/>
      <c r="Q1532" s="76"/>
      <c r="R1532" s="76"/>
      <c r="S1532" s="76"/>
      <c r="T1532" s="76"/>
      <c r="U1532" s="76" t="s">
        <v>5162</v>
      </c>
      <c r="V1532" s="76"/>
      <c r="W1532" s="76"/>
      <c r="X1532" s="76"/>
    </row>
    <row r="1533" ht="18.0" customHeight="1">
      <c r="A1533" s="76"/>
      <c r="B1533" s="76"/>
      <c r="C1533" s="76"/>
      <c r="D1533" s="76"/>
      <c r="E1533" s="76"/>
      <c r="F1533" s="76"/>
      <c r="G1533" s="76"/>
      <c r="H1533" s="76"/>
      <c r="I1533" s="76"/>
      <c r="J1533" s="76"/>
      <c r="K1533" s="76"/>
      <c r="L1533" s="76"/>
      <c r="M1533" s="76" t="s">
        <v>5163</v>
      </c>
      <c r="N1533" s="76"/>
      <c r="O1533" s="76"/>
      <c r="P1533" s="76"/>
      <c r="Q1533" s="76"/>
      <c r="R1533" s="76"/>
      <c r="S1533" s="76"/>
      <c r="T1533" s="76"/>
      <c r="U1533" s="76" t="s">
        <v>5164</v>
      </c>
      <c r="V1533" s="76"/>
      <c r="W1533" s="76"/>
      <c r="X1533" s="76"/>
    </row>
    <row r="1534" ht="18.0" customHeight="1">
      <c r="A1534" s="76"/>
      <c r="B1534" s="76"/>
      <c r="C1534" s="76"/>
      <c r="D1534" s="76"/>
      <c r="E1534" s="76"/>
      <c r="F1534" s="76"/>
      <c r="G1534" s="76"/>
      <c r="H1534" s="76"/>
      <c r="I1534" s="76"/>
      <c r="J1534" s="76"/>
      <c r="K1534" s="76"/>
      <c r="L1534" s="76"/>
      <c r="M1534" s="76" t="s">
        <v>5165</v>
      </c>
      <c r="N1534" s="76"/>
      <c r="O1534" s="76"/>
      <c r="P1534" s="76"/>
      <c r="Q1534" s="76"/>
      <c r="R1534" s="76"/>
      <c r="S1534" s="76"/>
      <c r="T1534" s="76"/>
      <c r="U1534" s="76" t="s">
        <v>5166</v>
      </c>
      <c r="V1534" s="76"/>
      <c r="W1534" s="76"/>
      <c r="X1534" s="76"/>
    </row>
    <row r="1535" ht="18.0" customHeight="1">
      <c r="A1535" s="76"/>
      <c r="B1535" s="76"/>
      <c r="C1535" s="76"/>
      <c r="D1535" s="76"/>
      <c r="E1535" s="76"/>
      <c r="F1535" s="76"/>
      <c r="G1535" s="76"/>
      <c r="H1535" s="76"/>
      <c r="I1535" s="76"/>
      <c r="J1535" s="76"/>
      <c r="K1535" s="76"/>
      <c r="L1535" s="76"/>
      <c r="M1535" s="76" t="s">
        <v>5167</v>
      </c>
      <c r="N1535" s="76"/>
      <c r="O1535" s="76"/>
      <c r="P1535" s="76"/>
      <c r="Q1535" s="76"/>
      <c r="R1535" s="76"/>
      <c r="S1535" s="76"/>
      <c r="T1535" s="76"/>
      <c r="U1535" s="76" t="s">
        <v>5168</v>
      </c>
      <c r="V1535" s="76"/>
      <c r="W1535" s="76"/>
      <c r="X1535" s="76"/>
    </row>
    <row r="1536" ht="18.0" customHeight="1">
      <c r="A1536" s="76"/>
      <c r="B1536" s="76"/>
      <c r="C1536" s="76"/>
      <c r="D1536" s="76"/>
      <c r="E1536" s="76"/>
      <c r="F1536" s="76"/>
      <c r="G1536" s="76"/>
      <c r="H1536" s="76"/>
      <c r="I1536" s="76"/>
      <c r="J1536" s="76"/>
      <c r="K1536" s="76"/>
      <c r="L1536" s="76"/>
      <c r="M1536" s="76" t="s">
        <v>5169</v>
      </c>
      <c r="N1536" s="76"/>
      <c r="O1536" s="76"/>
      <c r="P1536" s="76"/>
      <c r="Q1536" s="76"/>
      <c r="R1536" s="76"/>
      <c r="S1536" s="76"/>
      <c r="T1536" s="76"/>
      <c r="U1536" s="76" t="s">
        <v>5170</v>
      </c>
      <c r="V1536" s="76"/>
      <c r="W1536" s="76"/>
      <c r="X1536" s="76"/>
    </row>
    <row r="1537" ht="18.0" customHeight="1">
      <c r="A1537" s="76"/>
      <c r="B1537" s="76"/>
      <c r="C1537" s="76"/>
      <c r="D1537" s="76"/>
      <c r="E1537" s="76"/>
      <c r="F1537" s="76"/>
      <c r="G1537" s="76"/>
      <c r="H1537" s="76"/>
      <c r="I1537" s="76"/>
      <c r="J1537" s="76"/>
      <c r="K1537" s="76"/>
      <c r="L1537" s="76"/>
      <c r="M1537" s="76" t="s">
        <v>5171</v>
      </c>
      <c r="N1537" s="76"/>
      <c r="O1537" s="76"/>
      <c r="P1537" s="76"/>
      <c r="Q1537" s="76"/>
      <c r="R1537" s="76"/>
      <c r="S1537" s="76"/>
      <c r="T1537" s="76"/>
      <c r="U1537" s="76" t="s">
        <v>5172</v>
      </c>
      <c r="V1537" s="76"/>
      <c r="W1537" s="76"/>
      <c r="X1537" s="76"/>
    </row>
    <row r="1538" ht="18.0" customHeight="1">
      <c r="A1538" s="76"/>
      <c r="B1538" s="76"/>
      <c r="C1538" s="76"/>
      <c r="D1538" s="76"/>
      <c r="E1538" s="76"/>
      <c r="F1538" s="76"/>
      <c r="G1538" s="76"/>
      <c r="H1538" s="76"/>
      <c r="I1538" s="76"/>
      <c r="J1538" s="76"/>
      <c r="K1538" s="76"/>
      <c r="L1538" s="76"/>
      <c r="M1538" s="76" t="s">
        <v>5173</v>
      </c>
      <c r="N1538" s="76"/>
      <c r="O1538" s="76"/>
      <c r="P1538" s="76"/>
      <c r="Q1538" s="76"/>
      <c r="R1538" s="76"/>
      <c r="S1538" s="76"/>
      <c r="T1538" s="76"/>
      <c r="U1538" s="76" t="s">
        <v>5174</v>
      </c>
      <c r="V1538" s="76"/>
      <c r="W1538" s="76"/>
      <c r="X1538" s="76"/>
    </row>
    <row r="1539" ht="18.0" customHeight="1">
      <c r="A1539" s="76"/>
      <c r="B1539" s="76"/>
      <c r="C1539" s="76"/>
      <c r="D1539" s="76"/>
      <c r="E1539" s="76"/>
      <c r="F1539" s="76"/>
      <c r="G1539" s="76"/>
      <c r="H1539" s="76"/>
      <c r="I1539" s="76"/>
      <c r="J1539" s="76"/>
      <c r="K1539" s="76"/>
      <c r="L1539" s="76"/>
      <c r="M1539" s="76" t="s">
        <v>5175</v>
      </c>
      <c r="N1539" s="76"/>
      <c r="O1539" s="76"/>
      <c r="P1539" s="76"/>
      <c r="Q1539" s="76"/>
      <c r="R1539" s="76"/>
      <c r="S1539" s="76"/>
      <c r="T1539" s="76"/>
      <c r="U1539" s="76" t="s">
        <v>5176</v>
      </c>
      <c r="V1539" s="76"/>
      <c r="W1539" s="76"/>
      <c r="X1539" s="76"/>
    </row>
    <row r="1540" ht="18.0" customHeight="1">
      <c r="A1540" s="76"/>
      <c r="B1540" s="76"/>
      <c r="C1540" s="76"/>
      <c r="D1540" s="76"/>
      <c r="E1540" s="76"/>
      <c r="F1540" s="76"/>
      <c r="G1540" s="76"/>
      <c r="H1540" s="76"/>
      <c r="I1540" s="76"/>
      <c r="J1540" s="76"/>
      <c r="K1540" s="76"/>
      <c r="L1540" s="76"/>
      <c r="M1540" s="76" t="s">
        <v>5177</v>
      </c>
      <c r="N1540" s="76"/>
      <c r="O1540" s="76"/>
      <c r="P1540" s="76"/>
      <c r="Q1540" s="76"/>
      <c r="R1540" s="76"/>
      <c r="S1540" s="76"/>
      <c r="T1540" s="76"/>
      <c r="U1540" s="76" t="s">
        <v>5178</v>
      </c>
      <c r="V1540" s="76"/>
      <c r="W1540" s="76"/>
      <c r="X1540" s="76"/>
    </row>
    <row r="1541" ht="18.0" customHeight="1">
      <c r="A1541" s="76"/>
      <c r="B1541" s="76"/>
      <c r="C1541" s="76"/>
      <c r="D1541" s="76"/>
      <c r="E1541" s="76"/>
      <c r="F1541" s="76"/>
      <c r="G1541" s="76"/>
      <c r="H1541" s="76"/>
      <c r="I1541" s="76"/>
      <c r="J1541" s="76"/>
      <c r="K1541" s="76"/>
      <c r="L1541" s="76"/>
      <c r="M1541" s="76" t="s">
        <v>5179</v>
      </c>
      <c r="N1541" s="76"/>
      <c r="O1541" s="76"/>
      <c r="P1541" s="76"/>
      <c r="Q1541" s="76"/>
      <c r="R1541" s="76"/>
      <c r="S1541" s="76"/>
      <c r="T1541" s="76"/>
      <c r="U1541" s="76" t="s">
        <v>5180</v>
      </c>
      <c r="V1541" s="76"/>
      <c r="W1541" s="76"/>
      <c r="X1541" s="76"/>
    </row>
    <row r="1542" ht="18.0" customHeight="1">
      <c r="A1542" s="76"/>
      <c r="B1542" s="76"/>
      <c r="C1542" s="76"/>
      <c r="D1542" s="76"/>
      <c r="E1542" s="76"/>
      <c r="F1542" s="76"/>
      <c r="G1542" s="76"/>
      <c r="H1542" s="76"/>
      <c r="I1542" s="76"/>
      <c r="J1542" s="76"/>
      <c r="K1542" s="76"/>
      <c r="L1542" s="76"/>
      <c r="M1542" s="76" t="s">
        <v>5181</v>
      </c>
      <c r="N1542" s="76"/>
      <c r="O1542" s="76"/>
      <c r="P1542" s="76"/>
      <c r="Q1542" s="76"/>
      <c r="R1542" s="76"/>
      <c r="S1542" s="76"/>
      <c r="T1542" s="76"/>
      <c r="U1542" s="76" t="s">
        <v>5182</v>
      </c>
      <c r="V1542" s="76"/>
      <c r="W1542" s="76"/>
      <c r="X1542" s="76"/>
    </row>
    <row r="1543" ht="18.0" customHeight="1">
      <c r="A1543" s="76"/>
      <c r="B1543" s="76"/>
      <c r="C1543" s="76"/>
      <c r="D1543" s="76"/>
      <c r="E1543" s="76"/>
      <c r="F1543" s="76"/>
      <c r="G1543" s="76"/>
      <c r="H1543" s="76"/>
      <c r="I1543" s="76"/>
      <c r="J1543" s="76"/>
      <c r="K1543" s="76"/>
      <c r="L1543" s="76"/>
      <c r="M1543" s="76" t="s">
        <v>5183</v>
      </c>
      <c r="N1543" s="76"/>
      <c r="O1543" s="76"/>
      <c r="P1543" s="76"/>
      <c r="Q1543" s="76"/>
      <c r="R1543" s="76"/>
      <c r="S1543" s="76"/>
      <c r="T1543" s="76"/>
      <c r="U1543" s="76" t="s">
        <v>5184</v>
      </c>
      <c r="V1543" s="76"/>
      <c r="W1543" s="76"/>
      <c r="X1543" s="76"/>
    </row>
    <row r="1544" ht="18.0" customHeight="1">
      <c r="A1544" s="76"/>
      <c r="B1544" s="76"/>
      <c r="C1544" s="76"/>
      <c r="D1544" s="76"/>
      <c r="E1544" s="76"/>
      <c r="F1544" s="76"/>
      <c r="G1544" s="76"/>
      <c r="H1544" s="76"/>
      <c r="I1544" s="76"/>
      <c r="J1544" s="76"/>
      <c r="K1544" s="76"/>
      <c r="L1544" s="76"/>
      <c r="M1544" s="76" t="s">
        <v>5185</v>
      </c>
      <c r="N1544" s="76"/>
      <c r="O1544" s="76"/>
      <c r="P1544" s="76"/>
      <c r="Q1544" s="76"/>
      <c r="R1544" s="76"/>
      <c r="S1544" s="76"/>
      <c r="T1544" s="76"/>
      <c r="U1544" s="76" t="s">
        <v>5186</v>
      </c>
      <c r="V1544" s="76"/>
      <c r="W1544" s="76"/>
      <c r="X1544" s="76"/>
    </row>
    <row r="1545" ht="18.0" customHeight="1">
      <c r="A1545" s="76"/>
      <c r="B1545" s="76"/>
      <c r="C1545" s="76"/>
      <c r="D1545" s="76"/>
      <c r="E1545" s="76"/>
      <c r="F1545" s="76"/>
      <c r="G1545" s="76"/>
      <c r="H1545" s="76"/>
      <c r="I1545" s="76"/>
      <c r="J1545" s="76"/>
      <c r="K1545" s="76"/>
      <c r="L1545" s="76"/>
      <c r="M1545" s="76" t="s">
        <v>5187</v>
      </c>
      <c r="N1545" s="76"/>
      <c r="O1545" s="76"/>
      <c r="P1545" s="76"/>
      <c r="Q1545" s="76"/>
      <c r="R1545" s="76"/>
      <c r="S1545" s="76"/>
      <c r="T1545" s="76"/>
      <c r="U1545" s="76" t="s">
        <v>5188</v>
      </c>
      <c r="V1545" s="76"/>
      <c r="W1545" s="76"/>
      <c r="X1545" s="76"/>
    </row>
    <row r="1546" ht="18.0" customHeight="1">
      <c r="A1546" s="76"/>
      <c r="B1546" s="76"/>
      <c r="C1546" s="76"/>
      <c r="D1546" s="76"/>
      <c r="E1546" s="76"/>
      <c r="F1546" s="76"/>
      <c r="G1546" s="76"/>
      <c r="H1546" s="76"/>
      <c r="I1546" s="76"/>
      <c r="J1546" s="76"/>
      <c r="K1546" s="76"/>
      <c r="L1546" s="76"/>
      <c r="M1546" s="76" t="s">
        <v>5189</v>
      </c>
      <c r="N1546" s="76"/>
      <c r="O1546" s="76"/>
      <c r="P1546" s="76"/>
      <c r="Q1546" s="76"/>
      <c r="R1546" s="76"/>
      <c r="S1546" s="76"/>
      <c r="T1546" s="76"/>
      <c r="U1546" s="76" t="s">
        <v>5190</v>
      </c>
      <c r="V1546" s="76"/>
      <c r="W1546" s="76"/>
      <c r="X1546" s="76"/>
    </row>
    <row r="1547" ht="18.0" customHeight="1">
      <c r="A1547" s="76"/>
      <c r="B1547" s="76"/>
      <c r="C1547" s="76"/>
      <c r="D1547" s="76"/>
      <c r="E1547" s="76"/>
      <c r="F1547" s="76"/>
      <c r="G1547" s="76"/>
      <c r="H1547" s="76"/>
      <c r="I1547" s="76"/>
      <c r="J1547" s="76"/>
      <c r="K1547" s="76"/>
      <c r="L1547" s="76"/>
      <c r="M1547" s="76" t="s">
        <v>5191</v>
      </c>
      <c r="N1547" s="76"/>
      <c r="O1547" s="76"/>
      <c r="P1547" s="76"/>
      <c r="Q1547" s="76"/>
      <c r="R1547" s="76"/>
      <c r="S1547" s="76"/>
      <c r="T1547" s="76"/>
      <c r="U1547" s="76" t="s">
        <v>5192</v>
      </c>
      <c r="V1547" s="76"/>
      <c r="W1547" s="76"/>
      <c r="X1547" s="76"/>
    </row>
    <row r="1548" ht="18.0" customHeight="1">
      <c r="A1548" s="76"/>
      <c r="B1548" s="76"/>
      <c r="C1548" s="76"/>
      <c r="D1548" s="76"/>
      <c r="E1548" s="76"/>
      <c r="F1548" s="76"/>
      <c r="G1548" s="76"/>
      <c r="H1548" s="76"/>
      <c r="I1548" s="76"/>
      <c r="J1548" s="76"/>
      <c r="K1548" s="76"/>
      <c r="L1548" s="76"/>
      <c r="M1548" s="76" t="s">
        <v>5193</v>
      </c>
      <c r="N1548" s="76"/>
      <c r="O1548" s="76"/>
      <c r="P1548" s="76"/>
      <c r="Q1548" s="76"/>
      <c r="R1548" s="76"/>
      <c r="S1548" s="76"/>
      <c r="T1548" s="76"/>
      <c r="U1548" s="76" t="s">
        <v>5194</v>
      </c>
      <c r="V1548" s="76"/>
      <c r="W1548" s="76"/>
      <c r="X1548" s="76"/>
    </row>
    <row r="1549" ht="18.0" customHeight="1">
      <c r="A1549" s="76"/>
      <c r="B1549" s="76"/>
      <c r="C1549" s="76"/>
      <c r="D1549" s="76"/>
      <c r="E1549" s="76"/>
      <c r="F1549" s="76"/>
      <c r="G1549" s="76"/>
      <c r="H1549" s="76"/>
      <c r="I1549" s="76"/>
      <c r="J1549" s="76"/>
      <c r="K1549" s="76"/>
      <c r="L1549" s="76"/>
      <c r="M1549" s="76" t="s">
        <v>5195</v>
      </c>
      <c r="N1549" s="76"/>
      <c r="O1549" s="76"/>
      <c r="P1549" s="76"/>
      <c r="Q1549" s="76"/>
      <c r="R1549" s="76"/>
      <c r="S1549" s="76"/>
      <c r="T1549" s="76"/>
      <c r="U1549" s="76" t="s">
        <v>5196</v>
      </c>
      <c r="V1549" s="76"/>
      <c r="W1549" s="76"/>
      <c r="X1549" s="76"/>
    </row>
    <row r="1550" ht="18.0" customHeight="1">
      <c r="A1550" s="76"/>
      <c r="B1550" s="76"/>
      <c r="C1550" s="76"/>
      <c r="D1550" s="76"/>
      <c r="E1550" s="76"/>
      <c r="F1550" s="76"/>
      <c r="G1550" s="76"/>
      <c r="H1550" s="76"/>
      <c r="I1550" s="76"/>
      <c r="J1550" s="76"/>
      <c r="K1550" s="76"/>
      <c r="L1550" s="76"/>
      <c r="M1550" s="76" t="s">
        <v>5197</v>
      </c>
      <c r="N1550" s="76"/>
      <c r="O1550" s="76"/>
      <c r="P1550" s="76"/>
      <c r="Q1550" s="76"/>
      <c r="R1550" s="76"/>
      <c r="S1550" s="76"/>
      <c r="T1550" s="76"/>
      <c r="U1550" s="76" t="s">
        <v>5198</v>
      </c>
      <c r="V1550" s="76"/>
      <c r="W1550" s="76"/>
      <c r="X1550" s="76"/>
    </row>
    <row r="1551" ht="18.0" customHeight="1">
      <c r="A1551" s="76"/>
      <c r="B1551" s="76"/>
      <c r="C1551" s="76"/>
      <c r="D1551" s="76"/>
      <c r="E1551" s="76"/>
      <c r="F1551" s="76"/>
      <c r="G1551" s="76"/>
      <c r="H1551" s="76"/>
      <c r="I1551" s="76"/>
      <c r="J1551" s="76"/>
      <c r="K1551" s="76"/>
      <c r="L1551" s="76"/>
      <c r="M1551" s="76" t="s">
        <v>5199</v>
      </c>
      <c r="N1551" s="76"/>
      <c r="O1551" s="76"/>
      <c r="P1551" s="76"/>
      <c r="Q1551" s="76"/>
      <c r="R1551" s="76"/>
      <c r="S1551" s="76"/>
      <c r="T1551" s="76"/>
      <c r="U1551" s="76" t="s">
        <v>5200</v>
      </c>
      <c r="V1551" s="76"/>
      <c r="W1551" s="76"/>
      <c r="X1551" s="76"/>
    </row>
    <row r="1552" ht="18.0" customHeight="1">
      <c r="A1552" s="76"/>
      <c r="B1552" s="76"/>
      <c r="C1552" s="76"/>
      <c r="D1552" s="76"/>
      <c r="E1552" s="76"/>
      <c r="F1552" s="76"/>
      <c r="G1552" s="76"/>
      <c r="H1552" s="76"/>
      <c r="I1552" s="76"/>
      <c r="J1552" s="76"/>
      <c r="K1552" s="76"/>
      <c r="L1552" s="76"/>
      <c r="M1552" s="76" t="s">
        <v>5201</v>
      </c>
      <c r="N1552" s="76"/>
      <c r="O1552" s="76"/>
      <c r="P1552" s="76"/>
      <c r="Q1552" s="76"/>
      <c r="R1552" s="76"/>
      <c r="S1552" s="76"/>
      <c r="T1552" s="76"/>
      <c r="U1552" s="76" t="s">
        <v>5202</v>
      </c>
      <c r="V1552" s="76"/>
      <c r="W1552" s="76"/>
      <c r="X1552" s="76"/>
    </row>
    <row r="1553" ht="18.0" customHeight="1">
      <c r="A1553" s="76"/>
      <c r="B1553" s="76"/>
      <c r="C1553" s="76"/>
      <c r="D1553" s="76"/>
      <c r="E1553" s="76"/>
      <c r="F1553" s="76"/>
      <c r="G1553" s="76"/>
      <c r="H1553" s="76"/>
      <c r="I1553" s="76"/>
      <c r="J1553" s="76"/>
      <c r="K1553" s="76"/>
      <c r="L1553" s="76"/>
      <c r="M1553" s="76" t="s">
        <v>5203</v>
      </c>
      <c r="N1553" s="76"/>
      <c r="O1553" s="76"/>
      <c r="P1553" s="76"/>
      <c r="Q1553" s="76"/>
      <c r="R1553" s="76"/>
      <c r="S1553" s="76"/>
      <c r="T1553" s="76"/>
      <c r="U1553" s="76" t="s">
        <v>5204</v>
      </c>
      <c r="V1553" s="76"/>
      <c r="W1553" s="76"/>
      <c r="X1553" s="76"/>
    </row>
    <row r="1554" ht="18.0" customHeight="1">
      <c r="A1554" s="76"/>
      <c r="B1554" s="76"/>
      <c r="C1554" s="76"/>
      <c r="D1554" s="76"/>
      <c r="E1554" s="76"/>
      <c r="F1554" s="76"/>
      <c r="G1554" s="76"/>
      <c r="H1554" s="76"/>
      <c r="I1554" s="76"/>
      <c r="J1554" s="76"/>
      <c r="K1554" s="76"/>
      <c r="L1554" s="76"/>
      <c r="M1554" s="76" t="s">
        <v>5205</v>
      </c>
      <c r="N1554" s="76"/>
      <c r="O1554" s="76"/>
      <c r="P1554" s="76"/>
      <c r="Q1554" s="76"/>
      <c r="R1554" s="76"/>
      <c r="S1554" s="76"/>
      <c r="T1554" s="76"/>
      <c r="U1554" s="76" t="s">
        <v>5206</v>
      </c>
      <c r="V1554" s="76"/>
      <c r="W1554" s="76"/>
      <c r="X1554" s="76"/>
    </row>
    <row r="1555" ht="18.0" customHeight="1">
      <c r="A1555" s="76"/>
      <c r="B1555" s="76"/>
      <c r="C1555" s="76"/>
      <c r="D1555" s="76"/>
      <c r="E1555" s="76"/>
      <c r="F1555" s="76"/>
      <c r="G1555" s="76"/>
      <c r="H1555" s="76"/>
      <c r="I1555" s="76"/>
      <c r="J1555" s="76"/>
      <c r="K1555" s="76"/>
      <c r="L1555" s="76"/>
      <c r="M1555" s="76" t="s">
        <v>5207</v>
      </c>
      <c r="N1555" s="76"/>
      <c r="O1555" s="76"/>
      <c r="P1555" s="76"/>
      <c r="Q1555" s="76"/>
      <c r="R1555" s="76"/>
      <c r="S1555" s="76"/>
      <c r="T1555" s="76"/>
      <c r="U1555" s="76" t="s">
        <v>5208</v>
      </c>
      <c r="V1555" s="76"/>
      <c r="W1555" s="76"/>
      <c r="X1555" s="76"/>
    </row>
    <row r="1556" ht="18.0" customHeight="1">
      <c r="A1556" s="76"/>
      <c r="B1556" s="76"/>
      <c r="C1556" s="76"/>
      <c r="D1556" s="76"/>
      <c r="E1556" s="76"/>
      <c r="F1556" s="76"/>
      <c r="G1556" s="76"/>
      <c r="H1556" s="76"/>
      <c r="I1556" s="76"/>
      <c r="J1556" s="76"/>
      <c r="K1556" s="76"/>
      <c r="L1556" s="76"/>
      <c r="M1556" s="76" t="s">
        <v>5209</v>
      </c>
      <c r="N1556" s="76"/>
      <c r="O1556" s="76"/>
      <c r="P1556" s="76"/>
      <c r="Q1556" s="76"/>
      <c r="R1556" s="76"/>
      <c r="S1556" s="76"/>
      <c r="T1556" s="76"/>
      <c r="U1556" s="76" t="s">
        <v>5210</v>
      </c>
      <c r="V1556" s="76"/>
      <c r="W1556" s="76"/>
      <c r="X1556" s="76"/>
    </row>
    <row r="1557" ht="18.0" customHeight="1">
      <c r="A1557" s="76"/>
      <c r="B1557" s="76"/>
      <c r="C1557" s="76"/>
      <c r="D1557" s="76"/>
      <c r="E1557" s="76"/>
      <c r="F1557" s="76"/>
      <c r="G1557" s="76"/>
      <c r="H1557" s="76"/>
      <c r="I1557" s="76"/>
      <c r="J1557" s="76"/>
      <c r="K1557" s="76"/>
      <c r="L1557" s="76"/>
      <c r="M1557" s="76" t="s">
        <v>5211</v>
      </c>
      <c r="N1557" s="76"/>
      <c r="O1557" s="76"/>
      <c r="P1557" s="76"/>
      <c r="Q1557" s="76"/>
      <c r="R1557" s="76"/>
      <c r="S1557" s="76"/>
      <c r="T1557" s="76"/>
      <c r="U1557" s="76" t="s">
        <v>5212</v>
      </c>
      <c r="V1557" s="76"/>
      <c r="W1557" s="76"/>
      <c r="X1557" s="76"/>
    </row>
    <row r="1558" ht="18.0" customHeight="1">
      <c r="A1558" s="76"/>
      <c r="B1558" s="76"/>
      <c r="C1558" s="76"/>
      <c r="D1558" s="76"/>
      <c r="E1558" s="76"/>
      <c r="F1558" s="76"/>
      <c r="G1558" s="76"/>
      <c r="H1558" s="76"/>
      <c r="I1558" s="76"/>
      <c r="J1558" s="76"/>
      <c r="K1558" s="76"/>
      <c r="L1558" s="76"/>
      <c r="M1558" s="76" t="s">
        <v>5213</v>
      </c>
      <c r="N1558" s="76"/>
      <c r="O1558" s="76"/>
      <c r="P1558" s="76"/>
      <c r="Q1558" s="76"/>
      <c r="R1558" s="76"/>
      <c r="S1558" s="76"/>
      <c r="T1558" s="76"/>
      <c r="U1558" s="76" t="s">
        <v>5214</v>
      </c>
      <c r="V1558" s="76"/>
      <c r="W1558" s="76"/>
      <c r="X1558" s="76"/>
    </row>
    <row r="1559" ht="18.0" customHeight="1">
      <c r="A1559" s="76"/>
      <c r="B1559" s="76"/>
      <c r="C1559" s="76"/>
      <c r="D1559" s="76"/>
      <c r="E1559" s="76"/>
      <c r="F1559" s="76"/>
      <c r="G1559" s="76"/>
      <c r="H1559" s="76"/>
      <c r="I1559" s="76"/>
      <c r="J1559" s="76"/>
      <c r="K1559" s="76"/>
      <c r="L1559" s="76"/>
      <c r="M1559" s="76" t="s">
        <v>5215</v>
      </c>
      <c r="N1559" s="76"/>
      <c r="O1559" s="76"/>
      <c r="P1559" s="76"/>
      <c r="Q1559" s="76"/>
      <c r="R1559" s="76"/>
      <c r="S1559" s="76"/>
      <c r="T1559" s="76"/>
      <c r="U1559" s="76" t="s">
        <v>5216</v>
      </c>
      <c r="V1559" s="76"/>
      <c r="W1559" s="76"/>
      <c r="X1559" s="76"/>
    </row>
    <row r="1560" ht="18.0" customHeight="1">
      <c r="A1560" s="76"/>
      <c r="B1560" s="76"/>
      <c r="C1560" s="76"/>
      <c r="D1560" s="76"/>
      <c r="E1560" s="76"/>
      <c r="F1560" s="76"/>
      <c r="G1560" s="76"/>
      <c r="H1560" s="76"/>
      <c r="I1560" s="76"/>
      <c r="J1560" s="76"/>
      <c r="K1560" s="76"/>
      <c r="L1560" s="76"/>
      <c r="M1560" s="76" t="s">
        <v>5217</v>
      </c>
      <c r="N1560" s="76"/>
      <c r="O1560" s="76"/>
      <c r="P1560" s="76"/>
      <c r="Q1560" s="76"/>
      <c r="R1560" s="76"/>
      <c r="S1560" s="76"/>
      <c r="T1560" s="76"/>
      <c r="U1560" s="76" t="s">
        <v>5218</v>
      </c>
      <c r="V1560" s="76"/>
      <c r="W1560" s="76"/>
      <c r="X1560" s="76"/>
    </row>
    <row r="1561" ht="18.0" customHeight="1">
      <c r="A1561" s="76"/>
      <c r="B1561" s="76"/>
      <c r="C1561" s="76"/>
      <c r="D1561" s="76"/>
      <c r="E1561" s="76"/>
      <c r="F1561" s="76"/>
      <c r="G1561" s="76"/>
      <c r="H1561" s="76"/>
      <c r="I1561" s="76"/>
      <c r="J1561" s="76"/>
      <c r="K1561" s="76"/>
      <c r="L1561" s="76"/>
      <c r="M1561" s="76" t="s">
        <v>5219</v>
      </c>
      <c r="N1561" s="76"/>
      <c r="O1561" s="76"/>
      <c r="P1561" s="76"/>
      <c r="Q1561" s="76"/>
      <c r="R1561" s="76"/>
      <c r="S1561" s="76"/>
      <c r="T1561" s="76"/>
      <c r="U1561" s="76" t="s">
        <v>5220</v>
      </c>
      <c r="V1561" s="76"/>
      <c r="W1561" s="76"/>
      <c r="X1561" s="76"/>
    </row>
    <row r="1562" ht="18.0" customHeight="1">
      <c r="A1562" s="76"/>
      <c r="B1562" s="76"/>
      <c r="C1562" s="76"/>
      <c r="D1562" s="76"/>
      <c r="E1562" s="76"/>
      <c r="F1562" s="76"/>
      <c r="G1562" s="76"/>
      <c r="H1562" s="76"/>
      <c r="I1562" s="76"/>
      <c r="J1562" s="76"/>
      <c r="K1562" s="76"/>
      <c r="L1562" s="76"/>
      <c r="M1562" s="76" t="s">
        <v>5221</v>
      </c>
      <c r="N1562" s="76"/>
      <c r="O1562" s="76"/>
      <c r="P1562" s="76"/>
      <c r="Q1562" s="76"/>
      <c r="R1562" s="76"/>
      <c r="S1562" s="76"/>
      <c r="T1562" s="76"/>
      <c r="U1562" s="76" t="s">
        <v>5222</v>
      </c>
      <c r="V1562" s="76"/>
      <c r="W1562" s="76"/>
      <c r="X1562" s="76"/>
    </row>
    <row r="1563" ht="18.0" customHeight="1">
      <c r="A1563" s="76"/>
      <c r="B1563" s="76"/>
      <c r="C1563" s="76"/>
      <c r="D1563" s="76"/>
      <c r="E1563" s="76"/>
      <c r="F1563" s="76"/>
      <c r="G1563" s="76"/>
      <c r="H1563" s="76"/>
      <c r="I1563" s="76"/>
      <c r="J1563" s="76"/>
      <c r="K1563" s="76"/>
      <c r="L1563" s="76"/>
      <c r="M1563" s="76" t="s">
        <v>5223</v>
      </c>
      <c r="N1563" s="76"/>
      <c r="O1563" s="76"/>
      <c r="P1563" s="76"/>
      <c r="Q1563" s="76"/>
      <c r="R1563" s="76"/>
      <c r="S1563" s="76"/>
      <c r="T1563" s="76"/>
      <c r="U1563" s="76" t="s">
        <v>5224</v>
      </c>
      <c r="V1563" s="76"/>
      <c r="W1563" s="76"/>
      <c r="X1563" s="76"/>
    </row>
    <row r="1564" ht="18.0" customHeight="1">
      <c r="A1564" s="76"/>
      <c r="B1564" s="76"/>
      <c r="C1564" s="76"/>
      <c r="D1564" s="76"/>
      <c r="E1564" s="76"/>
      <c r="F1564" s="76"/>
      <c r="G1564" s="76"/>
      <c r="H1564" s="76"/>
      <c r="I1564" s="76"/>
      <c r="J1564" s="76"/>
      <c r="K1564" s="76"/>
      <c r="L1564" s="76"/>
      <c r="M1564" s="76" t="s">
        <v>5225</v>
      </c>
      <c r="N1564" s="76"/>
      <c r="O1564" s="76"/>
      <c r="P1564" s="76"/>
      <c r="Q1564" s="76"/>
      <c r="R1564" s="76"/>
      <c r="S1564" s="76"/>
      <c r="T1564" s="76"/>
      <c r="U1564" s="76" t="s">
        <v>5226</v>
      </c>
      <c r="V1564" s="76"/>
      <c r="W1564" s="76"/>
      <c r="X1564" s="76"/>
    </row>
    <row r="1565" ht="18.0" customHeight="1">
      <c r="A1565" s="76"/>
      <c r="B1565" s="76"/>
      <c r="C1565" s="76"/>
      <c r="D1565" s="76"/>
      <c r="E1565" s="76"/>
      <c r="F1565" s="76"/>
      <c r="G1565" s="76"/>
      <c r="H1565" s="76"/>
      <c r="I1565" s="76"/>
      <c r="J1565" s="76"/>
      <c r="K1565" s="76"/>
      <c r="L1565" s="76"/>
      <c r="M1565" s="76" t="s">
        <v>5227</v>
      </c>
      <c r="N1565" s="76"/>
      <c r="O1565" s="76"/>
      <c r="P1565" s="76"/>
      <c r="Q1565" s="76"/>
      <c r="R1565" s="76"/>
      <c r="S1565" s="76"/>
      <c r="T1565" s="76"/>
      <c r="U1565" s="76" t="s">
        <v>5228</v>
      </c>
      <c r="V1565" s="76"/>
      <c r="W1565" s="76"/>
      <c r="X1565" s="76"/>
    </row>
    <row r="1566" ht="18.0" customHeight="1">
      <c r="A1566" s="76"/>
      <c r="B1566" s="76"/>
      <c r="C1566" s="76"/>
      <c r="D1566" s="76"/>
      <c r="E1566" s="76"/>
      <c r="F1566" s="76"/>
      <c r="G1566" s="76"/>
      <c r="H1566" s="76"/>
      <c r="I1566" s="76"/>
      <c r="J1566" s="76"/>
      <c r="K1566" s="76"/>
      <c r="L1566" s="76"/>
      <c r="M1566" s="76" t="s">
        <v>5229</v>
      </c>
      <c r="N1566" s="76"/>
      <c r="O1566" s="76"/>
      <c r="P1566" s="76"/>
      <c r="Q1566" s="76"/>
      <c r="R1566" s="76"/>
      <c r="S1566" s="76"/>
      <c r="T1566" s="76"/>
      <c r="U1566" s="76" t="s">
        <v>5230</v>
      </c>
      <c r="V1566" s="76"/>
      <c r="W1566" s="76"/>
      <c r="X1566" s="76"/>
    </row>
    <row r="1567" ht="18.0" customHeight="1">
      <c r="A1567" s="76"/>
      <c r="B1567" s="76"/>
      <c r="C1567" s="76"/>
      <c r="D1567" s="76"/>
      <c r="E1567" s="76"/>
      <c r="F1567" s="76"/>
      <c r="G1567" s="76"/>
      <c r="H1567" s="76"/>
      <c r="I1567" s="76"/>
      <c r="J1567" s="76"/>
      <c r="K1567" s="76"/>
      <c r="L1567" s="76"/>
      <c r="M1567" s="76" t="s">
        <v>5231</v>
      </c>
      <c r="N1567" s="76"/>
      <c r="O1567" s="76"/>
      <c r="P1567" s="76"/>
      <c r="Q1567" s="76"/>
      <c r="R1567" s="76"/>
      <c r="S1567" s="76"/>
      <c r="T1567" s="76"/>
      <c r="U1567" s="76" t="s">
        <v>5232</v>
      </c>
      <c r="V1567" s="76"/>
      <c r="W1567" s="76"/>
      <c r="X1567" s="76"/>
    </row>
    <row r="1568" ht="18.0" customHeight="1">
      <c r="A1568" s="76"/>
      <c r="B1568" s="76"/>
      <c r="C1568" s="76"/>
      <c r="D1568" s="76"/>
      <c r="E1568" s="76"/>
      <c r="F1568" s="76"/>
      <c r="G1568" s="76"/>
      <c r="H1568" s="76"/>
      <c r="I1568" s="76"/>
      <c r="J1568" s="76"/>
      <c r="K1568" s="76"/>
      <c r="L1568" s="76"/>
      <c r="M1568" s="76" t="s">
        <v>5233</v>
      </c>
      <c r="N1568" s="76"/>
      <c r="O1568" s="76"/>
      <c r="P1568" s="76"/>
      <c r="Q1568" s="76"/>
      <c r="R1568" s="76"/>
      <c r="S1568" s="76"/>
      <c r="T1568" s="76"/>
      <c r="U1568" s="76" t="s">
        <v>5234</v>
      </c>
      <c r="V1568" s="76"/>
      <c r="W1568" s="76"/>
      <c r="X1568" s="76"/>
    </row>
    <row r="1569" ht="18.0" customHeight="1">
      <c r="A1569" s="76"/>
      <c r="B1569" s="76"/>
      <c r="C1569" s="76"/>
      <c r="D1569" s="76"/>
      <c r="E1569" s="76"/>
      <c r="F1569" s="76"/>
      <c r="G1569" s="76"/>
      <c r="H1569" s="76"/>
      <c r="I1569" s="76"/>
      <c r="J1569" s="76"/>
      <c r="K1569" s="76"/>
      <c r="L1569" s="76"/>
      <c r="M1569" s="76" t="s">
        <v>2314</v>
      </c>
      <c r="N1569" s="76"/>
      <c r="O1569" s="76"/>
      <c r="P1569" s="76"/>
      <c r="Q1569" s="76"/>
      <c r="R1569" s="76"/>
      <c r="S1569" s="76"/>
      <c r="T1569" s="76"/>
      <c r="U1569" s="76" t="s">
        <v>5235</v>
      </c>
      <c r="V1569" s="76"/>
      <c r="W1569" s="76"/>
      <c r="X1569" s="76"/>
    </row>
    <row r="1570" ht="18.0" customHeight="1">
      <c r="A1570" s="76"/>
      <c r="B1570" s="76"/>
      <c r="C1570" s="76"/>
      <c r="D1570" s="76"/>
      <c r="E1570" s="76"/>
      <c r="F1570" s="76"/>
      <c r="G1570" s="76"/>
      <c r="H1570" s="76"/>
      <c r="I1570" s="76"/>
      <c r="J1570" s="76"/>
      <c r="K1570" s="76"/>
      <c r="L1570" s="76"/>
      <c r="M1570" s="76" t="s">
        <v>5236</v>
      </c>
      <c r="N1570" s="76"/>
      <c r="O1570" s="76"/>
      <c r="P1570" s="76"/>
      <c r="Q1570" s="76"/>
      <c r="R1570" s="76"/>
      <c r="S1570" s="76"/>
      <c r="T1570" s="76"/>
      <c r="U1570" s="76" t="s">
        <v>5237</v>
      </c>
      <c r="V1570" s="76"/>
      <c r="W1570" s="76"/>
      <c r="X1570" s="76"/>
    </row>
    <row r="1571" ht="18.0" customHeight="1">
      <c r="A1571" s="76"/>
      <c r="B1571" s="76"/>
      <c r="C1571" s="76"/>
      <c r="D1571" s="76"/>
      <c r="E1571" s="76"/>
      <c r="F1571" s="76"/>
      <c r="G1571" s="76"/>
      <c r="H1571" s="76"/>
      <c r="I1571" s="76"/>
      <c r="J1571" s="76"/>
      <c r="K1571" s="76"/>
      <c r="L1571" s="76"/>
      <c r="M1571" s="76" t="s">
        <v>2452</v>
      </c>
      <c r="N1571" s="76"/>
      <c r="O1571" s="76"/>
      <c r="P1571" s="76"/>
      <c r="Q1571" s="76"/>
      <c r="R1571" s="76"/>
      <c r="S1571" s="76"/>
      <c r="T1571" s="76"/>
      <c r="U1571" s="76" t="s">
        <v>5238</v>
      </c>
      <c r="V1571" s="76"/>
      <c r="W1571" s="76"/>
      <c r="X1571" s="76"/>
    </row>
    <row r="1572" ht="18.0" customHeight="1">
      <c r="A1572" s="76"/>
      <c r="B1572" s="76"/>
      <c r="C1572" s="76"/>
      <c r="D1572" s="76"/>
      <c r="E1572" s="76"/>
      <c r="F1572" s="76"/>
      <c r="G1572" s="76"/>
      <c r="H1572" s="76"/>
      <c r="I1572" s="76"/>
      <c r="J1572" s="76"/>
      <c r="K1572" s="76"/>
      <c r="L1572" s="76"/>
      <c r="M1572" s="76" t="s">
        <v>2337</v>
      </c>
      <c r="N1572" s="76"/>
      <c r="O1572" s="76"/>
      <c r="P1572" s="76"/>
      <c r="Q1572" s="76"/>
      <c r="R1572" s="76"/>
      <c r="S1572" s="76"/>
      <c r="T1572" s="76"/>
      <c r="U1572" s="76" t="s">
        <v>5239</v>
      </c>
      <c r="V1572" s="76"/>
      <c r="W1572" s="76"/>
      <c r="X1572" s="76"/>
    </row>
    <row r="1573" ht="18.0" customHeight="1">
      <c r="A1573" s="76"/>
      <c r="B1573" s="76"/>
      <c r="C1573" s="76"/>
      <c r="D1573" s="76"/>
      <c r="E1573" s="76"/>
      <c r="F1573" s="76"/>
      <c r="G1573" s="76"/>
      <c r="H1573" s="76"/>
      <c r="I1573" s="76"/>
      <c r="J1573" s="76"/>
      <c r="K1573" s="76"/>
      <c r="L1573" s="76"/>
      <c r="M1573" s="76" t="s">
        <v>1110</v>
      </c>
      <c r="N1573" s="76"/>
      <c r="O1573" s="76"/>
      <c r="P1573" s="76"/>
      <c r="Q1573" s="76"/>
      <c r="R1573" s="76"/>
      <c r="S1573" s="76"/>
      <c r="T1573" s="76"/>
      <c r="U1573" s="76" t="s">
        <v>5240</v>
      </c>
      <c r="V1573" s="76"/>
      <c r="W1573" s="76"/>
      <c r="X1573" s="76"/>
    </row>
    <row r="1574" ht="18.0" customHeight="1">
      <c r="A1574" s="76"/>
      <c r="B1574" s="76"/>
      <c r="C1574" s="76"/>
      <c r="D1574" s="76"/>
      <c r="E1574" s="76"/>
      <c r="F1574" s="76"/>
      <c r="G1574" s="76"/>
      <c r="H1574" s="76"/>
      <c r="I1574" s="76"/>
      <c r="J1574" s="76"/>
      <c r="K1574" s="76"/>
      <c r="L1574" s="76"/>
      <c r="M1574" s="76" t="s">
        <v>5241</v>
      </c>
      <c r="N1574" s="76"/>
      <c r="O1574" s="76"/>
      <c r="P1574" s="76"/>
      <c r="Q1574" s="76"/>
      <c r="R1574" s="76"/>
      <c r="S1574" s="76"/>
      <c r="T1574" s="76"/>
      <c r="U1574" s="76" t="s">
        <v>5242</v>
      </c>
      <c r="V1574" s="76"/>
      <c r="W1574" s="76"/>
      <c r="X1574" s="76"/>
    </row>
    <row r="1575" ht="18.0" customHeight="1">
      <c r="A1575" s="76"/>
      <c r="B1575" s="76"/>
      <c r="C1575" s="76"/>
      <c r="D1575" s="76"/>
      <c r="E1575" s="76"/>
      <c r="F1575" s="76"/>
      <c r="G1575" s="76"/>
      <c r="H1575" s="76"/>
      <c r="I1575" s="76"/>
      <c r="J1575" s="76"/>
      <c r="K1575" s="76"/>
      <c r="L1575" s="76"/>
      <c r="M1575" s="76" t="s">
        <v>2447</v>
      </c>
      <c r="N1575" s="76"/>
      <c r="O1575" s="76"/>
      <c r="P1575" s="76"/>
      <c r="Q1575" s="76"/>
      <c r="R1575" s="76"/>
      <c r="S1575" s="76"/>
      <c r="T1575" s="76"/>
      <c r="U1575" s="76" t="s">
        <v>5243</v>
      </c>
      <c r="V1575" s="76"/>
      <c r="W1575" s="76"/>
      <c r="X1575" s="76"/>
    </row>
    <row r="1576" ht="18.0" customHeight="1">
      <c r="A1576" s="76"/>
      <c r="B1576" s="76"/>
      <c r="C1576" s="76"/>
      <c r="D1576" s="76"/>
      <c r="E1576" s="76"/>
      <c r="F1576" s="76"/>
      <c r="G1576" s="76"/>
      <c r="H1576" s="76"/>
      <c r="I1576" s="76"/>
      <c r="J1576" s="76"/>
      <c r="K1576" s="76"/>
      <c r="L1576" s="76"/>
      <c r="M1576" s="76" t="s">
        <v>2348</v>
      </c>
      <c r="N1576" s="76"/>
      <c r="O1576" s="76"/>
      <c r="P1576" s="76"/>
      <c r="Q1576" s="76"/>
      <c r="R1576" s="76"/>
      <c r="S1576" s="76"/>
      <c r="T1576" s="76"/>
      <c r="U1576" s="76" t="s">
        <v>5244</v>
      </c>
      <c r="V1576" s="76"/>
      <c r="W1576" s="76"/>
      <c r="X1576" s="76"/>
    </row>
    <row r="1577" ht="18.0" customHeight="1">
      <c r="A1577" s="76"/>
      <c r="B1577" s="76"/>
      <c r="C1577" s="76"/>
      <c r="D1577" s="76"/>
      <c r="E1577" s="76"/>
      <c r="F1577" s="76"/>
      <c r="G1577" s="76"/>
      <c r="H1577" s="76"/>
      <c r="I1577" s="76"/>
      <c r="J1577" s="76"/>
      <c r="K1577" s="76"/>
      <c r="L1577" s="76"/>
      <c r="M1577" s="76" t="s">
        <v>5245</v>
      </c>
      <c r="N1577" s="76"/>
      <c r="O1577" s="76"/>
      <c r="P1577" s="76"/>
      <c r="Q1577" s="76"/>
      <c r="R1577" s="76"/>
      <c r="S1577" s="76"/>
      <c r="T1577" s="76"/>
      <c r="U1577" s="76" t="s">
        <v>5246</v>
      </c>
      <c r="V1577" s="76"/>
      <c r="W1577" s="76"/>
      <c r="X1577" s="76"/>
    </row>
    <row r="1578" ht="18.0" customHeight="1">
      <c r="A1578" s="76"/>
      <c r="B1578" s="76"/>
      <c r="C1578" s="76"/>
      <c r="D1578" s="76"/>
      <c r="E1578" s="76"/>
      <c r="F1578" s="76"/>
      <c r="G1578" s="76"/>
      <c r="H1578" s="76"/>
      <c r="I1578" s="76"/>
      <c r="J1578" s="76"/>
      <c r="K1578" s="76"/>
      <c r="L1578" s="76"/>
      <c r="M1578" s="76" t="s">
        <v>5247</v>
      </c>
      <c r="N1578" s="76"/>
      <c r="O1578" s="76"/>
      <c r="P1578" s="76"/>
      <c r="Q1578" s="76"/>
      <c r="R1578" s="76"/>
      <c r="S1578" s="76"/>
      <c r="T1578" s="76"/>
      <c r="U1578" s="76" t="s">
        <v>5248</v>
      </c>
      <c r="V1578" s="76"/>
      <c r="W1578" s="76"/>
      <c r="X1578" s="76"/>
    </row>
    <row r="1579" ht="18.0" customHeight="1">
      <c r="A1579" s="76"/>
      <c r="B1579" s="76"/>
      <c r="C1579" s="76"/>
      <c r="D1579" s="76"/>
      <c r="E1579" s="76"/>
      <c r="F1579" s="76"/>
      <c r="G1579" s="76"/>
      <c r="H1579" s="76"/>
      <c r="I1579" s="76"/>
      <c r="J1579" s="76"/>
      <c r="K1579" s="76"/>
      <c r="L1579" s="76"/>
      <c r="M1579" s="76" t="s">
        <v>2308</v>
      </c>
      <c r="N1579" s="76"/>
      <c r="O1579" s="76"/>
      <c r="P1579" s="76"/>
      <c r="Q1579" s="76"/>
      <c r="R1579" s="76"/>
      <c r="S1579" s="76"/>
      <c r="T1579" s="76"/>
      <c r="U1579" s="76" t="s">
        <v>5249</v>
      </c>
      <c r="V1579" s="76"/>
      <c r="W1579" s="76"/>
      <c r="X1579" s="76"/>
    </row>
    <row r="1580" ht="18.0" customHeight="1">
      <c r="A1580" s="76"/>
      <c r="B1580" s="76"/>
      <c r="C1580" s="76"/>
      <c r="D1580" s="76"/>
      <c r="E1580" s="76"/>
      <c r="F1580" s="76"/>
      <c r="G1580" s="76"/>
      <c r="H1580" s="76"/>
      <c r="I1580" s="76"/>
      <c r="J1580" s="76"/>
      <c r="K1580" s="76"/>
      <c r="L1580" s="76"/>
      <c r="M1580" s="76" t="s">
        <v>5250</v>
      </c>
      <c r="N1580" s="76"/>
      <c r="O1580" s="76"/>
      <c r="P1580" s="76"/>
      <c r="Q1580" s="76"/>
      <c r="R1580" s="76"/>
      <c r="S1580" s="76"/>
      <c r="T1580" s="76"/>
      <c r="U1580" s="76" t="s">
        <v>5251</v>
      </c>
      <c r="V1580" s="76"/>
      <c r="W1580" s="76"/>
      <c r="X1580" s="76"/>
    </row>
    <row r="1581" ht="18.0" customHeight="1">
      <c r="A1581" s="76"/>
      <c r="B1581" s="76"/>
      <c r="C1581" s="76"/>
      <c r="D1581" s="76"/>
      <c r="E1581" s="76"/>
      <c r="F1581" s="76"/>
      <c r="G1581" s="76"/>
      <c r="H1581" s="76"/>
      <c r="I1581" s="76"/>
      <c r="J1581" s="76"/>
      <c r="K1581" s="76"/>
      <c r="L1581" s="76"/>
      <c r="M1581" s="76" t="s">
        <v>2361</v>
      </c>
      <c r="N1581" s="76"/>
      <c r="O1581" s="76"/>
      <c r="P1581" s="76"/>
      <c r="Q1581" s="76"/>
      <c r="R1581" s="76"/>
      <c r="S1581" s="76"/>
      <c r="T1581" s="76"/>
      <c r="U1581" s="76" t="s">
        <v>5252</v>
      </c>
      <c r="V1581" s="76"/>
      <c r="W1581" s="76"/>
      <c r="X1581" s="76"/>
    </row>
    <row r="1582" ht="18.0" customHeight="1">
      <c r="A1582" s="76"/>
      <c r="B1582" s="76"/>
      <c r="C1582" s="76"/>
      <c r="D1582" s="76"/>
      <c r="E1582" s="76"/>
      <c r="F1582" s="76"/>
      <c r="G1582" s="76"/>
      <c r="H1582" s="76"/>
      <c r="I1582" s="76"/>
      <c r="J1582" s="76"/>
      <c r="K1582" s="76"/>
      <c r="L1582" s="76"/>
      <c r="M1582" s="76" t="s">
        <v>1167</v>
      </c>
      <c r="N1582" s="76"/>
      <c r="O1582" s="76"/>
      <c r="P1582" s="76"/>
      <c r="Q1582" s="76"/>
      <c r="R1582" s="76"/>
      <c r="S1582" s="76"/>
      <c r="T1582" s="76"/>
      <c r="U1582" s="76" t="s">
        <v>5253</v>
      </c>
      <c r="V1582" s="76"/>
      <c r="W1582" s="76"/>
      <c r="X1582" s="76"/>
    </row>
    <row r="1583" ht="18.0" customHeight="1">
      <c r="A1583" s="76"/>
      <c r="B1583" s="76"/>
      <c r="C1583" s="76"/>
      <c r="D1583" s="76"/>
      <c r="E1583" s="76"/>
      <c r="F1583" s="76"/>
      <c r="G1583" s="76"/>
      <c r="H1583" s="76"/>
      <c r="I1583" s="76"/>
      <c r="J1583" s="76"/>
      <c r="K1583" s="76"/>
      <c r="L1583" s="76"/>
      <c r="M1583" s="76" t="s">
        <v>5254</v>
      </c>
      <c r="N1583" s="76"/>
      <c r="O1583" s="76"/>
      <c r="P1583" s="76"/>
      <c r="Q1583" s="76"/>
      <c r="R1583" s="76"/>
      <c r="S1583" s="76"/>
      <c r="T1583" s="76"/>
      <c r="U1583" s="76" t="s">
        <v>5255</v>
      </c>
      <c r="V1583" s="76"/>
      <c r="W1583" s="76"/>
      <c r="X1583" s="76"/>
    </row>
    <row r="1584" ht="18.0" customHeight="1">
      <c r="A1584" s="76"/>
      <c r="B1584" s="76"/>
      <c r="C1584" s="76"/>
      <c r="D1584" s="76"/>
      <c r="E1584" s="76"/>
      <c r="F1584" s="76"/>
      <c r="G1584" s="76"/>
      <c r="H1584" s="76"/>
      <c r="I1584" s="76"/>
      <c r="J1584" s="76"/>
      <c r="K1584" s="76"/>
      <c r="L1584" s="76"/>
      <c r="M1584" s="76" t="s">
        <v>2391</v>
      </c>
      <c r="N1584" s="76"/>
      <c r="O1584" s="76"/>
      <c r="P1584" s="76"/>
      <c r="Q1584" s="76"/>
      <c r="R1584" s="76"/>
      <c r="S1584" s="76"/>
      <c r="T1584" s="76"/>
      <c r="U1584" s="76" t="s">
        <v>5256</v>
      </c>
      <c r="V1584" s="76"/>
      <c r="W1584" s="76"/>
      <c r="X1584" s="76"/>
    </row>
    <row r="1585" ht="18.0" customHeight="1">
      <c r="A1585" s="76"/>
      <c r="B1585" s="76"/>
      <c r="C1585" s="76"/>
      <c r="D1585" s="76"/>
      <c r="E1585" s="76"/>
      <c r="F1585" s="76"/>
      <c r="G1585" s="76"/>
      <c r="H1585" s="76"/>
      <c r="I1585" s="76"/>
      <c r="J1585" s="76"/>
      <c r="K1585" s="76"/>
      <c r="L1585" s="76"/>
      <c r="M1585" s="76" t="s">
        <v>5241</v>
      </c>
      <c r="N1585" s="76"/>
      <c r="O1585" s="76"/>
      <c r="P1585" s="76"/>
      <c r="Q1585" s="76"/>
      <c r="R1585" s="76"/>
      <c r="S1585" s="76"/>
      <c r="T1585" s="76"/>
      <c r="U1585" s="76" t="s">
        <v>5257</v>
      </c>
      <c r="V1585" s="76"/>
      <c r="W1585" s="76"/>
      <c r="X1585" s="76"/>
    </row>
    <row r="1586" ht="18.0" customHeight="1">
      <c r="A1586" s="76"/>
      <c r="B1586" s="76"/>
      <c r="C1586" s="76"/>
      <c r="D1586" s="76"/>
      <c r="E1586" s="76"/>
      <c r="F1586" s="76"/>
      <c r="G1586" s="76"/>
      <c r="H1586" s="76"/>
      <c r="I1586" s="76"/>
      <c r="J1586" s="76"/>
      <c r="K1586" s="76"/>
      <c r="L1586" s="76"/>
      <c r="M1586" s="76" t="s">
        <v>5258</v>
      </c>
      <c r="N1586" s="76"/>
      <c r="O1586" s="76"/>
      <c r="P1586" s="76"/>
      <c r="Q1586" s="76"/>
      <c r="R1586" s="76"/>
      <c r="S1586" s="76"/>
      <c r="T1586" s="76"/>
      <c r="U1586" s="76" t="s">
        <v>5259</v>
      </c>
      <c r="V1586" s="76"/>
      <c r="W1586" s="76"/>
      <c r="X1586" s="76"/>
    </row>
    <row r="1587" ht="18.0" customHeight="1">
      <c r="A1587" s="76"/>
      <c r="B1587" s="76"/>
      <c r="C1587" s="76"/>
      <c r="D1587" s="76"/>
      <c r="E1587" s="76"/>
      <c r="F1587" s="76"/>
      <c r="G1587" s="76"/>
      <c r="H1587" s="76"/>
      <c r="I1587" s="76"/>
      <c r="J1587" s="76"/>
      <c r="K1587" s="76"/>
      <c r="L1587" s="76"/>
      <c r="M1587" s="76" t="s">
        <v>5260</v>
      </c>
      <c r="N1587" s="76"/>
      <c r="O1587" s="76"/>
      <c r="P1587" s="76"/>
      <c r="Q1587" s="76"/>
      <c r="R1587" s="76"/>
      <c r="S1587" s="76"/>
      <c r="T1587" s="76"/>
      <c r="U1587" s="76" t="s">
        <v>5261</v>
      </c>
      <c r="V1587" s="76"/>
      <c r="W1587" s="76"/>
      <c r="X1587" s="76"/>
    </row>
    <row r="1588" ht="18.0" customHeight="1">
      <c r="A1588" s="76"/>
      <c r="B1588" s="76"/>
      <c r="C1588" s="76"/>
      <c r="D1588" s="76"/>
      <c r="E1588" s="76"/>
      <c r="F1588" s="76"/>
      <c r="G1588" s="76"/>
      <c r="H1588" s="76"/>
      <c r="I1588" s="76"/>
      <c r="J1588" s="76"/>
      <c r="K1588" s="76"/>
      <c r="L1588" s="76"/>
      <c r="M1588" s="76" t="s">
        <v>5262</v>
      </c>
      <c r="N1588" s="76"/>
      <c r="O1588" s="76"/>
      <c r="P1588" s="76"/>
      <c r="Q1588" s="76"/>
      <c r="R1588" s="76"/>
      <c r="S1588" s="76"/>
      <c r="T1588" s="76"/>
      <c r="U1588" s="76" t="s">
        <v>5263</v>
      </c>
      <c r="V1588" s="76"/>
      <c r="W1588" s="76"/>
      <c r="X1588" s="76"/>
    </row>
    <row r="1589" ht="18.0" customHeight="1">
      <c r="A1589" s="76"/>
      <c r="B1589" s="76"/>
      <c r="C1589" s="76"/>
      <c r="D1589" s="76"/>
      <c r="E1589" s="76"/>
      <c r="F1589" s="76"/>
      <c r="G1589" s="76"/>
      <c r="H1589" s="76"/>
      <c r="I1589" s="76"/>
      <c r="J1589" s="76"/>
      <c r="K1589" s="76"/>
      <c r="L1589" s="76"/>
      <c r="M1589" s="76" t="s">
        <v>2358</v>
      </c>
      <c r="N1589" s="76"/>
      <c r="O1589" s="76"/>
      <c r="P1589" s="76"/>
      <c r="Q1589" s="76"/>
      <c r="R1589" s="76"/>
      <c r="S1589" s="76"/>
      <c r="T1589" s="76"/>
      <c r="U1589" s="76" t="s">
        <v>5264</v>
      </c>
      <c r="V1589" s="76"/>
      <c r="W1589" s="76"/>
      <c r="X1589" s="76"/>
    </row>
    <row r="1590" ht="18.0" customHeight="1">
      <c r="A1590" s="76"/>
      <c r="B1590" s="76"/>
      <c r="C1590" s="76"/>
      <c r="D1590" s="76"/>
      <c r="E1590" s="76"/>
      <c r="F1590" s="76"/>
      <c r="G1590" s="76"/>
      <c r="H1590" s="76"/>
      <c r="I1590" s="76"/>
      <c r="J1590" s="76"/>
      <c r="K1590" s="76"/>
      <c r="L1590" s="76"/>
      <c r="M1590" s="76" t="s">
        <v>4348</v>
      </c>
      <c r="N1590" s="76"/>
      <c r="O1590" s="76"/>
      <c r="P1590" s="76"/>
      <c r="Q1590" s="76"/>
      <c r="R1590" s="76"/>
      <c r="S1590" s="76"/>
      <c r="T1590" s="76"/>
      <c r="U1590" s="76" t="s">
        <v>5265</v>
      </c>
      <c r="V1590" s="76"/>
      <c r="W1590" s="76"/>
      <c r="X1590" s="76"/>
    </row>
    <row r="1591" ht="18.0" customHeight="1">
      <c r="A1591" s="76"/>
      <c r="B1591" s="76"/>
      <c r="C1591" s="76"/>
      <c r="D1591" s="76"/>
      <c r="E1591" s="76"/>
      <c r="F1591" s="76"/>
      <c r="G1591" s="76"/>
      <c r="H1591" s="76"/>
      <c r="I1591" s="76"/>
      <c r="J1591" s="76"/>
      <c r="K1591" s="76"/>
      <c r="L1591" s="76"/>
      <c r="M1591" s="76" t="s">
        <v>5236</v>
      </c>
      <c r="N1591" s="76"/>
      <c r="O1591" s="76"/>
      <c r="P1591" s="76"/>
      <c r="Q1591" s="76"/>
      <c r="R1591" s="76"/>
      <c r="S1591" s="76"/>
      <c r="T1591" s="76"/>
      <c r="U1591" s="76" t="s">
        <v>5266</v>
      </c>
      <c r="V1591" s="76"/>
      <c r="W1591" s="76"/>
      <c r="X1591" s="76"/>
    </row>
    <row r="1592" ht="18.0" customHeight="1">
      <c r="A1592" s="76"/>
      <c r="B1592" s="76"/>
      <c r="C1592" s="76"/>
      <c r="D1592" s="76"/>
      <c r="E1592" s="76"/>
      <c r="F1592" s="76"/>
      <c r="G1592" s="76"/>
      <c r="H1592" s="76"/>
      <c r="I1592" s="76"/>
      <c r="J1592" s="76"/>
      <c r="K1592" s="76"/>
      <c r="L1592" s="76"/>
      <c r="M1592" s="76" t="s">
        <v>2425</v>
      </c>
      <c r="N1592" s="76"/>
      <c r="O1592" s="76"/>
      <c r="P1592" s="76"/>
      <c r="Q1592" s="76"/>
      <c r="R1592" s="76"/>
      <c r="S1592" s="76"/>
      <c r="T1592" s="76"/>
      <c r="U1592" s="76" t="s">
        <v>5267</v>
      </c>
      <c r="V1592" s="76"/>
      <c r="W1592" s="76"/>
      <c r="X1592" s="76"/>
    </row>
    <row r="1593" ht="18.0" customHeight="1">
      <c r="A1593" s="76"/>
      <c r="B1593" s="76"/>
      <c r="C1593" s="76"/>
      <c r="D1593" s="76"/>
      <c r="E1593" s="76"/>
      <c r="F1593" s="76"/>
      <c r="G1593" s="76"/>
      <c r="H1593" s="76"/>
      <c r="I1593" s="76"/>
      <c r="J1593" s="76"/>
      <c r="K1593" s="76"/>
      <c r="L1593" s="76"/>
      <c r="M1593" s="76" t="s">
        <v>4342</v>
      </c>
      <c r="N1593" s="76"/>
      <c r="O1593" s="76"/>
      <c r="P1593" s="76"/>
      <c r="Q1593" s="76"/>
      <c r="R1593" s="76"/>
      <c r="S1593" s="76"/>
      <c r="T1593" s="76"/>
      <c r="U1593" s="76" t="s">
        <v>5268</v>
      </c>
      <c r="V1593" s="76"/>
      <c r="W1593" s="76"/>
      <c r="X1593" s="76"/>
    </row>
    <row r="1594" ht="18.0" customHeight="1">
      <c r="A1594" s="76"/>
      <c r="B1594" s="76"/>
      <c r="C1594" s="76"/>
      <c r="D1594" s="76"/>
      <c r="E1594" s="76"/>
      <c r="F1594" s="76"/>
      <c r="G1594" s="76"/>
      <c r="H1594" s="76"/>
      <c r="I1594" s="76"/>
      <c r="J1594" s="76"/>
      <c r="K1594" s="76"/>
      <c r="L1594" s="76"/>
      <c r="M1594" s="76" t="s">
        <v>5269</v>
      </c>
      <c r="N1594" s="76"/>
      <c r="O1594" s="76"/>
      <c r="P1594" s="76"/>
      <c r="Q1594" s="76"/>
      <c r="R1594" s="76"/>
      <c r="S1594" s="76"/>
      <c r="T1594" s="76"/>
      <c r="U1594" s="76" t="s">
        <v>5270</v>
      </c>
      <c r="V1594" s="76"/>
      <c r="W1594" s="76"/>
      <c r="X1594" s="76"/>
    </row>
    <row r="1595" ht="18.0" customHeight="1">
      <c r="A1595" s="76"/>
      <c r="B1595" s="76"/>
      <c r="C1595" s="76"/>
      <c r="D1595" s="76"/>
      <c r="E1595" s="76"/>
      <c r="F1595" s="76"/>
      <c r="G1595" s="76"/>
      <c r="H1595" s="76"/>
      <c r="I1595" s="76"/>
      <c r="J1595" s="76"/>
      <c r="K1595" s="76"/>
      <c r="L1595" s="76"/>
      <c r="M1595" s="76" t="s">
        <v>4280</v>
      </c>
      <c r="N1595" s="76"/>
      <c r="O1595" s="76"/>
      <c r="P1595" s="76"/>
      <c r="Q1595" s="76"/>
      <c r="R1595" s="76"/>
      <c r="S1595" s="76"/>
      <c r="T1595" s="76"/>
      <c r="U1595" s="76" t="s">
        <v>5271</v>
      </c>
      <c r="V1595" s="76"/>
      <c r="W1595" s="76"/>
      <c r="X1595" s="76"/>
    </row>
    <row r="1596" ht="18.0" customHeight="1">
      <c r="A1596" s="76"/>
      <c r="B1596" s="76"/>
      <c r="C1596" s="76"/>
      <c r="D1596" s="76"/>
      <c r="E1596" s="76"/>
      <c r="F1596" s="76"/>
      <c r="G1596" s="76"/>
      <c r="H1596" s="76"/>
      <c r="I1596" s="76"/>
      <c r="J1596" s="76"/>
      <c r="K1596" s="76"/>
      <c r="L1596" s="76"/>
      <c r="M1596" s="76" t="s">
        <v>2300</v>
      </c>
      <c r="N1596" s="76"/>
      <c r="O1596" s="76"/>
      <c r="P1596" s="76"/>
      <c r="Q1596" s="76"/>
      <c r="R1596" s="76"/>
      <c r="S1596" s="76"/>
      <c r="T1596" s="76"/>
      <c r="U1596" s="76" t="s">
        <v>5272</v>
      </c>
      <c r="V1596" s="76"/>
      <c r="W1596" s="76"/>
      <c r="X1596" s="76"/>
    </row>
    <row r="1597" ht="18.0" customHeight="1">
      <c r="A1597" s="76"/>
      <c r="B1597" s="76"/>
      <c r="C1597" s="76"/>
      <c r="D1597" s="76"/>
      <c r="E1597" s="76"/>
      <c r="F1597" s="76"/>
      <c r="G1597" s="76"/>
      <c r="H1597" s="76"/>
      <c r="I1597" s="76"/>
      <c r="J1597" s="76"/>
      <c r="K1597" s="76"/>
      <c r="L1597" s="76"/>
      <c r="M1597" s="76" t="s">
        <v>2303</v>
      </c>
      <c r="N1597" s="76"/>
      <c r="O1597" s="76"/>
      <c r="P1597" s="76"/>
      <c r="Q1597" s="76"/>
      <c r="R1597" s="76"/>
      <c r="S1597" s="76"/>
      <c r="T1597" s="76"/>
      <c r="U1597" s="76" t="s">
        <v>5273</v>
      </c>
      <c r="V1597" s="76"/>
      <c r="W1597" s="76"/>
      <c r="X1597" s="76"/>
    </row>
    <row r="1598" ht="18.0" customHeight="1">
      <c r="A1598" s="76"/>
      <c r="B1598" s="76"/>
      <c r="C1598" s="76"/>
      <c r="D1598" s="76"/>
      <c r="E1598" s="76"/>
      <c r="F1598" s="76"/>
      <c r="G1598" s="76"/>
      <c r="H1598" s="76"/>
      <c r="I1598" s="76"/>
      <c r="J1598" s="76"/>
      <c r="K1598" s="76"/>
      <c r="L1598" s="76"/>
      <c r="M1598" s="76" t="s">
        <v>1142</v>
      </c>
      <c r="N1598" s="76"/>
      <c r="O1598" s="76"/>
      <c r="P1598" s="76"/>
      <c r="Q1598" s="76"/>
      <c r="R1598" s="76"/>
      <c r="S1598" s="76"/>
      <c r="T1598" s="76"/>
      <c r="U1598" s="76" t="s">
        <v>5274</v>
      </c>
      <c r="V1598" s="76"/>
      <c r="W1598" s="76"/>
      <c r="X1598" s="76"/>
    </row>
    <row r="1599" ht="18.0" customHeight="1">
      <c r="A1599" s="76"/>
      <c r="B1599" s="76"/>
      <c r="C1599" s="76"/>
      <c r="D1599" s="76"/>
      <c r="E1599" s="76"/>
      <c r="F1599" s="76"/>
      <c r="G1599" s="76"/>
      <c r="H1599" s="76"/>
      <c r="I1599" s="76"/>
      <c r="J1599" s="76"/>
      <c r="K1599" s="76"/>
      <c r="L1599" s="76"/>
      <c r="M1599" s="76" t="s">
        <v>5275</v>
      </c>
      <c r="N1599" s="76"/>
      <c r="O1599" s="76"/>
      <c r="P1599" s="76"/>
      <c r="Q1599" s="76"/>
      <c r="R1599" s="76"/>
      <c r="S1599" s="76"/>
      <c r="T1599" s="76"/>
      <c r="U1599" s="76" t="s">
        <v>5276</v>
      </c>
      <c r="V1599" s="76"/>
      <c r="W1599" s="76"/>
      <c r="X1599" s="76"/>
    </row>
    <row r="1600" ht="18.0" customHeight="1">
      <c r="A1600" s="76"/>
      <c r="B1600" s="76"/>
      <c r="C1600" s="76"/>
      <c r="D1600" s="76"/>
      <c r="E1600" s="76"/>
      <c r="F1600" s="76"/>
      <c r="G1600" s="76"/>
      <c r="H1600" s="76"/>
      <c r="I1600" s="76"/>
      <c r="J1600" s="76"/>
      <c r="K1600" s="76"/>
      <c r="L1600" s="76"/>
      <c r="M1600" s="76" t="s">
        <v>4062</v>
      </c>
      <c r="N1600" s="76"/>
      <c r="O1600" s="76"/>
      <c r="P1600" s="76"/>
      <c r="Q1600" s="76"/>
      <c r="R1600" s="76"/>
      <c r="S1600" s="76"/>
      <c r="T1600" s="76"/>
      <c r="U1600" s="76" t="s">
        <v>5277</v>
      </c>
      <c r="V1600" s="76"/>
      <c r="W1600" s="76"/>
      <c r="X1600" s="76"/>
    </row>
    <row r="1601" ht="18.0" customHeight="1">
      <c r="A1601" s="76"/>
      <c r="B1601" s="76"/>
      <c r="C1601" s="76"/>
      <c r="D1601" s="76"/>
      <c r="E1601" s="76"/>
      <c r="F1601" s="76"/>
      <c r="G1601" s="76"/>
      <c r="H1601" s="76"/>
      <c r="I1601" s="76"/>
      <c r="J1601" s="76"/>
      <c r="K1601" s="76"/>
      <c r="L1601" s="76"/>
      <c r="M1601" s="76" t="s">
        <v>5278</v>
      </c>
      <c r="N1601" s="76"/>
      <c r="O1601" s="76"/>
      <c r="P1601" s="76"/>
      <c r="Q1601" s="76"/>
      <c r="R1601" s="76"/>
      <c r="S1601" s="76"/>
      <c r="T1601" s="76"/>
      <c r="U1601" s="76" t="s">
        <v>5279</v>
      </c>
      <c r="V1601" s="76"/>
      <c r="W1601" s="76"/>
      <c r="X1601" s="76"/>
    </row>
    <row r="1602" ht="18.0" customHeight="1">
      <c r="A1602" s="76"/>
      <c r="B1602" s="76"/>
      <c r="C1602" s="76"/>
      <c r="D1602" s="76"/>
      <c r="E1602" s="76"/>
      <c r="F1602" s="76"/>
      <c r="G1602" s="76"/>
      <c r="H1602" s="76"/>
      <c r="I1602" s="76"/>
      <c r="J1602" s="76"/>
      <c r="K1602" s="76"/>
      <c r="L1602" s="76"/>
      <c r="M1602" s="76" t="s">
        <v>5258</v>
      </c>
      <c r="N1602" s="76"/>
      <c r="O1602" s="76"/>
      <c r="P1602" s="76"/>
      <c r="Q1602" s="76"/>
      <c r="R1602" s="76"/>
      <c r="S1602" s="76"/>
      <c r="T1602" s="76"/>
      <c r="U1602" s="76" t="s">
        <v>5280</v>
      </c>
      <c r="V1602" s="76"/>
      <c r="W1602" s="76"/>
      <c r="X1602" s="76"/>
    </row>
    <row r="1603" ht="18.0" customHeight="1">
      <c r="A1603" s="76"/>
      <c r="B1603" s="76"/>
      <c r="C1603" s="76"/>
      <c r="D1603" s="76"/>
      <c r="E1603" s="76"/>
      <c r="F1603" s="76"/>
      <c r="G1603" s="76"/>
      <c r="H1603" s="76"/>
      <c r="I1603" s="76"/>
      <c r="J1603" s="76"/>
      <c r="K1603" s="76"/>
      <c r="L1603" s="76"/>
      <c r="M1603" s="76" t="s">
        <v>4040</v>
      </c>
      <c r="N1603" s="76"/>
      <c r="O1603" s="76"/>
      <c r="P1603" s="76"/>
      <c r="Q1603" s="76"/>
      <c r="R1603" s="76"/>
      <c r="S1603" s="76"/>
      <c r="T1603" s="76"/>
      <c r="U1603" s="76" t="s">
        <v>5281</v>
      </c>
      <c r="V1603" s="76"/>
      <c r="W1603" s="76"/>
      <c r="X1603" s="76"/>
    </row>
    <row r="1604" ht="18.0" customHeight="1">
      <c r="A1604" s="76"/>
      <c r="B1604" s="76"/>
      <c r="C1604" s="76"/>
      <c r="D1604" s="76"/>
      <c r="E1604" s="76"/>
      <c r="F1604" s="76"/>
      <c r="G1604" s="76"/>
      <c r="H1604" s="76"/>
      <c r="I1604" s="76"/>
      <c r="J1604" s="76"/>
      <c r="K1604" s="76"/>
      <c r="L1604" s="76"/>
      <c r="M1604" s="76" t="s">
        <v>5245</v>
      </c>
      <c r="N1604" s="76"/>
      <c r="O1604" s="76"/>
      <c r="P1604" s="76"/>
      <c r="Q1604" s="76"/>
      <c r="R1604" s="76"/>
      <c r="S1604" s="76"/>
      <c r="T1604" s="76"/>
      <c r="U1604" s="76" t="s">
        <v>5282</v>
      </c>
      <c r="V1604" s="76"/>
      <c r="W1604" s="76"/>
      <c r="X1604" s="76"/>
    </row>
    <row r="1605" ht="18.0" customHeight="1">
      <c r="A1605" s="76"/>
      <c r="B1605" s="76"/>
      <c r="C1605" s="76"/>
      <c r="D1605" s="76"/>
      <c r="E1605" s="76"/>
      <c r="F1605" s="76"/>
      <c r="G1605" s="76"/>
      <c r="H1605" s="76"/>
      <c r="I1605" s="76"/>
      <c r="J1605" s="76"/>
      <c r="K1605" s="76"/>
      <c r="L1605" s="76"/>
      <c r="M1605" s="76" t="s">
        <v>5283</v>
      </c>
      <c r="N1605" s="76"/>
      <c r="O1605" s="76"/>
      <c r="P1605" s="76"/>
      <c r="Q1605" s="76"/>
      <c r="R1605" s="76"/>
      <c r="S1605" s="76"/>
      <c r="T1605" s="76"/>
      <c r="U1605" s="76" t="s">
        <v>5284</v>
      </c>
      <c r="V1605" s="76"/>
      <c r="W1605" s="76"/>
      <c r="X1605" s="76"/>
    </row>
    <row r="1606" ht="18.0" customHeight="1">
      <c r="A1606" s="76"/>
      <c r="B1606" s="76"/>
      <c r="C1606" s="76"/>
      <c r="D1606" s="76"/>
      <c r="E1606" s="76"/>
      <c r="F1606" s="76"/>
      <c r="G1606" s="76"/>
      <c r="H1606" s="76"/>
      <c r="I1606" s="76"/>
      <c r="J1606" s="76"/>
      <c r="K1606" s="76"/>
      <c r="L1606" s="76"/>
      <c r="M1606" s="76" t="s">
        <v>4258</v>
      </c>
      <c r="N1606" s="76"/>
      <c r="O1606" s="76"/>
      <c r="P1606" s="76"/>
      <c r="Q1606" s="76"/>
      <c r="R1606" s="76"/>
      <c r="S1606" s="76"/>
      <c r="T1606" s="76"/>
      <c r="U1606" s="76" t="s">
        <v>5285</v>
      </c>
      <c r="V1606" s="76"/>
      <c r="W1606" s="76"/>
      <c r="X1606" s="76"/>
    </row>
    <row r="1607" ht="18.0" customHeight="1">
      <c r="A1607" s="76"/>
      <c r="B1607" s="76"/>
      <c r="C1607" s="76"/>
      <c r="D1607" s="76"/>
      <c r="E1607" s="76"/>
      <c r="F1607" s="76"/>
      <c r="G1607" s="76"/>
      <c r="H1607" s="76"/>
      <c r="I1607" s="76"/>
      <c r="J1607" s="76"/>
      <c r="K1607" s="76"/>
      <c r="L1607" s="76"/>
      <c r="M1607" s="76" t="s">
        <v>4038</v>
      </c>
      <c r="N1607" s="76"/>
      <c r="O1607" s="76"/>
      <c r="P1607" s="76"/>
      <c r="Q1607" s="76"/>
      <c r="R1607" s="76"/>
      <c r="S1607" s="76"/>
      <c r="T1607" s="76"/>
      <c r="U1607" s="76" t="s">
        <v>5286</v>
      </c>
      <c r="V1607" s="76"/>
      <c r="W1607" s="76"/>
      <c r="X1607" s="76"/>
    </row>
    <row r="1608" ht="18.0" customHeight="1">
      <c r="A1608" s="76"/>
      <c r="B1608" s="76"/>
      <c r="C1608" s="76"/>
      <c r="D1608" s="76"/>
      <c r="E1608" s="76"/>
      <c r="F1608" s="76"/>
      <c r="G1608" s="76"/>
      <c r="H1608" s="76"/>
      <c r="I1608" s="76"/>
      <c r="J1608" s="76"/>
      <c r="K1608" s="76"/>
      <c r="L1608" s="76"/>
      <c r="M1608" s="76" t="s">
        <v>1102</v>
      </c>
      <c r="N1608" s="76"/>
      <c r="O1608" s="76"/>
      <c r="P1608" s="76"/>
      <c r="Q1608" s="76"/>
      <c r="R1608" s="76"/>
      <c r="S1608" s="76"/>
      <c r="T1608" s="76"/>
      <c r="U1608" s="76" t="s">
        <v>5287</v>
      </c>
      <c r="V1608" s="76"/>
      <c r="W1608" s="76"/>
      <c r="X1608" s="76"/>
    </row>
    <row r="1609" ht="18.0" customHeight="1">
      <c r="A1609" s="76"/>
      <c r="B1609" s="76"/>
      <c r="C1609" s="76"/>
      <c r="D1609" s="76"/>
      <c r="E1609" s="76"/>
      <c r="F1609" s="76"/>
      <c r="G1609" s="76"/>
      <c r="H1609" s="76"/>
      <c r="I1609" s="76"/>
      <c r="J1609" s="76"/>
      <c r="K1609" s="76"/>
      <c r="L1609" s="76"/>
      <c r="M1609" s="76" t="s">
        <v>4346</v>
      </c>
      <c r="N1609" s="76"/>
      <c r="O1609" s="76"/>
      <c r="P1609" s="76"/>
      <c r="Q1609" s="76"/>
      <c r="R1609" s="76"/>
      <c r="S1609" s="76"/>
      <c r="T1609" s="76"/>
      <c r="U1609" s="76" t="s">
        <v>5288</v>
      </c>
      <c r="V1609" s="76"/>
      <c r="W1609" s="76"/>
      <c r="X1609" s="76"/>
    </row>
    <row r="1610" ht="18.0" customHeight="1">
      <c r="A1610" s="76"/>
      <c r="B1610" s="76"/>
      <c r="C1610" s="76"/>
      <c r="D1610" s="76"/>
      <c r="E1610" s="76"/>
      <c r="F1610" s="76"/>
      <c r="G1610" s="76"/>
      <c r="H1610" s="76"/>
      <c r="I1610" s="76"/>
      <c r="J1610" s="76"/>
      <c r="K1610" s="76"/>
      <c r="L1610" s="76"/>
      <c r="M1610" s="76" t="s">
        <v>2397</v>
      </c>
      <c r="N1610" s="76"/>
      <c r="O1610" s="76"/>
      <c r="P1610" s="76"/>
      <c r="Q1610" s="76"/>
      <c r="R1610" s="76"/>
      <c r="S1610" s="76"/>
      <c r="T1610" s="76"/>
      <c r="U1610" s="76" t="s">
        <v>5289</v>
      </c>
      <c r="V1610" s="76"/>
      <c r="W1610" s="76"/>
      <c r="X1610" s="76"/>
    </row>
    <row r="1611" ht="18.0" customHeight="1">
      <c r="A1611" s="76"/>
      <c r="B1611" s="76"/>
      <c r="C1611" s="76"/>
      <c r="D1611" s="76"/>
      <c r="E1611" s="76"/>
      <c r="F1611" s="76"/>
      <c r="G1611" s="76"/>
      <c r="H1611" s="76"/>
      <c r="I1611" s="76"/>
      <c r="J1611" s="76"/>
      <c r="K1611" s="76"/>
      <c r="L1611" s="76"/>
      <c r="M1611" s="76" t="s">
        <v>5245</v>
      </c>
      <c r="N1611" s="76"/>
      <c r="O1611" s="76"/>
      <c r="P1611" s="76"/>
      <c r="Q1611" s="76"/>
      <c r="R1611" s="76"/>
      <c r="S1611" s="76"/>
      <c r="T1611" s="76"/>
      <c r="U1611" s="76" t="s">
        <v>5290</v>
      </c>
      <c r="V1611" s="76"/>
      <c r="W1611" s="76"/>
      <c r="X1611" s="76"/>
    </row>
    <row r="1612" ht="18.0" customHeight="1">
      <c r="A1612" s="76"/>
      <c r="B1612" s="76"/>
      <c r="C1612" s="76"/>
      <c r="D1612" s="76"/>
      <c r="E1612" s="76"/>
      <c r="F1612" s="76"/>
      <c r="G1612" s="76"/>
      <c r="H1612" s="76"/>
      <c r="I1612" s="76"/>
      <c r="J1612" s="76"/>
      <c r="K1612" s="76"/>
      <c r="L1612" s="76"/>
      <c r="M1612" s="76" t="s">
        <v>2382</v>
      </c>
      <c r="N1612" s="76"/>
      <c r="O1612" s="76"/>
      <c r="P1612" s="76"/>
      <c r="Q1612" s="76"/>
      <c r="R1612" s="76"/>
      <c r="S1612" s="76"/>
      <c r="T1612" s="76"/>
      <c r="U1612" s="76" t="s">
        <v>5291</v>
      </c>
      <c r="V1612" s="76"/>
      <c r="W1612" s="76"/>
      <c r="X1612" s="76"/>
    </row>
    <row r="1613" ht="18.0" customHeight="1">
      <c r="A1613" s="76"/>
      <c r="B1613" s="76"/>
      <c r="C1613" s="76"/>
      <c r="D1613" s="76"/>
      <c r="E1613" s="76"/>
      <c r="F1613" s="76"/>
      <c r="G1613" s="76"/>
      <c r="H1613" s="76"/>
      <c r="I1613" s="76"/>
      <c r="J1613" s="76"/>
      <c r="K1613" s="76"/>
      <c r="L1613" s="76"/>
      <c r="M1613" s="76" t="s">
        <v>4262</v>
      </c>
      <c r="N1613" s="76"/>
      <c r="O1613" s="76"/>
      <c r="P1613" s="76"/>
      <c r="Q1613" s="76"/>
      <c r="R1613" s="76"/>
      <c r="S1613" s="76"/>
      <c r="T1613" s="76"/>
      <c r="U1613" s="76" t="s">
        <v>5292</v>
      </c>
      <c r="V1613" s="76"/>
      <c r="W1613" s="76"/>
      <c r="X1613" s="76"/>
    </row>
    <row r="1614" ht="18.0" customHeight="1">
      <c r="A1614" s="76"/>
      <c r="B1614" s="76"/>
      <c r="C1614" s="76"/>
      <c r="D1614" s="76"/>
      <c r="E1614" s="76"/>
      <c r="F1614" s="76"/>
      <c r="G1614" s="76"/>
      <c r="H1614" s="76"/>
      <c r="I1614" s="76"/>
      <c r="J1614" s="76"/>
      <c r="K1614" s="76"/>
      <c r="L1614" s="76"/>
      <c r="M1614" s="76" t="s">
        <v>1154</v>
      </c>
      <c r="N1614" s="76"/>
      <c r="O1614" s="76"/>
      <c r="P1614" s="76"/>
      <c r="Q1614" s="76"/>
      <c r="R1614" s="76"/>
      <c r="S1614" s="76"/>
      <c r="T1614" s="76"/>
      <c r="U1614" s="76" t="s">
        <v>5293</v>
      </c>
      <c r="V1614" s="76"/>
      <c r="W1614" s="76"/>
      <c r="X1614" s="76"/>
    </row>
    <row r="1615" ht="18.0" customHeight="1">
      <c r="A1615" s="76"/>
      <c r="B1615" s="76"/>
      <c r="C1615" s="76"/>
      <c r="D1615" s="76"/>
      <c r="E1615" s="76"/>
      <c r="F1615" s="76"/>
      <c r="G1615" s="76"/>
      <c r="H1615" s="76"/>
      <c r="I1615" s="76"/>
      <c r="J1615" s="76"/>
      <c r="K1615" s="76"/>
      <c r="L1615" s="76"/>
      <c r="M1615" s="76" t="s">
        <v>2433</v>
      </c>
      <c r="N1615" s="76"/>
      <c r="O1615" s="76"/>
      <c r="P1615" s="76"/>
      <c r="Q1615" s="76"/>
      <c r="R1615" s="76"/>
      <c r="S1615" s="76"/>
      <c r="T1615" s="76"/>
      <c r="U1615" s="76" t="s">
        <v>5294</v>
      </c>
      <c r="V1615" s="76"/>
      <c r="W1615" s="76"/>
      <c r="X1615" s="76"/>
    </row>
    <row r="1616" ht="18.0" customHeight="1">
      <c r="A1616" s="76"/>
      <c r="B1616" s="76"/>
      <c r="C1616" s="76"/>
      <c r="D1616" s="76"/>
      <c r="E1616" s="76"/>
      <c r="F1616" s="76"/>
      <c r="G1616" s="76"/>
      <c r="H1616" s="76"/>
      <c r="I1616" s="76"/>
      <c r="J1616" s="76"/>
      <c r="K1616" s="76"/>
      <c r="L1616" s="76"/>
      <c r="M1616" s="76" t="s">
        <v>4348</v>
      </c>
      <c r="N1616" s="76"/>
      <c r="O1616" s="76"/>
      <c r="P1616" s="76"/>
      <c r="Q1616" s="76"/>
      <c r="R1616" s="76"/>
      <c r="S1616" s="76"/>
      <c r="T1616" s="76"/>
      <c r="U1616" s="76" t="s">
        <v>5295</v>
      </c>
      <c r="V1616" s="76"/>
      <c r="W1616" s="76"/>
      <c r="X1616" s="76"/>
    </row>
    <row r="1617" ht="18.0" customHeight="1">
      <c r="A1617" s="76"/>
      <c r="B1617" s="76"/>
      <c r="C1617" s="76"/>
      <c r="D1617" s="76"/>
      <c r="E1617" s="76"/>
      <c r="F1617" s="76"/>
      <c r="G1617" s="76"/>
      <c r="H1617" s="76"/>
      <c r="I1617" s="76"/>
      <c r="J1617" s="76"/>
      <c r="K1617" s="76"/>
      <c r="L1617" s="76"/>
      <c r="M1617" s="76" t="s">
        <v>5233</v>
      </c>
      <c r="N1617" s="76"/>
      <c r="O1617" s="76"/>
      <c r="P1617" s="76"/>
      <c r="Q1617" s="76"/>
      <c r="R1617" s="76"/>
      <c r="S1617" s="76"/>
      <c r="T1617" s="76"/>
      <c r="U1617" s="76" t="s">
        <v>5296</v>
      </c>
      <c r="V1617" s="76"/>
      <c r="W1617" s="76"/>
      <c r="X1617" s="76"/>
    </row>
    <row r="1618" ht="18.0" customHeight="1">
      <c r="A1618" s="76"/>
      <c r="B1618" s="76"/>
      <c r="C1618" s="76"/>
      <c r="D1618" s="76"/>
      <c r="E1618" s="76"/>
      <c r="F1618" s="76"/>
      <c r="G1618" s="76"/>
      <c r="H1618" s="76"/>
      <c r="I1618" s="76"/>
      <c r="J1618" s="76"/>
      <c r="K1618" s="76"/>
      <c r="L1618" s="76"/>
      <c r="M1618" s="76" t="s">
        <v>5297</v>
      </c>
      <c r="N1618" s="76"/>
      <c r="O1618" s="76"/>
      <c r="P1618" s="76"/>
      <c r="Q1618" s="76"/>
      <c r="R1618" s="76"/>
      <c r="S1618" s="76"/>
      <c r="T1618" s="76"/>
      <c r="U1618" s="76" t="s">
        <v>5298</v>
      </c>
      <c r="V1618" s="76"/>
      <c r="W1618" s="76"/>
      <c r="X1618" s="76"/>
    </row>
    <row r="1619" ht="18.0" customHeight="1">
      <c r="A1619" s="76"/>
      <c r="B1619" s="76"/>
      <c r="C1619" s="76"/>
      <c r="D1619" s="76"/>
      <c r="E1619" s="76"/>
      <c r="F1619" s="76"/>
      <c r="G1619" s="76"/>
      <c r="H1619" s="76"/>
      <c r="I1619" s="76"/>
      <c r="J1619" s="76"/>
      <c r="K1619" s="76"/>
      <c r="L1619" s="76"/>
      <c r="M1619" s="76" t="s">
        <v>4336</v>
      </c>
      <c r="N1619" s="76"/>
      <c r="O1619" s="76"/>
      <c r="P1619" s="76"/>
      <c r="Q1619" s="76"/>
      <c r="R1619" s="76"/>
      <c r="S1619" s="76"/>
      <c r="T1619" s="76"/>
      <c r="U1619" s="76" t="s">
        <v>5299</v>
      </c>
      <c r="V1619" s="76"/>
      <c r="W1619" s="76"/>
      <c r="X1619" s="76"/>
    </row>
    <row r="1620" ht="18.0" customHeight="1">
      <c r="A1620" s="76"/>
      <c r="B1620" s="76"/>
      <c r="C1620" s="76"/>
      <c r="D1620" s="76"/>
      <c r="E1620" s="76"/>
      <c r="F1620" s="76"/>
      <c r="G1620" s="76"/>
      <c r="H1620" s="76"/>
      <c r="I1620" s="76"/>
      <c r="J1620" s="76"/>
      <c r="K1620" s="76"/>
      <c r="L1620" s="76"/>
      <c r="M1620" s="76" t="s">
        <v>1130</v>
      </c>
      <c r="N1620" s="76"/>
      <c r="O1620" s="76"/>
      <c r="P1620" s="76"/>
      <c r="Q1620" s="76"/>
      <c r="R1620" s="76"/>
      <c r="S1620" s="76"/>
      <c r="T1620" s="76"/>
      <c r="U1620" s="76" t="s">
        <v>5300</v>
      </c>
      <c r="V1620" s="76"/>
      <c r="W1620" s="76"/>
      <c r="X1620" s="76"/>
    </row>
    <row r="1621" ht="18.0" customHeight="1">
      <c r="A1621" s="76"/>
      <c r="B1621" s="76"/>
      <c r="C1621" s="76"/>
      <c r="D1621" s="76"/>
      <c r="E1621" s="76"/>
      <c r="F1621" s="76"/>
      <c r="G1621" s="76"/>
      <c r="H1621" s="76"/>
      <c r="I1621" s="76"/>
      <c r="J1621" s="76"/>
      <c r="K1621" s="76"/>
      <c r="L1621" s="76"/>
      <c r="M1621" s="76" t="s">
        <v>4328</v>
      </c>
      <c r="N1621" s="76"/>
      <c r="O1621" s="76"/>
      <c r="P1621" s="76"/>
      <c r="Q1621" s="76"/>
      <c r="R1621" s="76"/>
      <c r="S1621" s="76"/>
      <c r="T1621" s="76"/>
      <c r="U1621" s="76" t="s">
        <v>5301</v>
      </c>
      <c r="V1621" s="76"/>
      <c r="W1621" s="76"/>
      <c r="X1621" s="76"/>
    </row>
    <row r="1622" ht="18.0" customHeight="1">
      <c r="A1622" s="76"/>
      <c r="B1622" s="76"/>
      <c r="C1622" s="76"/>
      <c r="D1622" s="76"/>
      <c r="E1622" s="76"/>
      <c r="F1622" s="76"/>
      <c r="G1622" s="76"/>
      <c r="H1622" s="76"/>
      <c r="I1622" s="76"/>
      <c r="J1622" s="76"/>
      <c r="K1622" s="76"/>
      <c r="L1622" s="76"/>
      <c r="M1622" s="76" t="s">
        <v>5302</v>
      </c>
      <c r="N1622" s="76"/>
      <c r="O1622" s="76"/>
      <c r="P1622" s="76"/>
      <c r="Q1622" s="76"/>
      <c r="R1622" s="76"/>
      <c r="S1622" s="76"/>
      <c r="T1622" s="76"/>
      <c r="U1622" s="76" t="s">
        <v>5303</v>
      </c>
      <c r="V1622" s="76"/>
      <c r="W1622" s="76"/>
      <c r="X1622" s="76"/>
    </row>
    <row r="1623" ht="18.0" customHeight="1">
      <c r="A1623" s="76"/>
      <c r="B1623" s="76"/>
      <c r="C1623" s="76"/>
      <c r="D1623" s="76"/>
      <c r="E1623" s="76"/>
      <c r="F1623" s="76"/>
      <c r="G1623" s="76"/>
      <c r="H1623" s="76"/>
      <c r="I1623" s="76"/>
      <c r="J1623" s="76"/>
      <c r="K1623" s="76"/>
      <c r="L1623" s="76"/>
      <c r="M1623" s="76" t="s">
        <v>5304</v>
      </c>
      <c r="N1623" s="76"/>
      <c r="O1623" s="76"/>
      <c r="P1623" s="76"/>
      <c r="Q1623" s="76"/>
      <c r="R1623" s="76"/>
      <c r="S1623" s="76"/>
      <c r="T1623" s="76"/>
      <c r="U1623" s="76" t="s">
        <v>5305</v>
      </c>
      <c r="V1623" s="76"/>
      <c r="W1623" s="76"/>
      <c r="X1623" s="76"/>
    </row>
    <row r="1624" ht="18.0" customHeight="1">
      <c r="A1624" s="76"/>
      <c r="B1624" s="76"/>
      <c r="C1624" s="76"/>
      <c r="D1624" s="76"/>
      <c r="E1624" s="76"/>
      <c r="F1624" s="76"/>
      <c r="G1624" s="76"/>
      <c r="H1624" s="76"/>
      <c r="I1624" s="76"/>
      <c r="J1624" s="76"/>
      <c r="K1624" s="76"/>
      <c r="L1624" s="76"/>
      <c r="M1624" s="76" t="s">
        <v>5306</v>
      </c>
      <c r="N1624" s="76"/>
      <c r="O1624" s="76"/>
      <c r="P1624" s="76"/>
      <c r="Q1624" s="76"/>
      <c r="R1624" s="76"/>
      <c r="S1624" s="76"/>
      <c r="T1624" s="76"/>
      <c r="U1624" s="76" t="s">
        <v>5307</v>
      </c>
      <c r="V1624" s="76"/>
      <c r="W1624" s="76"/>
      <c r="X1624" s="76"/>
    </row>
    <row r="1625" ht="18.0" customHeight="1">
      <c r="A1625" s="76"/>
      <c r="B1625" s="76"/>
      <c r="C1625" s="76"/>
      <c r="D1625" s="76"/>
      <c r="E1625" s="76"/>
      <c r="F1625" s="76"/>
      <c r="G1625" s="76"/>
      <c r="H1625" s="76"/>
      <c r="I1625" s="76"/>
      <c r="J1625" s="76"/>
      <c r="K1625" s="76"/>
      <c r="L1625" s="76"/>
      <c r="M1625" s="76" t="s">
        <v>5308</v>
      </c>
      <c r="N1625" s="76"/>
      <c r="O1625" s="76"/>
      <c r="P1625" s="76"/>
      <c r="Q1625" s="76"/>
      <c r="R1625" s="76"/>
      <c r="S1625" s="76"/>
      <c r="T1625" s="76"/>
      <c r="U1625" s="76" t="s">
        <v>5309</v>
      </c>
      <c r="V1625" s="76"/>
      <c r="W1625" s="76"/>
      <c r="X1625" s="76"/>
    </row>
    <row r="1626" ht="18.0" customHeight="1">
      <c r="A1626" s="76"/>
      <c r="B1626" s="76"/>
      <c r="C1626" s="76"/>
      <c r="D1626" s="76"/>
      <c r="E1626" s="76"/>
      <c r="F1626" s="76"/>
      <c r="G1626" s="76"/>
      <c r="H1626" s="76"/>
      <c r="I1626" s="76"/>
      <c r="J1626" s="76"/>
      <c r="K1626" s="76"/>
      <c r="L1626" s="76"/>
      <c r="M1626" s="76" t="s">
        <v>5306</v>
      </c>
      <c r="N1626" s="76"/>
      <c r="O1626" s="76"/>
      <c r="P1626" s="76"/>
      <c r="Q1626" s="76"/>
      <c r="R1626" s="76"/>
      <c r="S1626" s="76"/>
      <c r="T1626" s="76"/>
      <c r="U1626" s="76" t="s">
        <v>5310</v>
      </c>
      <c r="V1626" s="76"/>
      <c r="W1626" s="76"/>
      <c r="X1626" s="76"/>
    </row>
    <row r="1627" ht="18.0" customHeight="1">
      <c r="A1627" s="76"/>
      <c r="B1627" s="76"/>
      <c r="C1627" s="76"/>
      <c r="D1627" s="76"/>
      <c r="E1627" s="76"/>
      <c r="F1627" s="76"/>
      <c r="G1627" s="76"/>
      <c r="H1627" s="76"/>
      <c r="I1627" s="76"/>
      <c r="J1627" s="76"/>
      <c r="K1627" s="76"/>
      <c r="L1627" s="76"/>
      <c r="M1627" s="76" t="s">
        <v>5311</v>
      </c>
      <c r="N1627" s="76"/>
      <c r="O1627" s="76"/>
      <c r="P1627" s="76"/>
      <c r="Q1627" s="76"/>
      <c r="R1627" s="76"/>
      <c r="S1627" s="76"/>
      <c r="T1627" s="76"/>
      <c r="U1627" s="76" t="s">
        <v>5312</v>
      </c>
      <c r="V1627" s="76"/>
      <c r="W1627" s="76"/>
      <c r="X1627" s="76"/>
    </row>
    <row r="1628" ht="18.0" customHeight="1">
      <c r="A1628" s="76"/>
      <c r="B1628" s="76"/>
      <c r="C1628" s="76"/>
      <c r="D1628" s="76"/>
      <c r="E1628" s="76"/>
      <c r="F1628" s="76"/>
      <c r="G1628" s="76"/>
      <c r="H1628" s="76"/>
      <c r="I1628" s="76"/>
      <c r="J1628" s="76"/>
      <c r="K1628" s="76"/>
      <c r="L1628" s="76"/>
      <c r="M1628" s="76" t="s">
        <v>4274</v>
      </c>
      <c r="N1628" s="76"/>
      <c r="O1628" s="76"/>
      <c r="P1628" s="76"/>
      <c r="Q1628" s="76"/>
      <c r="R1628" s="76"/>
      <c r="S1628" s="76"/>
      <c r="T1628" s="76"/>
      <c r="U1628" s="76" t="s">
        <v>5313</v>
      </c>
      <c r="V1628" s="76"/>
      <c r="W1628" s="76"/>
      <c r="X1628" s="76"/>
    </row>
    <row r="1629" ht="18.0" customHeight="1">
      <c r="A1629" s="76"/>
      <c r="B1629" s="76"/>
      <c r="C1629" s="76"/>
      <c r="D1629" s="76"/>
      <c r="E1629" s="76"/>
      <c r="F1629" s="76"/>
      <c r="G1629" s="76"/>
      <c r="H1629" s="76"/>
      <c r="I1629" s="76"/>
      <c r="J1629" s="76"/>
      <c r="K1629" s="76"/>
      <c r="L1629" s="76"/>
      <c r="M1629" s="76" t="s">
        <v>5314</v>
      </c>
      <c r="N1629" s="76"/>
      <c r="O1629" s="76"/>
      <c r="P1629" s="76"/>
      <c r="Q1629" s="76"/>
      <c r="R1629" s="76"/>
      <c r="S1629" s="76"/>
      <c r="T1629" s="76"/>
      <c r="U1629" s="76" t="s">
        <v>5315</v>
      </c>
      <c r="V1629" s="76"/>
      <c r="W1629" s="76"/>
      <c r="X1629" s="76"/>
    </row>
    <row r="1630" ht="18.0" customHeight="1">
      <c r="A1630" s="76"/>
      <c r="B1630" s="76"/>
      <c r="C1630" s="76"/>
      <c r="D1630" s="76"/>
      <c r="E1630" s="76"/>
      <c r="F1630" s="76"/>
      <c r="G1630" s="76"/>
      <c r="H1630" s="76"/>
      <c r="I1630" s="76"/>
      <c r="J1630" s="76"/>
      <c r="K1630" s="76"/>
      <c r="L1630" s="76"/>
      <c r="M1630" s="76" t="s">
        <v>4456</v>
      </c>
      <c r="N1630" s="76"/>
      <c r="O1630" s="76"/>
      <c r="P1630" s="76"/>
      <c r="Q1630" s="76"/>
      <c r="R1630" s="76"/>
      <c r="S1630" s="76"/>
      <c r="T1630" s="76"/>
      <c r="U1630" s="76" t="s">
        <v>5316</v>
      </c>
      <c r="V1630" s="76"/>
      <c r="W1630" s="76"/>
      <c r="X1630" s="76"/>
    </row>
    <row r="1631" ht="18.0" customHeight="1">
      <c r="A1631" s="76"/>
      <c r="B1631" s="76"/>
      <c r="C1631" s="76"/>
      <c r="D1631" s="76"/>
      <c r="E1631" s="76"/>
      <c r="F1631" s="76"/>
      <c r="G1631" s="76"/>
      <c r="H1631" s="76"/>
      <c r="I1631" s="76"/>
      <c r="J1631" s="76"/>
      <c r="K1631" s="76"/>
      <c r="L1631" s="76"/>
      <c r="M1631" s="76"/>
      <c r="N1631" s="76"/>
      <c r="O1631" s="76"/>
      <c r="P1631" s="76"/>
      <c r="Q1631" s="76"/>
      <c r="R1631" s="76"/>
      <c r="S1631" s="76"/>
      <c r="T1631" s="76"/>
      <c r="U1631" s="76" t="s">
        <v>5317</v>
      </c>
      <c r="V1631" s="76"/>
      <c r="W1631" s="76"/>
      <c r="X1631" s="76"/>
    </row>
    <row r="1632" ht="18.0" customHeight="1">
      <c r="A1632" s="76"/>
      <c r="B1632" s="76"/>
      <c r="C1632" s="76"/>
      <c r="D1632" s="76"/>
      <c r="E1632" s="76"/>
      <c r="F1632" s="76"/>
      <c r="G1632" s="76"/>
      <c r="H1632" s="76"/>
      <c r="I1632" s="76"/>
      <c r="J1632" s="76"/>
      <c r="K1632" s="76"/>
      <c r="L1632" s="76"/>
      <c r="M1632" s="76"/>
      <c r="N1632" s="76"/>
      <c r="O1632" s="76"/>
      <c r="P1632" s="76"/>
      <c r="Q1632" s="76"/>
      <c r="R1632" s="76"/>
      <c r="S1632" s="76"/>
      <c r="T1632" s="76"/>
      <c r="U1632" s="76" t="s">
        <v>5318</v>
      </c>
      <c r="V1632" s="76"/>
      <c r="W1632" s="76"/>
      <c r="X1632" s="76"/>
    </row>
    <row r="1633" ht="18.0" customHeight="1">
      <c r="A1633" s="76"/>
      <c r="B1633" s="76"/>
      <c r="C1633" s="76"/>
      <c r="D1633" s="76"/>
      <c r="E1633" s="76"/>
      <c r="F1633" s="76"/>
      <c r="G1633" s="76"/>
      <c r="H1633" s="76"/>
      <c r="I1633" s="76"/>
      <c r="J1633" s="76"/>
      <c r="K1633" s="76"/>
      <c r="L1633" s="76"/>
      <c r="M1633" s="76"/>
      <c r="N1633" s="76"/>
      <c r="O1633" s="76"/>
      <c r="P1633" s="76"/>
      <c r="Q1633" s="76"/>
      <c r="R1633" s="76"/>
      <c r="S1633" s="76"/>
      <c r="T1633" s="76"/>
      <c r="U1633" s="76" t="s">
        <v>5319</v>
      </c>
      <c r="V1633" s="76"/>
      <c r="W1633" s="76"/>
      <c r="X1633" s="76"/>
    </row>
    <row r="1634" ht="18.0" customHeight="1">
      <c r="A1634" s="76"/>
      <c r="B1634" s="76"/>
      <c r="C1634" s="76"/>
      <c r="D1634" s="76"/>
      <c r="E1634" s="76"/>
      <c r="F1634" s="76"/>
      <c r="G1634" s="76"/>
      <c r="H1634" s="76"/>
      <c r="I1634" s="76"/>
      <c r="J1634" s="76"/>
      <c r="K1634" s="76"/>
      <c r="L1634" s="76"/>
      <c r="M1634" s="76"/>
      <c r="N1634" s="76"/>
      <c r="O1634" s="76"/>
      <c r="P1634" s="76"/>
      <c r="Q1634" s="76"/>
      <c r="R1634" s="76"/>
      <c r="S1634" s="76"/>
      <c r="T1634" s="76"/>
      <c r="U1634" s="76" t="s">
        <v>5320</v>
      </c>
      <c r="V1634" s="76"/>
      <c r="W1634" s="76"/>
      <c r="X1634" s="76"/>
    </row>
    <row r="1635" ht="18.0" customHeight="1">
      <c r="A1635" s="76"/>
      <c r="B1635" s="76"/>
      <c r="C1635" s="76"/>
      <c r="D1635" s="76"/>
      <c r="E1635" s="76"/>
      <c r="F1635" s="76"/>
      <c r="G1635" s="76"/>
      <c r="H1635" s="76"/>
      <c r="I1635" s="76"/>
      <c r="J1635" s="76"/>
      <c r="K1635" s="76"/>
      <c r="L1635" s="76"/>
      <c r="M1635" s="76"/>
      <c r="N1635" s="76"/>
      <c r="O1635" s="76"/>
      <c r="P1635" s="76"/>
      <c r="Q1635" s="76"/>
      <c r="R1635" s="76"/>
      <c r="S1635" s="76"/>
      <c r="T1635" s="76"/>
      <c r="U1635" s="76" t="s">
        <v>5321</v>
      </c>
      <c r="V1635" s="76"/>
      <c r="W1635" s="76"/>
      <c r="X1635" s="76"/>
    </row>
    <row r="1636" ht="18.0" customHeight="1">
      <c r="A1636" s="76"/>
      <c r="B1636" s="76"/>
      <c r="C1636" s="76"/>
      <c r="D1636" s="76"/>
      <c r="E1636" s="76"/>
      <c r="F1636" s="76"/>
      <c r="G1636" s="76"/>
      <c r="H1636" s="76"/>
      <c r="I1636" s="76"/>
      <c r="J1636" s="76"/>
      <c r="K1636" s="76"/>
      <c r="L1636" s="76"/>
      <c r="M1636" s="76"/>
      <c r="N1636" s="76"/>
      <c r="O1636" s="76"/>
      <c r="P1636" s="76"/>
      <c r="Q1636" s="76"/>
      <c r="R1636" s="76"/>
      <c r="S1636" s="76"/>
      <c r="T1636" s="76"/>
      <c r="U1636" s="76" t="s">
        <v>5322</v>
      </c>
      <c r="V1636" s="76"/>
      <c r="W1636" s="76"/>
      <c r="X1636" s="76"/>
    </row>
    <row r="1637" ht="18.0" customHeight="1">
      <c r="A1637" s="76"/>
      <c r="B1637" s="76"/>
      <c r="C1637" s="76"/>
      <c r="D1637" s="76"/>
      <c r="E1637" s="76"/>
      <c r="F1637" s="76"/>
      <c r="G1637" s="76"/>
      <c r="H1637" s="76"/>
      <c r="I1637" s="76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 t="s">
        <v>5323</v>
      </c>
      <c r="V1637" s="76"/>
      <c r="W1637" s="76"/>
      <c r="X1637" s="76"/>
    </row>
    <row r="1638" ht="18.0" customHeight="1">
      <c r="A1638" s="76"/>
      <c r="B1638" s="76"/>
      <c r="C1638" s="76"/>
      <c r="D1638" s="76"/>
      <c r="E1638" s="76"/>
      <c r="F1638" s="76"/>
      <c r="G1638" s="76"/>
      <c r="H1638" s="76"/>
      <c r="I1638" s="76"/>
      <c r="J1638" s="76"/>
      <c r="K1638" s="76"/>
      <c r="L1638" s="76"/>
      <c r="M1638" s="76"/>
      <c r="N1638" s="76"/>
      <c r="O1638" s="76"/>
      <c r="P1638" s="76"/>
      <c r="Q1638" s="76"/>
      <c r="R1638" s="76"/>
      <c r="S1638" s="76"/>
      <c r="T1638" s="76"/>
      <c r="U1638" s="76" t="s">
        <v>5324</v>
      </c>
      <c r="V1638" s="76"/>
      <c r="W1638" s="76"/>
      <c r="X1638" s="76"/>
    </row>
    <row r="1639" ht="18.0" customHeight="1">
      <c r="A1639" s="76"/>
      <c r="B1639" s="76"/>
      <c r="C1639" s="76"/>
      <c r="D1639" s="76"/>
      <c r="E1639" s="76"/>
      <c r="F1639" s="76"/>
      <c r="G1639" s="76"/>
      <c r="H1639" s="76"/>
      <c r="I1639" s="76"/>
      <c r="J1639" s="76"/>
      <c r="K1639" s="76"/>
      <c r="L1639" s="76"/>
      <c r="M1639" s="76"/>
      <c r="N1639" s="76"/>
      <c r="O1639" s="76"/>
      <c r="P1639" s="76"/>
      <c r="Q1639" s="76"/>
      <c r="R1639" s="76"/>
      <c r="S1639" s="76"/>
      <c r="T1639" s="76"/>
      <c r="U1639" s="76" t="s">
        <v>5325</v>
      </c>
      <c r="V1639" s="76"/>
      <c r="W1639" s="76"/>
      <c r="X1639" s="76"/>
    </row>
    <row r="1640" ht="18.0" customHeight="1">
      <c r="A1640" s="76"/>
      <c r="B1640" s="76"/>
      <c r="C1640" s="76"/>
      <c r="D1640" s="76"/>
      <c r="E1640" s="76"/>
      <c r="F1640" s="76"/>
      <c r="G1640" s="76"/>
      <c r="H1640" s="76"/>
      <c r="I1640" s="76"/>
      <c r="J1640" s="76"/>
      <c r="K1640" s="76"/>
      <c r="L1640" s="76"/>
      <c r="M1640" s="76"/>
      <c r="N1640" s="76"/>
      <c r="O1640" s="76"/>
      <c r="P1640" s="76"/>
      <c r="Q1640" s="76"/>
      <c r="R1640" s="76"/>
      <c r="S1640" s="76"/>
      <c r="T1640" s="76"/>
      <c r="U1640" s="76" t="s">
        <v>5326</v>
      </c>
      <c r="V1640" s="76"/>
      <c r="W1640" s="76"/>
      <c r="X1640" s="76"/>
    </row>
    <row r="1641" ht="18.0" customHeight="1">
      <c r="A1641" s="76"/>
      <c r="B1641" s="76"/>
      <c r="C1641" s="76"/>
      <c r="D1641" s="76"/>
      <c r="E1641" s="76"/>
      <c r="F1641" s="76"/>
      <c r="G1641" s="76"/>
      <c r="H1641" s="76"/>
      <c r="I1641" s="76"/>
      <c r="J1641" s="76"/>
      <c r="K1641" s="76"/>
      <c r="L1641" s="76"/>
      <c r="M1641" s="76"/>
      <c r="N1641" s="76"/>
      <c r="O1641" s="76"/>
      <c r="P1641" s="76"/>
      <c r="Q1641" s="76"/>
      <c r="R1641" s="76"/>
      <c r="S1641" s="76"/>
      <c r="T1641" s="76"/>
      <c r="U1641" s="76" t="s">
        <v>5327</v>
      </c>
      <c r="V1641" s="76"/>
      <c r="W1641" s="76"/>
      <c r="X1641" s="76"/>
    </row>
    <row r="1642" ht="18.0" customHeight="1">
      <c r="A1642" s="76"/>
      <c r="B1642" s="76"/>
      <c r="C1642" s="76"/>
      <c r="D1642" s="76"/>
      <c r="E1642" s="76"/>
      <c r="F1642" s="76"/>
      <c r="G1642" s="76"/>
      <c r="H1642" s="76"/>
      <c r="I1642" s="76"/>
      <c r="J1642" s="76"/>
      <c r="K1642" s="76"/>
      <c r="L1642" s="76"/>
      <c r="M1642" s="76"/>
      <c r="N1642" s="76"/>
      <c r="O1642" s="76"/>
      <c r="P1642" s="76"/>
      <c r="Q1642" s="76"/>
      <c r="R1642" s="76"/>
      <c r="S1642" s="76"/>
      <c r="T1642" s="76"/>
      <c r="U1642" s="76" t="s">
        <v>5328</v>
      </c>
      <c r="V1642" s="76"/>
      <c r="W1642" s="76"/>
      <c r="X1642" s="76"/>
    </row>
    <row r="1643" ht="18.0" customHeight="1">
      <c r="A1643" s="76"/>
      <c r="B1643" s="76"/>
      <c r="C1643" s="76"/>
      <c r="D1643" s="76"/>
      <c r="E1643" s="76"/>
      <c r="F1643" s="76"/>
      <c r="G1643" s="76"/>
      <c r="H1643" s="76"/>
      <c r="I1643" s="76"/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 t="s">
        <v>5329</v>
      </c>
      <c r="V1643" s="76"/>
      <c r="W1643" s="76"/>
      <c r="X1643" s="76"/>
    </row>
    <row r="1644" ht="18.0" customHeight="1">
      <c r="A1644" s="76"/>
      <c r="B1644" s="76"/>
      <c r="C1644" s="76"/>
      <c r="D1644" s="76"/>
      <c r="E1644" s="76"/>
      <c r="F1644" s="76"/>
      <c r="G1644" s="76"/>
      <c r="H1644" s="76"/>
      <c r="I1644" s="76"/>
      <c r="J1644" s="76"/>
      <c r="K1644" s="76"/>
      <c r="L1644" s="76"/>
      <c r="M1644" s="76"/>
      <c r="N1644" s="76"/>
      <c r="O1644" s="76"/>
      <c r="P1644" s="76"/>
      <c r="Q1644" s="76"/>
      <c r="R1644" s="76"/>
      <c r="S1644" s="76"/>
      <c r="T1644" s="76"/>
      <c r="U1644" s="76" t="s">
        <v>5330</v>
      </c>
      <c r="V1644" s="76"/>
      <c r="W1644" s="76"/>
      <c r="X1644" s="76"/>
    </row>
    <row r="1645" ht="18.0" customHeight="1">
      <c r="A1645" s="76"/>
      <c r="B1645" s="76"/>
      <c r="C1645" s="76"/>
      <c r="D1645" s="76"/>
      <c r="E1645" s="76"/>
      <c r="F1645" s="76"/>
      <c r="G1645" s="76"/>
      <c r="H1645" s="76"/>
      <c r="I1645" s="76"/>
      <c r="J1645" s="76"/>
      <c r="K1645" s="76"/>
      <c r="L1645" s="76"/>
      <c r="M1645" s="76"/>
      <c r="N1645" s="76"/>
      <c r="O1645" s="76"/>
      <c r="P1645" s="76"/>
      <c r="Q1645" s="76"/>
      <c r="R1645" s="76"/>
      <c r="S1645" s="76"/>
      <c r="T1645" s="76"/>
      <c r="U1645" s="76" t="s">
        <v>5331</v>
      </c>
      <c r="V1645" s="76"/>
      <c r="W1645" s="76"/>
      <c r="X1645" s="76"/>
    </row>
    <row r="1646" ht="18.0" customHeight="1">
      <c r="A1646" s="76"/>
      <c r="B1646" s="76"/>
      <c r="C1646" s="76"/>
      <c r="D1646" s="76"/>
      <c r="E1646" s="76"/>
      <c r="F1646" s="76"/>
      <c r="G1646" s="76"/>
      <c r="H1646" s="76"/>
      <c r="I1646" s="76"/>
      <c r="J1646" s="76"/>
      <c r="K1646" s="76"/>
      <c r="L1646" s="76"/>
      <c r="M1646" s="76"/>
      <c r="N1646" s="76"/>
      <c r="O1646" s="76"/>
      <c r="P1646" s="76"/>
      <c r="Q1646" s="76"/>
      <c r="R1646" s="76"/>
      <c r="S1646" s="76"/>
      <c r="T1646" s="76"/>
      <c r="U1646" s="76" t="s">
        <v>5332</v>
      </c>
      <c r="V1646" s="76"/>
      <c r="W1646" s="76"/>
      <c r="X1646" s="76"/>
    </row>
    <row r="1647" ht="18.0" customHeight="1">
      <c r="A1647" s="76"/>
      <c r="B1647" s="76"/>
      <c r="C1647" s="76"/>
      <c r="D1647" s="76"/>
      <c r="E1647" s="76"/>
      <c r="F1647" s="76"/>
      <c r="G1647" s="76"/>
      <c r="H1647" s="76"/>
      <c r="I1647" s="76"/>
      <c r="J1647" s="76"/>
      <c r="K1647" s="76"/>
      <c r="L1647" s="76"/>
      <c r="M1647" s="76"/>
      <c r="N1647" s="76"/>
      <c r="O1647" s="76"/>
      <c r="P1647" s="76"/>
      <c r="Q1647" s="76"/>
      <c r="R1647" s="76"/>
      <c r="S1647" s="76"/>
      <c r="T1647" s="76"/>
      <c r="U1647" s="76" t="s">
        <v>5333</v>
      </c>
      <c r="V1647" s="76"/>
      <c r="W1647" s="76"/>
      <c r="X1647" s="76"/>
    </row>
    <row r="1648" ht="18.0" customHeight="1">
      <c r="A1648" s="76"/>
      <c r="B1648" s="76"/>
      <c r="C1648" s="76"/>
      <c r="D1648" s="76"/>
      <c r="E1648" s="76"/>
      <c r="F1648" s="76"/>
      <c r="G1648" s="76"/>
      <c r="H1648" s="76"/>
      <c r="I1648" s="76"/>
      <c r="J1648" s="76"/>
      <c r="K1648" s="76"/>
      <c r="L1648" s="76"/>
      <c r="M1648" s="76"/>
      <c r="N1648" s="76"/>
      <c r="O1648" s="76"/>
      <c r="P1648" s="76"/>
      <c r="Q1648" s="76"/>
      <c r="R1648" s="76"/>
      <c r="S1648" s="76"/>
      <c r="T1648" s="76"/>
      <c r="U1648" s="76" t="s">
        <v>5334</v>
      </c>
      <c r="V1648" s="76"/>
      <c r="W1648" s="76"/>
      <c r="X1648" s="76"/>
    </row>
    <row r="1649" ht="18.0" customHeight="1">
      <c r="A1649" s="76"/>
      <c r="B1649" s="76"/>
      <c r="C1649" s="76"/>
      <c r="D1649" s="76"/>
      <c r="E1649" s="76"/>
      <c r="F1649" s="76"/>
      <c r="G1649" s="76"/>
      <c r="H1649" s="76"/>
      <c r="I1649" s="76"/>
      <c r="J1649" s="76"/>
      <c r="K1649" s="76"/>
      <c r="L1649" s="76"/>
      <c r="M1649" s="76"/>
      <c r="N1649" s="76"/>
      <c r="O1649" s="76"/>
      <c r="P1649" s="76"/>
      <c r="Q1649" s="76"/>
      <c r="R1649" s="76"/>
      <c r="S1649" s="76"/>
      <c r="T1649" s="76"/>
      <c r="U1649" s="76" t="s">
        <v>5335</v>
      </c>
      <c r="V1649" s="76"/>
      <c r="W1649" s="76"/>
      <c r="X1649" s="76"/>
    </row>
    <row r="1650" ht="18.0" customHeight="1">
      <c r="A1650" s="76"/>
      <c r="B1650" s="76"/>
      <c r="C1650" s="76"/>
      <c r="D1650" s="76"/>
      <c r="E1650" s="76"/>
      <c r="F1650" s="76"/>
      <c r="G1650" s="76"/>
      <c r="H1650" s="76"/>
      <c r="I1650" s="76"/>
      <c r="J1650" s="76"/>
      <c r="K1650" s="76"/>
      <c r="L1650" s="76"/>
      <c r="M1650" s="76"/>
      <c r="N1650" s="76"/>
      <c r="O1650" s="76"/>
      <c r="P1650" s="76"/>
      <c r="Q1650" s="76"/>
      <c r="R1650" s="76"/>
      <c r="S1650" s="76"/>
      <c r="T1650" s="76"/>
      <c r="U1650" s="76" t="s">
        <v>5336</v>
      </c>
      <c r="V1650" s="76"/>
      <c r="W1650" s="76"/>
      <c r="X1650" s="76"/>
    </row>
    <row r="1651" ht="18.0" customHeight="1">
      <c r="A1651" s="76"/>
      <c r="B1651" s="76"/>
      <c r="C1651" s="76"/>
      <c r="D1651" s="76"/>
      <c r="E1651" s="76"/>
      <c r="F1651" s="76"/>
      <c r="G1651" s="76"/>
      <c r="H1651" s="76"/>
      <c r="I1651" s="76"/>
      <c r="J1651" s="76"/>
      <c r="K1651" s="76"/>
      <c r="L1651" s="76"/>
      <c r="M1651" s="76"/>
      <c r="N1651" s="76"/>
      <c r="O1651" s="76"/>
      <c r="P1651" s="76"/>
      <c r="Q1651" s="76"/>
      <c r="R1651" s="76"/>
      <c r="S1651" s="76"/>
      <c r="T1651" s="76"/>
      <c r="U1651" s="76" t="s">
        <v>5337</v>
      </c>
      <c r="V1651" s="76"/>
      <c r="W1651" s="76"/>
      <c r="X1651" s="76"/>
    </row>
    <row r="1652" ht="18.0" customHeight="1">
      <c r="A1652" s="76"/>
      <c r="B1652" s="76"/>
      <c r="C1652" s="76"/>
      <c r="D1652" s="76"/>
      <c r="E1652" s="76"/>
      <c r="F1652" s="76"/>
      <c r="G1652" s="76"/>
      <c r="H1652" s="76"/>
      <c r="I1652" s="76"/>
      <c r="J1652" s="76"/>
      <c r="K1652" s="76"/>
      <c r="L1652" s="76"/>
      <c r="M1652" s="76"/>
      <c r="N1652" s="76"/>
      <c r="O1652" s="76"/>
      <c r="P1652" s="76"/>
      <c r="Q1652" s="76"/>
      <c r="R1652" s="76"/>
      <c r="S1652" s="76"/>
      <c r="T1652" s="76"/>
      <c r="U1652" s="76" t="s">
        <v>5338</v>
      </c>
      <c r="V1652" s="76"/>
      <c r="W1652" s="76"/>
      <c r="X1652" s="76"/>
    </row>
    <row r="1653" ht="18.0" customHeight="1">
      <c r="A1653" s="76"/>
      <c r="B1653" s="76"/>
      <c r="C1653" s="76"/>
      <c r="D1653" s="76"/>
      <c r="E1653" s="76"/>
      <c r="F1653" s="76"/>
      <c r="G1653" s="76"/>
      <c r="H1653" s="76"/>
      <c r="I1653" s="76"/>
      <c r="J1653" s="76"/>
      <c r="K1653" s="76"/>
      <c r="L1653" s="76"/>
      <c r="M1653" s="76"/>
      <c r="N1653" s="76"/>
      <c r="O1653" s="76"/>
      <c r="P1653" s="76"/>
      <c r="Q1653" s="76"/>
      <c r="R1653" s="76"/>
      <c r="S1653" s="76"/>
      <c r="T1653" s="76"/>
      <c r="U1653" s="76" t="s">
        <v>5339</v>
      </c>
      <c r="V1653" s="76"/>
      <c r="W1653" s="76"/>
      <c r="X1653" s="76"/>
    </row>
    <row r="1654" ht="18.0" customHeight="1">
      <c r="A1654" s="76"/>
      <c r="B1654" s="76"/>
      <c r="C1654" s="76"/>
      <c r="D1654" s="76"/>
      <c r="E1654" s="76"/>
      <c r="F1654" s="76"/>
      <c r="G1654" s="76"/>
      <c r="H1654" s="76"/>
      <c r="I1654" s="76"/>
      <c r="J1654" s="76"/>
      <c r="K1654" s="76"/>
      <c r="L1654" s="76"/>
      <c r="M1654" s="76"/>
      <c r="N1654" s="76"/>
      <c r="O1654" s="76"/>
      <c r="P1654" s="76"/>
      <c r="Q1654" s="76"/>
      <c r="R1654" s="76"/>
      <c r="S1654" s="76"/>
      <c r="T1654" s="76"/>
      <c r="U1654" s="76" t="s">
        <v>5340</v>
      </c>
      <c r="V1654" s="76"/>
      <c r="W1654" s="76"/>
      <c r="X1654" s="76"/>
    </row>
    <row r="1655" ht="18.0" customHeight="1">
      <c r="A1655" s="76"/>
      <c r="B1655" s="76"/>
      <c r="C1655" s="76"/>
      <c r="D1655" s="76"/>
      <c r="E1655" s="76"/>
      <c r="F1655" s="76"/>
      <c r="G1655" s="76"/>
      <c r="H1655" s="76"/>
      <c r="I1655" s="76"/>
      <c r="J1655" s="76"/>
      <c r="K1655" s="76"/>
      <c r="L1655" s="76"/>
      <c r="M1655" s="76"/>
      <c r="N1655" s="76"/>
      <c r="O1655" s="76"/>
      <c r="P1655" s="76"/>
      <c r="Q1655" s="76"/>
      <c r="R1655" s="76"/>
      <c r="S1655" s="76"/>
      <c r="T1655" s="76"/>
      <c r="U1655" s="76" t="s">
        <v>5341</v>
      </c>
      <c r="V1655" s="76"/>
      <c r="W1655" s="76"/>
      <c r="X1655" s="76"/>
    </row>
    <row r="1656" ht="18.0" customHeight="1">
      <c r="A1656" s="76"/>
      <c r="B1656" s="76"/>
      <c r="C1656" s="76"/>
      <c r="D1656" s="76"/>
      <c r="E1656" s="76"/>
      <c r="F1656" s="76"/>
      <c r="G1656" s="76"/>
      <c r="H1656" s="76"/>
      <c r="I1656" s="76"/>
      <c r="J1656" s="76"/>
      <c r="K1656" s="76"/>
      <c r="L1656" s="76"/>
      <c r="M1656" s="76"/>
      <c r="N1656" s="76"/>
      <c r="O1656" s="76"/>
      <c r="P1656" s="76"/>
      <c r="Q1656" s="76"/>
      <c r="R1656" s="76"/>
      <c r="S1656" s="76"/>
      <c r="T1656" s="76"/>
      <c r="U1656" s="76" t="s">
        <v>5342</v>
      </c>
      <c r="V1656" s="76"/>
      <c r="W1656" s="76"/>
      <c r="X1656" s="76"/>
    </row>
    <row r="1657" ht="18.0" customHeight="1">
      <c r="A1657" s="76"/>
      <c r="B1657" s="76"/>
      <c r="C1657" s="76"/>
      <c r="D1657" s="76"/>
      <c r="E1657" s="76"/>
      <c r="F1657" s="76"/>
      <c r="G1657" s="76"/>
      <c r="H1657" s="76"/>
      <c r="I1657" s="76"/>
      <c r="J1657" s="76"/>
      <c r="K1657" s="76"/>
      <c r="L1657" s="76"/>
      <c r="M1657" s="76"/>
      <c r="N1657" s="76"/>
      <c r="O1657" s="76"/>
      <c r="P1657" s="76"/>
      <c r="Q1657" s="76"/>
      <c r="R1657" s="76"/>
      <c r="S1657" s="76"/>
      <c r="T1657" s="76"/>
      <c r="U1657" s="76" t="s">
        <v>5343</v>
      </c>
      <c r="V1657" s="76"/>
      <c r="W1657" s="76"/>
      <c r="X1657" s="76"/>
    </row>
    <row r="1658" ht="18.0" customHeight="1">
      <c r="A1658" s="76"/>
      <c r="B1658" s="76"/>
      <c r="C1658" s="76"/>
      <c r="D1658" s="76"/>
      <c r="E1658" s="76"/>
      <c r="F1658" s="76"/>
      <c r="G1658" s="76"/>
      <c r="H1658" s="76"/>
      <c r="I1658" s="76"/>
      <c r="J1658" s="76"/>
      <c r="K1658" s="76"/>
      <c r="L1658" s="76"/>
      <c r="M1658" s="76"/>
      <c r="N1658" s="76"/>
      <c r="O1658" s="76"/>
      <c r="P1658" s="76"/>
      <c r="Q1658" s="76"/>
      <c r="R1658" s="76"/>
      <c r="S1658" s="76"/>
      <c r="T1658" s="76"/>
      <c r="U1658" s="76" t="s">
        <v>5344</v>
      </c>
      <c r="V1658" s="76"/>
      <c r="W1658" s="76"/>
      <c r="X1658" s="76"/>
    </row>
    <row r="1659" ht="18.0" customHeight="1">
      <c r="A1659" s="76"/>
      <c r="B1659" s="76"/>
      <c r="C1659" s="76"/>
      <c r="D1659" s="76"/>
      <c r="E1659" s="76"/>
      <c r="F1659" s="76"/>
      <c r="G1659" s="76"/>
      <c r="H1659" s="76"/>
      <c r="I1659" s="76"/>
      <c r="J1659" s="76"/>
      <c r="K1659" s="76"/>
      <c r="L1659" s="76"/>
      <c r="M1659" s="76"/>
      <c r="N1659" s="76"/>
      <c r="O1659" s="76"/>
      <c r="P1659" s="76"/>
      <c r="Q1659" s="76"/>
      <c r="R1659" s="76"/>
      <c r="S1659" s="76"/>
      <c r="T1659" s="76"/>
      <c r="U1659" s="76" t="s">
        <v>5345</v>
      </c>
      <c r="V1659" s="76"/>
      <c r="W1659" s="76"/>
      <c r="X1659" s="76"/>
    </row>
    <row r="1660" ht="18.0" customHeight="1">
      <c r="A1660" s="76"/>
      <c r="B1660" s="76"/>
      <c r="C1660" s="76"/>
      <c r="D1660" s="76"/>
      <c r="E1660" s="76"/>
      <c r="F1660" s="76"/>
      <c r="G1660" s="76"/>
      <c r="H1660" s="76"/>
      <c r="I1660" s="76"/>
      <c r="J1660" s="76"/>
      <c r="K1660" s="76"/>
      <c r="L1660" s="76"/>
      <c r="M1660" s="76"/>
      <c r="N1660" s="76"/>
      <c r="O1660" s="76"/>
      <c r="P1660" s="76"/>
      <c r="Q1660" s="76"/>
      <c r="R1660" s="76"/>
      <c r="S1660" s="76"/>
      <c r="T1660" s="76"/>
      <c r="U1660" s="76" t="s">
        <v>5346</v>
      </c>
      <c r="V1660" s="76"/>
      <c r="W1660" s="76"/>
      <c r="X1660" s="76"/>
    </row>
    <row r="1661" ht="18.0" customHeight="1">
      <c r="A1661" s="76"/>
      <c r="B1661" s="76"/>
      <c r="C1661" s="76"/>
      <c r="D1661" s="76"/>
      <c r="E1661" s="76"/>
      <c r="F1661" s="76"/>
      <c r="G1661" s="76"/>
      <c r="H1661" s="76"/>
      <c r="I1661" s="76"/>
      <c r="J1661" s="76"/>
      <c r="K1661" s="76"/>
      <c r="L1661" s="76"/>
      <c r="M1661" s="76"/>
      <c r="N1661" s="76"/>
      <c r="O1661" s="76"/>
      <c r="P1661" s="76"/>
      <c r="Q1661" s="76"/>
      <c r="R1661" s="76"/>
      <c r="S1661" s="76"/>
      <c r="T1661" s="76"/>
      <c r="U1661" s="76" t="s">
        <v>5347</v>
      </c>
      <c r="V1661" s="76"/>
      <c r="W1661" s="76"/>
      <c r="X1661" s="76"/>
    </row>
    <row r="1662" ht="18.0" customHeight="1">
      <c r="A1662" s="76"/>
      <c r="B1662" s="76"/>
      <c r="C1662" s="76"/>
      <c r="D1662" s="76"/>
      <c r="E1662" s="76"/>
      <c r="F1662" s="76"/>
      <c r="G1662" s="76"/>
      <c r="H1662" s="76"/>
      <c r="I1662" s="76"/>
      <c r="J1662" s="76"/>
      <c r="K1662" s="76"/>
      <c r="L1662" s="76"/>
      <c r="M1662" s="76"/>
      <c r="N1662" s="76"/>
      <c r="O1662" s="76"/>
      <c r="P1662" s="76"/>
      <c r="Q1662" s="76"/>
      <c r="R1662" s="76"/>
      <c r="S1662" s="76"/>
      <c r="T1662" s="76"/>
      <c r="U1662" s="76" t="s">
        <v>5348</v>
      </c>
      <c r="V1662" s="76"/>
      <c r="W1662" s="76"/>
      <c r="X1662" s="76"/>
    </row>
    <row r="1663" ht="18.0" customHeight="1">
      <c r="A1663" s="76"/>
      <c r="B1663" s="76"/>
      <c r="C1663" s="76"/>
      <c r="D1663" s="76"/>
      <c r="E1663" s="76"/>
      <c r="F1663" s="76"/>
      <c r="G1663" s="76"/>
      <c r="H1663" s="76"/>
      <c r="I1663" s="76"/>
      <c r="J1663" s="76"/>
      <c r="K1663" s="76"/>
      <c r="L1663" s="76"/>
      <c r="M1663" s="76"/>
      <c r="N1663" s="76"/>
      <c r="O1663" s="76"/>
      <c r="P1663" s="76"/>
      <c r="Q1663" s="76"/>
      <c r="R1663" s="76"/>
      <c r="S1663" s="76"/>
      <c r="T1663" s="76"/>
      <c r="U1663" s="76" t="s">
        <v>5349</v>
      </c>
      <c r="V1663" s="76"/>
      <c r="W1663" s="76"/>
      <c r="X1663" s="76"/>
    </row>
    <row r="1664" ht="18.0" customHeight="1">
      <c r="A1664" s="76"/>
      <c r="B1664" s="76"/>
      <c r="C1664" s="76"/>
      <c r="D1664" s="76"/>
      <c r="E1664" s="76"/>
      <c r="F1664" s="76"/>
      <c r="G1664" s="76"/>
      <c r="H1664" s="76"/>
      <c r="I1664" s="76"/>
      <c r="J1664" s="76"/>
      <c r="K1664" s="76"/>
      <c r="L1664" s="76"/>
      <c r="M1664" s="76"/>
      <c r="N1664" s="76"/>
      <c r="O1664" s="76"/>
      <c r="P1664" s="76"/>
      <c r="Q1664" s="76"/>
      <c r="R1664" s="76"/>
      <c r="S1664" s="76"/>
      <c r="T1664" s="76"/>
      <c r="U1664" s="76" t="s">
        <v>5350</v>
      </c>
      <c r="V1664" s="76"/>
      <c r="W1664" s="76"/>
      <c r="X1664" s="76"/>
    </row>
    <row r="1665" ht="18.0" customHeight="1">
      <c r="A1665" s="76"/>
      <c r="B1665" s="76"/>
      <c r="C1665" s="76"/>
      <c r="D1665" s="76"/>
      <c r="E1665" s="76"/>
      <c r="F1665" s="76"/>
      <c r="G1665" s="76"/>
      <c r="H1665" s="76"/>
      <c r="I1665" s="76"/>
      <c r="J1665" s="76"/>
      <c r="K1665" s="76"/>
      <c r="L1665" s="76"/>
      <c r="M1665" s="76"/>
      <c r="N1665" s="76"/>
      <c r="O1665" s="76"/>
      <c r="P1665" s="76"/>
      <c r="Q1665" s="76"/>
      <c r="R1665" s="76"/>
      <c r="S1665" s="76"/>
      <c r="T1665" s="76"/>
      <c r="U1665" s="76" t="s">
        <v>5351</v>
      </c>
      <c r="V1665" s="76"/>
      <c r="W1665" s="76"/>
      <c r="X1665" s="76"/>
    </row>
    <row r="1666" ht="18.0" customHeight="1">
      <c r="A1666" s="76"/>
      <c r="B1666" s="76"/>
      <c r="C1666" s="76"/>
      <c r="D1666" s="76"/>
      <c r="E1666" s="76"/>
      <c r="F1666" s="76"/>
      <c r="G1666" s="76"/>
      <c r="H1666" s="76"/>
      <c r="I1666" s="76"/>
      <c r="J1666" s="76"/>
      <c r="K1666" s="76"/>
      <c r="L1666" s="76"/>
      <c r="M1666" s="76"/>
      <c r="N1666" s="76"/>
      <c r="O1666" s="76"/>
      <c r="P1666" s="76"/>
      <c r="Q1666" s="76"/>
      <c r="R1666" s="76"/>
      <c r="S1666" s="76"/>
      <c r="T1666" s="76"/>
      <c r="U1666" s="76" t="s">
        <v>5352</v>
      </c>
      <c r="V1666" s="76"/>
      <c r="W1666" s="76"/>
      <c r="X1666" s="76"/>
    </row>
    <row r="1667" ht="18.0" customHeight="1">
      <c r="A1667" s="76"/>
      <c r="B1667" s="76"/>
      <c r="C1667" s="76"/>
      <c r="D1667" s="76"/>
      <c r="E1667" s="76"/>
      <c r="F1667" s="76"/>
      <c r="G1667" s="76"/>
      <c r="H1667" s="76"/>
      <c r="I1667" s="76"/>
      <c r="J1667" s="76"/>
      <c r="K1667" s="76"/>
      <c r="L1667" s="76"/>
      <c r="M1667" s="76"/>
      <c r="N1667" s="76"/>
      <c r="O1667" s="76"/>
      <c r="P1667" s="76"/>
      <c r="Q1667" s="76"/>
      <c r="R1667" s="76"/>
      <c r="S1667" s="76"/>
      <c r="T1667" s="76"/>
      <c r="U1667" s="76" t="s">
        <v>5353</v>
      </c>
      <c r="V1667" s="76"/>
      <c r="W1667" s="76"/>
      <c r="X1667" s="76"/>
    </row>
    <row r="1668" ht="18.0" customHeight="1">
      <c r="A1668" s="76"/>
      <c r="B1668" s="76"/>
      <c r="C1668" s="76"/>
      <c r="D1668" s="76"/>
      <c r="E1668" s="76"/>
      <c r="F1668" s="76"/>
      <c r="G1668" s="76"/>
      <c r="H1668" s="76"/>
      <c r="I1668" s="76"/>
      <c r="J1668" s="76"/>
      <c r="K1668" s="76"/>
      <c r="L1668" s="76"/>
      <c r="M1668" s="76"/>
      <c r="N1668" s="76"/>
      <c r="O1668" s="76"/>
      <c r="P1668" s="76"/>
      <c r="Q1668" s="76"/>
      <c r="R1668" s="76"/>
      <c r="S1668" s="76"/>
      <c r="T1668" s="76"/>
      <c r="U1668" s="76" t="s">
        <v>5354</v>
      </c>
      <c r="V1668" s="76"/>
      <c r="W1668" s="76"/>
      <c r="X1668" s="76"/>
    </row>
    <row r="1669" ht="18.0" customHeight="1">
      <c r="A1669" s="76"/>
      <c r="B1669" s="76"/>
      <c r="C1669" s="76"/>
      <c r="D1669" s="76"/>
      <c r="E1669" s="76"/>
      <c r="F1669" s="76"/>
      <c r="G1669" s="76"/>
      <c r="H1669" s="76"/>
      <c r="I1669" s="76"/>
      <c r="J1669" s="76"/>
      <c r="K1669" s="76"/>
      <c r="L1669" s="76"/>
      <c r="M1669" s="76"/>
      <c r="N1669" s="76"/>
      <c r="O1669" s="76"/>
      <c r="P1669" s="76"/>
      <c r="Q1669" s="76"/>
      <c r="R1669" s="76"/>
      <c r="S1669" s="76"/>
      <c r="T1669" s="76"/>
      <c r="U1669" s="76" t="s">
        <v>5355</v>
      </c>
      <c r="V1669" s="76"/>
      <c r="W1669" s="76"/>
      <c r="X1669" s="76"/>
    </row>
    <row r="1670" ht="18.0" customHeight="1">
      <c r="A1670" s="76"/>
      <c r="B1670" s="76"/>
      <c r="C1670" s="76"/>
      <c r="D1670" s="76"/>
      <c r="E1670" s="76"/>
      <c r="F1670" s="76"/>
      <c r="G1670" s="76"/>
      <c r="H1670" s="76"/>
      <c r="I1670" s="76"/>
      <c r="J1670" s="76"/>
      <c r="K1670" s="76"/>
      <c r="L1670" s="76"/>
      <c r="M1670" s="76"/>
      <c r="N1670" s="76"/>
      <c r="O1670" s="76"/>
      <c r="P1670" s="76"/>
      <c r="Q1670" s="76"/>
      <c r="R1670" s="76"/>
      <c r="S1670" s="76"/>
      <c r="T1670" s="76"/>
      <c r="U1670" s="76" t="s">
        <v>5356</v>
      </c>
      <c r="V1670" s="76"/>
      <c r="W1670" s="76"/>
      <c r="X1670" s="76"/>
    </row>
    <row r="1671" ht="18.0" customHeight="1">
      <c r="A1671" s="76"/>
      <c r="B1671" s="76"/>
      <c r="C1671" s="76"/>
      <c r="D1671" s="76"/>
      <c r="E1671" s="76"/>
      <c r="F1671" s="76"/>
      <c r="G1671" s="76"/>
      <c r="H1671" s="76"/>
      <c r="I1671" s="76"/>
      <c r="J1671" s="76"/>
      <c r="K1671" s="76"/>
      <c r="L1671" s="76"/>
      <c r="M1671" s="76"/>
      <c r="N1671" s="76"/>
      <c r="O1671" s="76"/>
      <c r="P1671" s="76"/>
      <c r="Q1671" s="76"/>
      <c r="R1671" s="76"/>
      <c r="S1671" s="76"/>
      <c r="T1671" s="76"/>
      <c r="U1671" s="76" t="s">
        <v>5357</v>
      </c>
      <c r="V1671" s="76"/>
      <c r="W1671" s="76"/>
      <c r="X1671" s="76"/>
    </row>
    <row r="1672" ht="18.0" customHeight="1">
      <c r="A1672" s="76"/>
      <c r="B1672" s="76"/>
      <c r="C1672" s="76"/>
      <c r="D1672" s="76"/>
      <c r="E1672" s="76"/>
      <c r="F1672" s="76"/>
      <c r="G1672" s="76"/>
      <c r="H1672" s="76"/>
      <c r="I1672" s="76"/>
      <c r="J1672" s="76"/>
      <c r="K1672" s="76"/>
      <c r="L1672" s="76"/>
      <c r="M1672" s="76"/>
      <c r="N1672" s="76"/>
      <c r="O1672" s="76"/>
      <c r="P1672" s="76"/>
      <c r="Q1672" s="76"/>
      <c r="R1672" s="76"/>
      <c r="S1672" s="76"/>
      <c r="T1672" s="76"/>
      <c r="U1672" s="76" t="s">
        <v>5358</v>
      </c>
      <c r="V1672" s="76"/>
      <c r="W1672" s="76"/>
      <c r="X1672" s="76"/>
    </row>
    <row r="1673" ht="18.0" customHeight="1">
      <c r="A1673" s="76"/>
      <c r="B1673" s="76"/>
      <c r="C1673" s="76"/>
      <c r="D1673" s="76"/>
      <c r="E1673" s="76"/>
      <c r="F1673" s="76"/>
      <c r="G1673" s="76"/>
      <c r="H1673" s="76"/>
      <c r="I1673" s="76"/>
      <c r="J1673" s="76"/>
      <c r="K1673" s="76"/>
      <c r="L1673" s="76"/>
      <c r="M1673" s="76"/>
      <c r="N1673" s="76"/>
      <c r="O1673" s="76"/>
      <c r="P1673" s="76"/>
      <c r="Q1673" s="76"/>
      <c r="R1673" s="76"/>
      <c r="S1673" s="76"/>
      <c r="T1673" s="76"/>
      <c r="U1673" s="76" t="s">
        <v>5359</v>
      </c>
      <c r="V1673" s="76"/>
      <c r="W1673" s="76"/>
      <c r="X1673" s="76"/>
    </row>
    <row r="1674" ht="18.0" customHeight="1">
      <c r="A1674" s="76"/>
      <c r="B1674" s="76"/>
      <c r="C1674" s="76"/>
      <c r="D1674" s="76"/>
      <c r="E1674" s="76"/>
      <c r="F1674" s="76"/>
      <c r="G1674" s="76"/>
      <c r="H1674" s="76"/>
      <c r="I1674" s="76"/>
      <c r="J1674" s="76"/>
      <c r="K1674" s="76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 t="s">
        <v>5360</v>
      </c>
      <c r="V1674" s="76"/>
      <c r="W1674" s="76"/>
      <c r="X1674" s="76"/>
    </row>
    <row r="1675" ht="18.0" customHeight="1">
      <c r="A1675" s="76"/>
      <c r="B1675" s="76"/>
      <c r="C1675" s="76"/>
      <c r="D1675" s="76"/>
      <c r="E1675" s="76"/>
      <c r="F1675" s="76"/>
      <c r="G1675" s="76"/>
      <c r="H1675" s="76"/>
      <c r="I1675" s="76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 t="s">
        <v>5361</v>
      </c>
      <c r="V1675" s="76"/>
      <c r="W1675" s="76"/>
      <c r="X1675" s="76"/>
    </row>
    <row r="1676" ht="18.0" customHeight="1">
      <c r="A1676" s="76"/>
      <c r="B1676" s="76"/>
      <c r="C1676" s="76"/>
      <c r="D1676" s="76"/>
      <c r="E1676" s="76"/>
      <c r="F1676" s="76"/>
      <c r="G1676" s="76"/>
      <c r="H1676" s="76"/>
      <c r="I1676" s="76"/>
      <c r="J1676" s="76"/>
      <c r="K1676" s="76"/>
      <c r="L1676" s="76"/>
      <c r="M1676" s="76"/>
      <c r="N1676" s="76"/>
      <c r="O1676" s="76"/>
      <c r="P1676" s="76"/>
      <c r="Q1676" s="76"/>
      <c r="R1676" s="76"/>
      <c r="S1676" s="76"/>
      <c r="T1676" s="76"/>
      <c r="U1676" s="76" t="s">
        <v>5362</v>
      </c>
      <c r="V1676" s="76"/>
      <c r="W1676" s="76"/>
      <c r="X1676" s="76"/>
    </row>
    <row r="1677" ht="18.0" customHeight="1">
      <c r="A1677" s="76"/>
      <c r="B1677" s="76"/>
      <c r="C1677" s="76"/>
      <c r="D1677" s="76"/>
      <c r="E1677" s="76"/>
      <c r="F1677" s="76"/>
      <c r="G1677" s="76"/>
      <c r="H1677" s="76"/>
      <c r="I1677" s="76"/>
      <c r="J1677" s="76"/>
      <c r="K1677" s="76"/>
      <c r="L1677" s="76"/>
      <c r="M1677" s="76"/>
      <c r="N1677" s="76"/>
      <c r="O1677" s="76"/>
      <c r="P1677" s="76"/>
      <c r="Q1677" s="76"/>
      <c r="R1677" s="76"/>
      <c r="S1677" s="76"/>
      <c r="T1677" s="76"/>
      <c r="U1677" s="76" t="s">
        <v>5363</v>
      </c>
      <c r="V1677" s="76"/>
      <c r="W1677" s="76"/>
      <c r="X1677" s="76"/>
    </row>
    <row r="1678" ht="18.0" customHeight="1">
      <c r="A1678" s="76"/>
      <c r="B1678" s="76"/>
      <c r="C1678" s="76"/>
      <c r="D1678" s="76"/>
      <c r="E1678" s="76"/>
      <c r="F1678" s="76"/>
      <c r="G1678" s="76"/>
      <c r="H1678" s="76"/>
      <c r="I1678" s="76"/>
      <c r="J1678" s="76"/>
      <c r="K1678" s="76"/>
      <c r="L1678" s="76"/>
      <c r="M1678" s="76"/>
      <c r="N1678" s="76"/>
      <c r="O1678" s="76"/>
      <c r="P1678" s="76"/>
      <c r="Q1678" s="76"/>
      <c r="R1678" s="76"/>
      <c r="S1678" s="76"/>
      <c r="T1678" s="76"/>
      <c r="U1678" s="76" t="s">
        <v>5364</v>
      </c>
      <c r="V1678" s="76"/>
      <c r="W1678" s="76"/>
      <c r="X1678" s="76"/>
    </row>
    <row r="1679" ht="18.0" customHeight="1">
      <c r="A1679" s="76"/>
      <c r="B1679" s="76"/>
      <c r="C1679" s="76"/>
      <c r="D1679" s="76"/>
      <c r="E1679" s="76"/>
      <c r="F1679" s="76"/>
      <c r="G1679" s="76"/>
      <c r="H1679" s="76"/>
      <c r="I1679" s="76"/>
      <c r="J1679" s="76"/>
      <c r="K1679" s="76"/>
      <c r="L1679" s="76"/>
      <c r="M1679" s="76"/>
      <c r="N1679" s="76"/>
      <c r="O1679" s="76"/>
      <c r="P1679" s="76"/>
      <c r="Q1679" s="76"/>
      <c r="R1679" s="76"/>
      <c r="S1679" s="76"/>
      <c r="T1679" s="76"/>
      <c r="U1679" s="76" t="s">
        <v>5365</v>
      </c>
      <c r="V1679" s="76"/>
      <c r="W1679" s="76"/>
      <c r="X1679" s="76"/>
    </row>
    <row r="1680" ht="18.0" customHeight="1">
      <c r="A1680" s="76"/>
      <c r="B1680" s="76"/>
      <c r="C1680" s="76"/>
      <c r="D1680" s="76"/>
      <c r="E1680" s="76"/>
      <c r="F1680" s="76"/>
      <c r="G1680" s="76"/>
      <c r="H1680" s="76"/>
      <c r="I1680" s="76"/>
      <c r="J1680" s="76"/>
      <c r="K1680" s="76"/>
      <c r="L1680" s="76"/>
      <c r="M1680" s="76"/>
      <c r="N1680" s="76"/>
      <c r="O1680" s="76"/>
      <c r="P1680" s="76"/>
      <c r="Q1680" s="76"/>
      <c r="R1680" s="76"/>
      <c r="S1680" s="76"/>
      <c r="T1680" s="76"/>
      <c r="U1680" s="76" t="s">
        <v>5366</v>
      </c>
      <c r="V1680" s="76"/>
      <c r="W1680" s="76"/>
      <c r="X1680" s="76"/>
    </row>
    <row r="1681" ht="18.0" customHeight="1">
      <c r="A1681" s="76"/>
      <c r="B1681" s="76"/>
      <c r="C1681" s="76"/>
      <c r="D1681" s="76"/>
      <c r="E1681" s="76"/>
      <c r="F1681" s="76"/>
      <c r="G1681" s="76"/>
      <c r="H1681" s="76"/>
      <c r="I1681" s="76"/>
      <c r="J1681" s="76"/>
      <c r="K1681" s="76"/>
      <c r="L1681" s="76"/>
      <c r="M1681" s="76"/>
      <c r="N1681" s="76"/>
      <c r="O1681" s="76"/>
      <c r="P1681" s="76"/>
      <c r="Q1681" s="76"/>
      <c r="R1681" s="76"/>
      <c r="S1681" s="76"/>
      <c r="T1681" s="76"/>
      <c r="U1681" s="76" t="s">
        <v>5367</v>
      </c>
      <c r="V1681" s="76"/>
      <c r="W1681" s="76"/>
      <c r="X1681" s="76"/>
    </row>
    <row r="1682" ht="18.0" customHeight="1">
      <c r="A1682" s="76"/>
      <c r="B1682" s="76"/>
      <c r="C1682" s="76"/>
      <c r="D1682" s="76"/>
      <c r="E1682" s="76"/>
      <c r="F1682" s="76"/>
      <c r="G1682" s="76"/>
      <c r="H1682" s="76"/>
      <c r="I1682" s="76"/>
      <c r="J1682" s="76"/>
      <c r="K1682" s="76"/>
      <c r="L1682" s="76"/>
      <c r="M1682" s="76"/>
      <c r="N1682" s="76"/>
      <c r="O1682" s="76"/>
      <c r="P1682" s="76"/>
      <c r="Q1682" s="76"/>
      <c r="R1682" s="76"/>
      <c r="S1682" s="76"/>
      <c r="T1682" s="76"/>
      <c r="U1682" s="76" t="s">
        <v>5368</v>
      </c>
      <c r="V1682" s="76"/>
      <c r="W1682" s="76"/>
      <c r="X1682" s="76"/>
    </row>
    <row r="1683" ht="18.0" customHeight="1">
      <c r="A1683" s="76"/>
      <c r="B1683" s="76"/>
      <c r="C1683" s="76"/>
      <c r="D1683" s="76"/>
      <c r="E1683" s="76"/>
      <c r="F1683" s="76"/>
      <c r="G1683" s="76"/>
      <c r="H1683" s="76"/>
      <c r="I1683" s="76"/>
      <c r="J1683" s="76"/>
      <c r="K1683" s="76"/>
      <c r="L1683" s="76"/>
      <c r="M1683" s="76"/>
      <c r="N1683" s="76"/>
      <c r="O1683" s="76"/>
      <c r="P1683" s="76"/>
      <c r="Q1683" s="76"/>
      <c r="R1683" s="76"/>
      <c r="S1683" s="76"/>
      <c r="T1683" s="76"/>
      <c r="U1683" s="76" t="s">
        <v>5369</v>
      </c>
      <c r="V1683" s="76"/>
      <c r="W1683" s="76"/>
      <c r="X1683" s="76"/>
    </row>
    <row r="1684" ht="18.0" customHeight="1">
      <c r="A1684" s="76"/>
      <c r="B1684" s="76"/>
      <c r="C1684" s="76"/>
      <c r="D1684" s="76"/>
      <c r="E1684" s="76"/>
      <c r="F1684" s="76"/>
      <c r="G1684" s="76"/>
      <c r="H1684" s="76"/>
      <c r="I1684" s="76"/>
      <c r="J1684" s="76"/>
      <c r="K1684" s="76"/>
      <c r="L1684" s="76"/>
      <c r="M1684" s="76"/>
      <c r="N1684" s="76"/>
      <c r="O1684" s="76"/>
      <c r="P1684" s="76"/>
      <c r="Q1684" s="76"/>
      <c r="R1684" s="76"/>
      <c r="S1684" s="76"/>
      <c r="T1684" s="76"/>
      <c r="U1684" s="76" t="s">
        <v>5370</v>
      </c>
      <c r="V1684" s="76"/>
      <c r="W1684" s="76"/>
      <c r="X1684" s="76"/>
    </row>
    <row r="1685" ht="18.0" customHeight="1">
      <c r="A1685" s="76"/>
      <c r="B1685" s="76"/>
      <c r="C1685" s="76"/>
      <c r="D1685" s="76"/>
      <c r="E1685" s="76"/>
      <c r="F1685" s="76"/>
      <c r="G1685" s="76"/>
      <c r="H1685" s="76"/>
      <c r="I1685" s="76"/>
      <c r="J1685" s="76"/>
      <c r="K1685" s="76"/>
      <c r="L1685" s="76"/>
      <c r="M1685" s="76"/>
      <c r="N1685" s="76"/>
      <c r="O1685" s="76"/>
      <c r="P1685" s="76"/>
      <c r="Q1685" s="76"/>
      <c r="R1685" s="76"/>
      <c r="S1685" s="76"/>
      <c r="T1685" s="76"/>
      <c r="U1685" s="76" t="s">
        <v>5371</v>
      </c>
      <c r="V1685" s="76"/>
      <c r="W1685" s="76"/>
      <c r="X1685" s="76"/>
    </row>
    <row r="1686" ht="18.0" customHeight="1">
      <c r="A1686" s="76"/>
      <c r="B1686" s="76"/>
      <c r="C1686" s="76"/>
      <c r="D1686" s="76"/>
      <c r="E1686" s="76"/>
      <c r="F1686" s="76"/>
      <c r="G1686" s="76"/>
      <c r="H1686" s="76"/>
      <c r="I1686" s="76"/>
      <c r="J1686" s="76"/>
      <c r="K1686" s="76"/>
      <c r="L1686" s="76"/>
      <c r="M1686" s="76"/>
      <c r="N1686" s="76"/>
      <c r="O1686" s="76"/>
      <c r="P1686" s="76"/>
      <c r="Q1686" s="76"/>
      <c r="R1686" s="76"/>
      <c r="S1686" s="76"/>
      <c r="T1686" s="76"/>
      <c r="U1686" s="76" t="s">
        <v>5372</v>
      </c>
      <c r="V1686" s="76"/>
      <c r="W1686" s="76"/>
      <c r="X1686" s="76"/>
    </row>
    <row r="1687" ht="18.0" customHeight="1">
      <c r="A1687" s="76"/>
      <c r="B1687" s="76"/>
      <c r="C1687" s="76"/>
      <c r="D1687" s="76"/>
      <c r="E1687" s="76"/>
      <c r="F1687" s="76"/>
      <c r="G1687" s="76"/>
      <c r="H1687" s="76"/>
      <c r="I1687" s="76"/>
      <c r="J1687" s="76"/>
      <c r="K1687" s="76"/>
      <c r="L1687" s="76"/>
      <c r="M1687" s="76"/>
      <c r="N1687" s="76"/>
      <c r="O1687" s="76"/>
      <c r="P1687" s="76"/>
      <c r="Q1687" s="76"/>
      <c r="R1687" s="76"/>
      <c r="S1687" s="76"/>
      <c r="T1687" s="76"/>
      <c r="U1687" s="76" t="s">
        <v>5373</v>
      </c>
      <c r="V1687" s="76"/>
      <c r="W1687" s="76"/>
      <c r="X1687" s="76"/>
    </row>
    <row r="1688" ht="18.0" customHeight="1">
      <c r="A1688" s="76"/>
      <c r="B1688" s="76"/>
      <c r="C1688" s="76"/>
      <c r="D1688" s="76"/>
      <c r="E1688" s="76"/>
      <c r="F1688" s="76"/>
      <c r="G1688" s="76"/>
      <c r="H1688" s="76"/>
      <c r="I1688" s="76"/>
      <c r="J1688" s="76"/>
      <c r="K1688" s="76"/>
      <c r="L1688" s="76"/>
      <c r="M1688" s="76"/>
      <c r="N1688" s="76"/>
      <c r="O1688" s="76"/>
      <c r="P1688" s="76"/>
      <c r="Q1688" s="76"/>
      <c r="R1688" s="76"/>
      <c r="S1688" s="76"/>
      <c r="T1688" s="76"/>
      <c r="U1688" s="76" t="s">
        <v>5374</v>
      </c>
      <c r="V1688" s="76"/>
      <c r="W1688" s="76"/>
      <c r="X1688" s="76"/>
    </row>
    <row r="1689" ht="18.0" customHeight="1">
      <c r="A1689" s="76"/>
      <c r="B1689" s="76"/>
      <c r="C1689" s="76"/>
      <c r="D1689" s="76"/>
      <c r="E1689" s="76"/>
      <c r="F1689" s="76"/>
      <c r="G1689" s="76"/>
      <c r="H1689" s="76"/>
      <c r="I1689" s="76"/>
      <c r="J1689" s="76"/>
      <c r="K1689" s="76"/>
      <c r="L1689" s="76"/>
      <c r="M1689" s="76"/>
      <c r="N1689" s="76"/>
      <c r="O1689" s="76"/>
      <c r="P1689" s="76"/>
      <c r="Q1689" s="76"/>
      <c r="R1689" s="76"/>
      <c r="S1689" s="76"/>
      <c r="T1689" s="76"/>
      <c r="U1689" s="76" t="s">
        <v>5375</v>
      </c>
      <c r="V1689" s="76"/>
      <c r="W1689" s="76"/>
      <c r="X1689" s="76"/>
    </row>
    <row r="1690" ht="18.0" customHeight="1">
      <c r="A1690" s="76"/>
      <c r="B1690" s="76"/>
      <c r="C1690" s="76"/>
      <c r="D1690" s="76"/>
      <c r="E1690" s="76"/>
      <c r="F1690" s="76"/>
      <c r="G1690" s="76"/>
      <c r="H1690" s="76"/>
      <c r="I1690" s="76"/>
      <c r="J1690" s="76"/>
      <c r="K1690" s="76"/>
      <c r="L1690" s="76"/>
      <c r="M1690" s="76"/>
      <c r="N1690" s="76"/>
      <c r="O1690" s="76"/>
      <c r="P1690" s="76"/>
      <c r="Q1690" s="76"/>
      <c r="R1690" s="76"/>
      <c r="S1690" s="76"/>
      <c r="T1690" s="76"/>
      <c r="U1690" s="76" t="s">
        <v>5376</v>
      </c>
      <c r="V1690" s="76"/>
      <c r="W1690" s="76"/>
      <c r="X1690" s="76"/>
    </row>
    <row r="1691" ht="18.0" customHeight="1">
      <c r="A1691" s="76"/>
      <c r="B1691" s="76"/>
      <c r="C1691" s="76"/>
      <c r="D1691" s="76"/>
      <c r="E1691" s="76"/>
      <c r="F1691" s="76"/>
      <c r="G1691" s="76"/>
      <c r="H1691" s="76"/>
      <c r="I1691" s="76"/>
      <c r="J1691" s="76"/>
      <c r="K1691" s="76"/>
      <c r="L1691" s="76"/>
      <c r="M1691" s="76"/>
      <c r="N1691" s="76"/>
      <c r="O1691" s="76"/>
      <c r="P1691" s="76"/>
      <c r="Q1691" s="76"/>
      <c r="R1691" s="76"/>
      <c r="S1691" s="76"/>
      <c r="T1691" s="76"/>
      <c r="U1691" s="76" t="s">
        <v>5377</v>
      </c>
      <c r="V1691" s="76"/>
      <c r="W1691" s="76"/>
      <c r="X1691" s="76"/>
    </row>
    <row r="1692" ht="18.0" customHeight="1">
      <c r="A1692" s="76"/>
      <c r="B1692" s="76"/>
      <c r="C1692" s="76"/>
      <c r="D1692" s="76"/>
      <c r="E1692" s="76"/>
      <c r="F1692" s="76"/>
      <c r="G1692" s="76"/>
      <c r="H1692" s="76"/>
      <c r="I1692" s="76"/>
      <c r="J1692" s="76"/>
      <c r="K1692" s="76"/>
      <c r="L1692" s="76"/>
      <c r="M1692" s="76"/>
      <c r="N1692" s="76"/>
      <c r="O1692" s="76"/>
      <c r="P1692" s="76"/>
      <c r="Q1692" s="76"/>
      <c r="R1692" s="76"/>
      <c r="S1692" s="76"/>
      <c r="T1692" s="76"/>
      <c r="U1692" s="76" t="s">
        <v>5378</v>
      </c>
      <c r="V1692" s="76"/>
      <c r="W1692" s="76"/>
      <c r="X1692" s="76"/>
    </row>
    <row r="1693" ht="18.0" customHeight="1">
      <c r="A1693" s="76"/>
      <c r="B1693" s="76"/>
      <c r="C1693" s="76"/>
      <c r="D1693" s="76"/>
      <c r="E1693" s="76"/>
      <c r="F1693" s="76"/>
      <c r="G1693" s="76"/>
      <c r="H1693" s="76"/>
      <c r="I1693" s="76"/>
      <c r="J1693" s="76"/>
      <c r="K1693" s="76"/>
      <c r="L1693" s="76"/>
      <c r="M1693" s="76"/>
      <c r="N1693" s="76"/>
      <c r="O1693" s="76"/>
      <c r="P1693" s="76"/>
      <c r="Q1693" s="76"/>
      <c r="R1693" s="76"/>
      <c r="S1693" s="76"/>
      <c r="T1693" s="76"/>
      <c r="U1693" s="76" t="s">
        <v>5379</v>
      </c>
      <c r="V1693" s="76"/>
      <c r="W1693" s="76"/>
      <c r="X1693" s="76"/>
    </row>
    <row r="1694" ht="18.0" customHeight="1">
      <c r="A1694" s="76"/>
      <c r="B1694" s="76"/>
      <c r="C1694" s="76"/>
      <c r="D1694" s="76"/>
      <c r="E1694" s="76"/>
      <c r="F1694" s="76"/>
      <c r="G1694" s="76"/>
      <c r="H1694" s="76"/>
      <c r="I1694" s="76"/>
      <c r="J1694" s="76"/>
      <c r="K1694" s="76"/>
      <c r="L1694" s="76"/>
      <c r="M1694" s="76"/>
      <c r="N1694" s="76"/>
      <c r="O1694" s="76"/>
      <c r="P1694" s="76"/>
      <c r="Q1694" s="76"/>
      <c r="R1694" s="76"/>
      <c r="S1694" s="76"/>
      <c r="T1694" s="76"/>
      <c r="U1694" s="76" t="s">
        <v>5380</v>
      </c>
      <c r="V1694" s="76"/>
      <c r="W1694" s="76"/>
      <c r="X1694" s="76"/>
    </row>
    <row r="1695" ht="18.0" customHeight="1">
      <c r="A1695" s="76"/>
      <c r="B1695" s="76"/>
      <c r="C1695" s="76"/>
      <c r="D1695" s="76"/>
      <c r="E1695" s="76"/>
      <c r="F1695" s="76"/>
      <c r="G1695" s="76"/>
      <c r="H1695" s="76"/>
      <c r="I1695" s="76"/>
      <c r="J1695" s="76"/>
      <c r="K1695" s="76"/>
      <c r="L1695" s="76"/>
      <c r="M1695" s="76"/>
      <c r="N1695" s="76"/>
      <c r="O1695" s="76"/>
      <c r="P1695" s="76"/>
      <c r="Q1695" s="76"/>
      <c r="R1695" s="76"/>
      <c r="S1695" s="76"/>
      <c r="T1695" s="76"/>
      <c r="U1695" s="76" t="s">
        <v>5381</v>
      </c>
      <c r="V1695" s="76"/>
      <c r="W1695" s="76"/>
      <c r="X1695" s="76"/>
    </row>
    <row r="1696" ht="18.0" customHeight="1">
      <c r="A1696" s="76"/>
      <c r="B1696" s="76"/>
      <c r="C1696" s="76"/>
      <c r="D1696" s="76"/>
      <c r="E1696" s="76"/>
      <c r="F1696" s="76"/>
      <c r="G1696" s="76"/>
      <c r="H1696" s="76"/>
      <c r="I1696" s="76"/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 t="s">
        <v>5382</v>
      </c>
      <c r="V1696" s="76"/>
      <c r="W1696" s="76"/>
      <c r="X1696" s="76"/>
    </row>
    <row r="1697" ht="18.0" customHeight="1">
      <c r="A1697" s="76"/>
      <c r="B1697" s="76"/>
      <c r="C1697" s="76"/>
      <c r="D1697" s="76"/>
      <c r="E1697" s="76"/>
      <c r="F1697" s="76"/>
      <c r="G1697" s="76"/>
      <c r="H1697" s="76"/>
      <c r="I1697" s="76"/>
      <c r="J1697" s="76"/>
      <c r="K1697" s="76"/>
      <c r="L1697" s="76"/>
      <c r="M1697" s="76"/>
      <c r="N1697" s="76"/>
      <c r="O1697" s="76"/>
      <c r="P1697" s="76"/>
      <c r="Q1697" s="76"/>
      <c r="R1697" s="76"/>
      <c r="S1697" s="76"/>
      <c r="T1697" s="76"/>
      <c r="U1697" s="76" t="s">
        <v>5383</v>
      </c>
      <c r="V1697" s="76"/>
      <c r="W1697" s="76"/>
      <c r="X1697" s="76"/>
    </row>
    <row r="1698" ht="18.0" customHeight="1">
      <c r="A1698" s="76"/>
      <c r="B1698" s="76"/>
      <c r="C1698" s="76"/>
      <c r="D1698" s="76"/>
      <c r="E1698" s="76"/>
      <c r="F1698" s="76"/>
      <c r="G1698" s="76"/>
      <c r="H1698" s="76"/>
      <c r="I1698" s="76"/>
      <c r="J1698" s="76"/>
      <c r="K1698" s="76"/>
      <c r="L1698" s="76"/>
      <c r="M1698" s="76"/>
      <c r="N1698" s="76"/>
      <c r="O1698" s="76"/>
      <c r="P1698" s="76"/>
      <c r="Q1698" s="76"/>
      <c r="R1698" s="76"/>
      <c r="S1698" s="76"/>
      <c r="T1698" s="76"/>
      <c r="U1698" s="76" t="s">
        <v>5384</v>
      </c>
      <c r="V1698" s="76"/>
      <c r="W1698" s="76"/>
      <c r="X1698" s="76"/>
    </row>
    <row r="1699" ht="18.0" customHeight="1">
      <c r="A1699" s="76"/>
      <c r="B1699" s="76"/>
      <c r="C1699" s="76"/>
      <c r="D1699" s="76"/>
      <c r="E1699" s="76"/>
      <c r="F1699" s="76"/>
      <c r="G1699" s="76"/>
      <c r="H1699" s="76"/>
      <c r="I1699" s="76"/>
      <c r="J1699" s="76"/>
      <c r="K1699" s="76"/>
      <c r="L1699" s="76"/>
      <c r="M1699" s="76"/>
      <c r="N1699" s="76"/>
      <c r="O1699" s="76"/>
      <c r="P1699" s="76"/>
      <c r="Q1699" s="76"/>
      <c r="R1699" s="76"/>
      <c r="S1699" s="76"/>
      <c r="T1699" s="76"/>
      <c r="U1699" s="76" t="s">
        <v>5385</v>
      </c>
      <c r="V1699" s="76"/>
      <c r="W1699" s="76"/>
      <c r="X1699" s="76"/>
    </row>
    <row r="1700" ht="18.0" customHeight="1">
      <c r="A1700" s="76"/>
      <c r="B1700" s="76"/>
      <c r="C1700" s="76"/>
      <c r="D1700" s="76"/>
      <c r="E1700" s="76"/>
      <c r="F1700" s="76"/>
      <c r="G1700" s="76"/>
      <c r="H1700" s="76"/>
      <c r="I1700" s="76"/>
      <c r="J1700" s="76"/>
      <c r="K1700" s="76"/>
      <c r="L1700" s="76"/>
      <c r="M1700" s="76"/>
      <c r="N1700" s="76"/>
      <c r="O1700" s="76"/>
      <c r="P1700" s="76"/>
      <c r="Q1700" s="76"/>
      <c r="R1700" s="76"/>
      <c r="S1700" s="76"/>
      <c r="T1700" s="76"/>
      <c r="U1700" s="76" t="s">
        <v>5386</v>
      </c>
      <c r="V1700" s="76"/>
      <c r="W1700" s="76"/>
      <c r="X1700" s="76"/>
    </row>
    <row r="1701" ht="18.0" customHeight="1">
      <c r="A1701" s="76"/>
      <c r="B1701" s="76"/>
      <c r="C1701" s="76"/>
      <c r="D1701" s="76"/>
      <c r="E1701" s="76"/>
      <c r="F1701" s="76"/>
      <c r="G1701" s="76"/>
      <c r="H1701" s="76"/>
      <c r="I1701" s="76"/>
      <c r="J1701" s="76"/>
      <c r="K1701" s="76"/>
      <c r="L1701" s="76"/>
      <c r="M1701" s="76"/>
      <c r="N1701" s="76"/>
      <c r="O1701" s="76"/>
      <c r="P1701" s="76"/>
      <c r="Q1701" s="76"/>
      <c r="R1701" s="76"/>
      <c r="S1701" s="76"/>
      <c r="T1701" s="76"/>
      <c r="U1701" s="76" t="s">
        <v>5387</v>
      </c>
      <c r="V1701" s="76"/>
      <c r="W1701" s="76"/>
      <c r="X1701" s="76"/>
    </row>
    <row r="1702" ht="18.0" customHeight="1">
      <c r="A1702" s="76"/>
      <c r="B1702" s="76"/>
      <c r="C1702" s="76"/>
      <c r="D1702" s="76"/>
      <c r="E1702" s="76"/>
      <c r="F1702" s="76"/>
      <c r="G1702" s="76"/>
      <c r="H1702" s="76"/>
      <c r="I1702" s="76"/>
      <c r="J1702" s="76"/>
      <c r="K1702" s="76"/>
      <c r="L1702" s="76"/>
      <c r="M1702" s="76"/>
      <c r="N1702" s="76"/>
      <c r="O1702" s="76"/>
      <c r="P1702" s="76"/>
      <c r="Q1702" s="76"/>
      <c r="R1702" s="76"/>
      <c r="S1702" s="76"/>
      <c r="T1702" s="76"/>
      <c r="U1702" s="76" t="s">
        <v>5388</v>
      </c>
      <c r="V1702" s="76"/>
      <c r="W1702" s="76"/>
      <c r="X1702" s="76"/>
    </row>
    <row r="1703" ht="18.0" customHeight="1">
      <c r="A1703" s="76"/>
      <c r="B1703" s="76"/>
      <c r="C1703" s="76"/>
      <c r="D1703" s="76"/>
      <c r="E1703" s="76"/>
      <c r="F1703" s="76"/>
      <c r="G1703" s="76"/>
      <c r="H1703" s="76"/>
      <c r="I1703" s="76"/>
      <c r="J1703" s="76"/>
      <c r="K1703" s="76"/>
      <c r="L1703" s="76"/>
      <c r="M1703" s="76"/>
      <c r="N1703" s="76"/>
      <c r="O1703" s="76"/>
      <c r="P1703" s="76"/>
      <c r="Q1703" s="76"/>
      <c r="R1703" s="76"/>
      <c r="S1703" s="76"/>
      <c r="T1703" s="76"/>
      <c r="U1703" s="76" t="s">
        <v>5389</v>
      </c>
      <c r="V1703" s="76"/>
      <c r="W1703" s="76"/>
      <c r="X1703" s="76"/>
    </row>
    <row r="1704" ht="18.0" customHeight="1">
      <c r="A1704" s="76"/>
      <c r="B1704" s="76"/>
      <c r="C1704" s="76"/>
      <c r="D1704" s="76"/>
      <c r="E1704" s="76"/>
      <c r="F1704" s="76"/>
      <c r="G1704" s="76"/>
      <c r="H1704" s="76"/>
      <c r="I1704" s="76"/>
      <c r="J1704" s="76"/>
      <c r="K1704" s="76"/>
      <c r="L1704" s="76"/>
      <c r="M1704" s="76"/>
      <c r="N1704" s="76"/>
      <c r="O1704" s="76"/>
      <c r="P1704" s="76"/>
      <c r="Q1704" s="76"/>
      <c r="R1704" s="76"/>
      <c r="S1704" s="76"/>
      <c r="T1704" s="76"/>
      <c r="U1704" s="76" t="s">
        <v>5390</v>
      </c>
      <c r="V1704" s="76"/>
      <c r="W1704" s="76"/>
      <c r="X1704" s="76"/>
    </row>
    <row r="1705" ht="18.0" customHeight="1">
      <c r="A1705" s="76"/>
      <c r="B1705" s="76"/>
      <c r="C1705" s="76"/>
      <c r="D1705" s="76"/>
      <c r="E1705" s="76"/>
      <c r="F1705" s="76"/>
      <c r="G1705" s="76"/>
      <c r="H1705" s="76"/>
      <c r="I1705" s="76"/>
      <c r="J1705" s="76"/>
      <c r="K1705" s="76"/>
      <c r="L1705" s="76"/>
      <c r="M1705" s="76"/>
      <c r="N1705" s="76"/>
      <c r="O1705" s="76"/>
      <c r="P1705" s="76"/>
      <c r="Q1705" s="76"/>
      <c r="R1705" s="76"/>
      <c r="S1705" s="76"/>
      <c r="T1705" s="76"/>
      <c r="U1705" s="76" t="s">
        <v>5391</v>
      </c>
      <c r="V1705" s="76"/>
      <c r="W1705" s="76"/>
      <c r="X1705" s="76"/>
    </row>
    <row r="1706" ht="18.0" customHeight="1">
      <c r="A1706" s="76"/>
      <c r="B1706" s="76"/>
      <c r="C1706" s="76"/>
      <c r="D1706" s="76"/>
      <c r="E1706" s="76"/>
      <c r="F1706" s="76"/>
      <c r="G1706" s="76"/>
      <c r="H1706" s="76"/>
      <c r="I1706" s="76"/>
      <c r="J1706" s="76"/>
      <c r="K1706" s="76"/>
      <c r="L1706" s="76"/>
      <c r="M1706" s="76"/>
      <c r="N1706" s="76"/>
      <c r="O1706" s="76"/>
      <c r="P1706" s="76"/>
      <c r="Q1706" s="76"/>
      <c r="R1706" s="76"/>
      <c r="S1706" s="76"/>
      <c r="T1706" s="76"/>
      <c r="U1706" s="76" t="s">
        <v>5392</v>
      </c>
      <c r="V1706" s="76"/>
      <c r="W1706" s="76"/>
      <c r="X1706" s="76"/>
    </row>
    <row r="1707" ht="18.0" customHeight="1">
      <c r="A1707" s="76"/>
      <c r="B1707" s="76"/>
      <c r="C1707" s="76"/>
      <c r="D1707" s="76"/>
      <c r="E1707" s="76"/>
      <c r="F1707" s="76"/>
      <c r="G1707" s="76"/>
      <c r="H1707" s="76"/>
      <c r="I1707" s="76"/>
      <c r="J1707" s="76"/>
      <c r="K1707" s="76"/>
      <c r="L1707" s="76"/>
      <c r="M1707" s="76"/>
      <c r="N1707" s="76"/>
      <c r="O1707" s="76"/>
      <c r="P1707" s="76"/>
      <c r="Q1707" s="76"/>
      <c r="R1707" s="76"/>
      <c r="S1707" s="76"/>
      <c r="T1707" s="76"/>
      <c r="U1707" s="76" t="s">
        <v>5393</v>
      </c>
      <c r="V1707" s="76"/>
      <c r="W1707" s="76"/>
      <c r="X1707" s="76"/>
    </row>
    <row r="1708" ht="18.0" customHeight="1">
      <c r="A1708" s="76"/>
      <c r="B1708" s="76"/>
      <c r="C1708" s="76"/>
      <c r="D1708" s="76"/>
      <c r="E1708" s="76"/>
      <c r="F1708" s="76"/>
      <c r="G1708" s="76"/>
      <c r="H1708" s="76"/>
      <c r="I1708" s="76"/>
      <c r="J1708" s="76"/>
      <c r="K1708" s="76"/>
      <c r="L1708" s="76"/>
      <c r="M1708" s="76"/>
      <c r="N1708" s="76"/>
      <c r="O1708" s="76"/>
      <c r="P1708" s="76"/>
      <c r="Q1708" s="76"/>
      <c r="R1708" s="76"/>
      <c r="S1708" s="76"/>
      <c r="T1708" s="76"/>
      <c r="U1708" s="76" t="s">
        <v>5394</v>
      </c>
      <c r="V1708" s="76"/>
      <c r="W1708" s="76"/>
      <c r="X1708" s="76"/>
    </row>
    <row r="1709" ht="18.0" customHeight="1">
      <c r="A1709" s="76"/>
      <c r="B1709" s="76"/>
      <c r="C1709" s="76"/>
      <c r="D1709" s="76"/>
      <c r="E1709" s="76"/>
      <c r="F1709" s="76"/>
      <c r="G1709" s="76"/>
      <c r="H1709" s="76"/>
      <c r="I1709" s="76"/>
      <c r="J1709" s="76"/>
      <c r="K1709" s="76"/>
      <c r="L1709" s="76"/>
      <c r="M1709" s="76"/>
      <c r="N1709" s="76"/>
      <c r="O1709" s="76"/>
      <c r="P1709" s="76"/>
      <c r="Q1709" s="76"/>
      <c r="R1709" s="76"/>
      <c r="S1709" s="76"/>
      <c r="T1709" s="76"/>
      <c r="U1709" s="76" t="s">
        <v>5395</v>
      </c>
      <c r="V1709" s="76"/>
      <c r="W1709" s="76"/>
      <c r="X1709" s="76"/>
    </row>
    <row r="1710" ht="18.0" customHeight="1">
      <c r="A1710" s="76"/>
      <c r="B1710" s="76"/>
      <c r="C1710" s="76"/>
      <c r="D1710" s="76"/>
      <c r="E1710" s="76"/>
      <c r="F1710" s="76"/>
      <c r="G1710" s="76"/>
      <c r="H1710" s="76"/>
      <c r="I1710" s="76"/>
      <c r="J1710" s="76"/>
      <c r="K1710" s="76"/>
      <c r="L1710" s="76"/>
      <c r="M1710" s="76"/>
      <c r="N1710" s="76"/>
      <c r="O1710" s="76"/>
      <c r="P1710" s="76"/>
      <c r="Q1710" s="76"/>
      <c r="R1710" s="76"/>
      <c r="S1710" s="76"/>
      <c r="T1710" s="76"/>
      <c r="U1710" s="76" t="s">
        <v>5396</v>
      </c>
      <c r="V1710" s="76"/>
      <c r="W1710" s="76"/>
      <c r="X1710" s="76"/>
    </row>
    <row r="1711" ht="18.0" customHeight="1">
      <c r="A1711" s="76"/>
      <c r="B1711" s="76"/>
      <c r="C1711" s="76"/>
      <c r="D1711" s="76"/>
      <c r="E1711" s="76"/>
      <c r="F1711" s="76"/>
      <c r="G1711" s="76"/>
      <c r="H1711" s="76"/>
      <c r="I1711" s="76"/>
      <c r="J1711" s="76"/>
      <c r="K1711" s="76"/>
      <c r="L1711" s="76"/>
      <c r="M1711" s="76"/>
      <c r="N1711" s="76"/>
      <c r="O1711" s="76"/>
      <c r="P1711" s="76"/>
      <c r="Q1711" s="76"/>
      <c r="R1711" s="76"/>
      <c r="S1711" s="76"/>
      <c r="T1711" s="76"/>
      <c r="U1711" s="76" t="s">
        <v>5397</v>
      </c>
      <c r="V1711" s="76"/>
      <c r="W1711" s="76"/>
      <c r="X1711" s="76"/>
    </row>
    <row r="1712" ht="18.0" customHeight="1">
      <c r="A1712" s="76"/>
      <c r="B1712" s="76"/>
      <c r="C1712" s="76"/>
      <c r="D1712" s="76"/>
      <c r="E1712" s="76"/>
      <c r="F1712" s="76"/>
      <c r="G1712" s="76"/>
      <c r="H1712" s="76"/>
      <c r="I1712" s="76"/>
      <c r="J1712" s="76"/>
      <c r="K1712" s="76"/>
      <c r="L1712" s="76"/>
      <c r="M1712" s="76"/>
      <c r="N1712" s="76"/>
      <c r="O1712" s="76"/>
      <c r="P1712" s="76"/>
      <c r="Q1712" s="76"/>
      <c r="R1712" s="76"/>
      <c r="S1712" s="76"/>
      <c r="T1712" s="76"/>
      <c r="U1712" s="76" t="s">
        <v>5398</v>
      </c>
      <c r="V1712" s="76"/>
      <c r="W1712" s="76"/>
      <c r="X1712" s="76"/>
    </row>
    <row r="1713" ht="18.0" customHeight="1">
      <c r="A1713" s="76"/>
      <c r="B1713" s="76"/>
      <c r="C1713" s="76"/>
      <c r="D1713" s="76"/>
      <c r="E1713" s="76"/>
      <c r="F1713" s="76"/>
      <c r="G1713" s="76"/>
      <c r="H1713" s="76"/>
      <c r="I1713" s="76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 t="s">
        <v>5399</v>
      </c>
      <c r="V1713" s="76"/>
      <c r="W1713" s="76"/>
      <c r="X1713" s="76"/>
    </row>
    <row r="1714" ht="18.0" customHeight="1">
      <c r="A1714" s="76"/>
      <c r="B1714" s="76"/>
      <c r="C1714" s="76"/>
      <c r="D1714" s="76"/>
      <c r="E1714" s="76"/>
      <c r="F1714" s="76"/>
      <c r="G1714" s="76"/>
      <c r="H1714" s="76"/>
      <c r="I1714" s="76"/>
      <c r="J1714" s="76"/>
      <c r="K1714" s="76"/>
      <c r="L1714" s="76"/>
      <c r="M1714" s="76"/>
      <c r="N1714" s="76"/>
      <c r="O1714" s="76"/>
      <c r="P1714" s="76"/>
      <c r="Q1714" s="76"/>
      <c r="R1714" s="76"/>
      <c r="S1714" s="76"/>
      <c r="T1714" s="76"/>
      <c r="U1714" s="76" t="s">
        <v>5400</v>
      </c>
      <c r="V1714" s="76"/>
      <c r="W1714" s="76"/>
      <c r="X1714" s="76"/>
    </row>
    <row r="1715" ht="18.0" customHeight="1">
      <c r="A1715" s="76"/>
      <c r="B1715" s="76"/>
      <c r="C1715" s="76"/>
      <c r="D1715" s="76"/>
      <c r="E1715" s="76"/>
      <c r="F1715" s="76"/>
      <c r="G1715" s="76"/>
      <c r="H1715" s="76"/>
      <c r="I1715" s="76"/>
      <c r="J1715" s="76"/>
      <c r="K1715" s="76"/>
      <c r="L1715" s="76"/>
      <c r="M1715" s="76"/>
      <c r="N1715" s="76"/>
      <c r="O1715" s="76"/>
      <c r="P1715" s="76"/>
      <c r="Q1715" s="76"/>
      <c r="R1715" s="76"/>
      <c r="S1715" s="76"/>
      <c r="T1715" s="76"/>
      <c r="U1715" s="76" t="s">
        <v>5401</v>
      </c>
      <c r="V1715" s="76"/>
      <c r="W1715" s="76"/>
      <c r="X1715" s="76"/>
    </row>
    <row r="1716" ht="18.0" customHeight="1">
      <c r="A1716" s="76"/>
      <c r="B1716" s="76"/>
      <c r="C1716" s="76"/>
      <c r="D1716" s="76"/>
      <c r="E1716" s="76"/>
      <c r="F1716" s="76"/>
      <c r="G1716" s="76"/>
      <c r="H1716" s="76"/>
      <c r="I1716" s="76"/>
      <c r="J1716" s="76"/>
      <c r="K1716" s="76"/>
      <c r="L1716" s="76"/>
      <c r="M1716" s="76"/>
      <c r="N1716" s="76"/>
      <c r="O1716" s="76"/>
      <c r="P1716" s="76"/>
      <c r="Q1716" s="76"/>
      <c r="R1716" s="76"/>
      <c r="S1716" s="76"/>
      <c r="T1716" s="76"/>
      <c r="U1716" s="76" t="s">
        <v>5402</v>
      </c>
      <c r="V1716" s="76"/>
      <c r="W1716" s="76"/>
      <c r="X1716" s="76"/>
    </row>
    <row r="1717" ht="18.0" customHeight="1">
      <c r="A1717" s="76"/>
      <c r="B1717" s="76"/>
      <c r="C1717" s="76"/>
      <c r="D1717" s="76"/>
      <c r="E1717" s="76"/>
      <c r="F1717" s="76"/>
      <c r="G1717" s="76"/>
      <c r="H1717" s="76"/>
      <c r="I1717" s="76"/>
      <c r="J1717" s="76"/>
      <c r="K1717" s="76"/>
      <c r="L1717" s="76"/>
      <c r="M1717" s="76"/>
      <c r="N1717" s="76"/>
      <c r="O1717" s="76"/>
      <c r="P1717" s="76"/>
      <c r="Q1717" s="76"/>
      <c r="R1717" s="76"/>
      <c r="S1717" s="76"/>
      <c r="T1717" s="76"/>
      <c r="U1717" s="76" t="s">
        <v>5403</v>
      </c>
      <c r="V1717" s="76"/>
      <c r="W1717" s="76"/>
      <c r="X1717" s="76"/>
    </row>
    <row r="1718" ht="18.0" customHeight="1">
      <c r="A1718" s="76"/>
      <c r="B1718" s="76"/>
      <c r="C1718" s="76"/>
      <c r="D1718" s="76"/>
      <c r="E1718" s="76"/>
      <c r="F1718" s="76"/>
      <c r="G1718" s="76"/>
      <c r="H1718" s="76"/>
      <c r="I1718" s="76"/>
      <c r="J1718" s="76"/>
      <c r="K1718" s="76"/>
      <c r="L1718" s="76"/>
      <c r="M1718" s="76"/>
      <c r="N1718" s="76"/>
      <c r="O1718" s="76"/>
      <c r="P1718" s="76"/>
      <c r="Q1718" s="76"/>
      <c r="R1718" s="76"/>
      <c r="S1718" s="76"/>
      <c r="T1718" s="76"/>
      <c r="U1718" s="76" t="s">
        <v>5404</v>
      </c>
      <c r="V1718" s="76"/>
      <c r="W1718" s="76"/>
      <c r="X1718" s="76"/>
    </row>
    <row r="1719" ht="18.0" customHeight="1">
      <c r="A1719" s="76"/>
      <c r="B1719" s="76"/>
      <c r="C1719" s="76"/>
      <c r="D1719" s="76"/>
      <c r="E1719" s="76"/>
      <c r="F1719" s="76"/>
      <c r="G1719" s="76"/>
      <c r="H1719" s="76"/>
      <c r="I1719" s="76"/>
      <c r="J1719" s="76"/>
      <c r="K1719" s="76"/>
      <c r="L1719" s="76"/>
      <c r="M1719" s="76"/>
      <c r="N1719" s="76"/>
      <c r="O1719" s="76"/>
      <c r="P1719" s="76"/>
      <c r="Q1719" s="76"/>
      <c r="R1719" s="76"/>
      <c r="S1719" s="76"/>
      <c r="T1719" s="76"/>
      <c r="U1719" s="76" t="s">
        <v>5405</v>
      </c>
      <c r="V1719" s="76"/>
      <c r="W1719" s="76"/>
      <c r="X1719" s="76"/>
    </row>
    <row r="1720" ht="18.0" customHeight="1">
      <c r="A1720" s="76"/>
      <c r="B1720" s="76"/>
      <c r="C1720" s="76"/>
      <c r="D1720" s="76"/>
      <c r="E1720" s="76"/>
      <c r="F1720" s="76"/>
      <c r="G1720" s="76"/>
      <c r="H1720" s="76"/>
      <c r="I1720" s="76"/>
      <c r="J1720" s="76"/>
      <c r="K1720" s="76"/>
      <c r="L1720" s="76"/>
      <c r="M1720" s="76"/>
      <c r="N1720" s="76"/>
      <c r="O1720" s="76"/>
      <c r="P1720" s="76"/>
      <c r="Q1720" s="76"/>
      <c r="R1720" s="76"/>
      <c r="S1720" s="76"/>
      <c r="T1720" s="76"/>
      <c r="U1720" s="76" t="s">
        <v>5406</v>
      </c>
      <c r="V1720" s="76"/>
      <c r="W1720" s="76"/>
      <c r="X1720" s="76"/>
    </row>
    <row r="1721" ht="18.0" customHeight="1">
      <c r="A1721" s="76"/>
      <c r="B1721" s="76"/>
      <c r="C1721" s="76"/>
      <c r="D1721" s="76"/>
      <c r="E1721" s="76"/>
      <c r="F1721" s="76"/>
      <c r="G1721" s="76"/>
      <c r="H1721" s="76"/>
      <c r="I1721" s="76"/>
      <c r="J1721" s="76"/>
      <c r="K1721" s="76"/>
      <c r="L1721" s="76"/>
      <c r="M1721" s="76"/>
      <c r="N1721" s="76"/>
      <c r="O1721" s="76"/>
      <c r="P1721" s="76"/>
      <c r="Q1721" s="76"/>
      <c r="R1721" s="76"/>
      <c r="S1721" s="76"/>
      <c r="T1721" s="76"/>
      <c r="U1721" s="76" t="s">
        <v>5407</v>
      </c>
      <c r="V1721" s="76"/>
      <c r="W1721" s="76"/>
      <c r="X1721" s="76"/>
    </row>
    <row r="1722" ht="18.0" customHeight="1">
      <c r="A1722" s="76"/>
      <c r="B1722" s="76"/>
      <c r="C1722" s="76"/>
      <c r="D1722" s="76"/>
      <c r="E1722" s="76"/>
      <c r="F1722" s="76"/>
      <c r="G1722" s="76"/>
      <c r="H1722" s="76"/>
      <c r="I1722" s="76"/>
      <c r="J1722" s="76"/>
      <c r="K1722" s="76"/>
      <c r="L1722" s="76"/>
      <c r="M1722" s="76"/>
      <c r="N1722" s="76"/>
      <c r="O1722" s="76"/>
      <c r="P1722" s="76"/>
      <c r="Q1722" s="76"/>
      <c r="R1722" s="76"/>
      <c r="S1722" s="76"/>
      <c r="T1722" s="76"/>
      <c r="U1722" s="76" t="s">
        <v>5408</v>
      </c>
      <c r="V1722" s="76"/>
      <c r="W1722" s="76"/>
      <c r="X1722" s="76"/>
    </row>
    <row r="1723" ht="18.0" customHeight="1">
      <c r="A1723" s="76"/>
      <c r="B1723" s="76"/>
      <c r="C1723" s="76"/>
      <c r="D1723" s="76"/>
      <c r="E1723" s="76"/>
      <c r="F1723" s="76"/>
      <c r="G1723" s="76"/>
      <c r="H1723" s="76"/>
      <c r="I1723" s="76"/>
      <c r="J1723" s="76"/>
      <c r="K1723" s="76"/>
      <c r="L1723" s="76"/>
      <c r="M1723" s="76"/>
      <c r="N1723" s="76"/>
      <c r="O1723" s="76"/>
      <c r="P1723" s="76"/>
      <c r="Q1723" s="76"/>
      <c r="R1723" s="76"/>
      <c r="S1723" s="76"/>
      <c r="T1723" s="76"/>
      <c r="U1723" s="76" t="s">
        <v>5409</v>
      </c>
      <c r="V1723" s="76"/>
      <c r="W1723" s="76"/>
      <c r="X1723" s="76"/>
    </row>
    <row r="1724" ht="18.0" customHeight="1">
      <c r="A1724" s="76"/>
      <c r="B1724" s="76"/>
      <c r="C1724" s="76"/>
      <c r="D1724" s="76"/>
      <c r="E1724" s="76"/>
      <c r="F1724" s="76"/>
      <c r="G1724" s="76"/>
      <c r="H1724" s="76"/>
      <c r="I1724" s="76"/>
      <c r="J1724" s="76"/>
      <c r="K1724" s="76"/>
      <c r="L1724" s="76"/>
      <c r="M1724" s="76"/>
      <c r="N1724" s="76"/>
      <c r="O1724" s="76"/>
      <c r="P1724" s="76"/>
      <c r="Q1724" s="76"/>
      <c r="R1724" s="76"/>
      <c r="S1724" s="76"/>
      <c r="T1724" s="76"/>
      <c r="U1724" s="76" t="s">
        <v>5410</v>
      </c>
      <c r="V1724" s="76"/>
      <c r="W1724" s="76"/>
      <c r="X1724" s="76"/>
    </row>
    <row r="1725" ht="18.0" customHeight="1">
      <c r="A1725" s="76"/>
      <c r="B1725" s="76"/>
      <c r="C1725" s="76"/>
      <c r="D1725" s="76"/>
      <c r="E1725" s="76"/>
      <c r="F1725" s="76"/>
      <c r="G1725" s="76"/>
      <c r="H1725" s="76"/>
      <c r="I1725" s="76"/>
      <c r="J1725" s="76"/>
      <c r="K1725" s="76"/>
      <c r="L1725" s="76"/>
      <c r="M1725" s="76"/>
      <c r="N1725" s="76"/>
      <c r="O1725" s="76"/>
      <c r="P1725" s="76"/>
      <c r="Q1725" s="76"/>
      <c r="R1725" s="76"/>
      <c r="S1725" s="76"/>
      <c r="T1725" s="76"/>
      <c r="U1725" s="76" t="s">
        <v>5411</v>
      </c>
      <c r="V1725" s="76"/>
      <c r="W1725" s="76"/>
      <c r="X1725" s="76"/>
    </row>
    <row r="1726" ht="18.0" customHeight="1">
      <c r="A1726" s="76"/>
      <c r="B1726" s="76"/>
      <c r="C1726" s="76"/>
      <c r="D1726" s="76"/>
      <c r="E1726" s="76"/>
      <c r="F1726" s="76"/>
      <c r="G1726" s="76"/>
      <c r="H1726" s="76"/>
      <c r="I1726" s="76"/>
      <c r="J1726" s="76"/>
      <c r="K1726" s="76"/>
      <c r="L1726" s="76"/>
      <c r="M1726" s="76"/>
      <c r="N1726" s="76"/>
      <c r="O1726" s="76"/>
      <c r="P1726" s="76"/>
      <c r="Q1726" s="76"/>
      <c r="R1726" s="76"/>
      <c r="S1726" s="76"/>
      <c r="T1726" s="76"/>
      <c r="U1726" s="76" t="s">
        <v>5412</v>
      </c>
      <c r="V1726" s="76"/>
      <c r="W1726" s="76"/>
      <c r="X1726" s="76"/>
    </row>
    <row r="1727" ht="18.0" customHeight="1">
      <c r="A1727" s="76"/>
      <c r="B1727" s="76"/>
      <c r="C1727" s="76"/>
      <c r="D1727" s="76"/>
      <c r="E1727" s="76"/>
      <c r="F1727" s="76"/>
      <c r="G1727" s="76"/>
      <c r="H1727" s="76"/>
      <c r="I1727" s="76"/>
      <c r="J1727" s="76"/>
      <c r="K1727" s="76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 t="s">
        <v>5413</v>
      </c>
      <c r="V1727" s="76"/>
      <c r="W1727" s="76"/>
      <c r="X1727" s="76"/>
    </row>
    <row r="1728" ht="18.0" customHeight="1">
      <c r="A1728" s="76"/>
      <c r="B1728" s="76"/>
      <c r="C1728" s="76"/>
      <c r="D1728" s="76"/>
      <c r="E1728" s="76"/>
      <c r="F1728" s="76"/>
      <c r="G1728" s="76"/>
      <c r="H1728" s="76"/>
      <c r="I1728" s="76"/>
      <c r="J1728" s="76"/>
      <c r="K1728" s="76"/>
      <c r="L1728" s="76"/>
      <c r="M1728" s="76"/>
      <c r="N1728" s="76"/>
      <c r="O1728" s="76"/>
      <c r="P1728" s="76"/>
      <c r="Q1728" s="76"/>
      <c r="R1728" s="76"/>
      <c r="S1728" s="76"/>
      <c r="T1728" s="76"/>
      <c r="U1728" s="76" t="s">
        <v>5414</v>
      </c>
      <c r="V1728" s="76"/>
      <c r="W1728" s="76"/>
      <c r="X1728" s="76"/>
    </row>
    <row r="1729" ht="18.0" customHeight="1">
      <c r="A1729" s="76"/>
      <c r="B1729" s="76"/>
      <c r="C1729" s="76"/>
      <c r="D1729" s="76"/>
      <c r="E1729" s="76"/>
      <c r="F1729" s="76"/>
      <c r="G1729" s="76"/>
      <c r="H1729" s="76"/>
      <c r="I1729" s="76"/>
      <c r="J1729" s="76"/>
      <c r="K1729" s="76"/>
      <c r="L1729" s="76"/>
      <c r="M1729" s="76"/>
      <c r="N1729" s="76"/>
      <c r="O1729" s="76"/>
      <c r="P1729" s="76"/>
      <c r="Q1729" s="76"/>
      <c r="R1729" s="76"/>
      <c r="S1729" s="76"/>
      <c r="T1729" s="76"/>
      <c r="U1729" s="76" t="s">
        <v>5415</v>
      </c>
      <c r="V1729" s="76"/>
      <c r="W1729" s="76"/>
      <c r="X1729" s="76"/>
    </row>
    <row r="1730" ht="18.0" customHeight="1">
      <c r="A1730" s="76"/>
      <c r="B1730" s="76"/>
      <c r="C1730" s="76"/>
      <c r="D1730" s="76"/>
      <c r="E1730" s="76"/>
      <c r="F1730" s="76"/>
      <c r="G1730" s="76"/>
      <c r="H1730" s="76"/>
      <c r="I1730" s="76"/>
      <c r="J1730" s="76"/>
      <c r="K1730" s="76"/>
      <c r="L1730" s="76"/>
      <c r="M1730" s="76"/>
      <c r="N1730" s="76"/>
      <c r="O1730" s="76"/>
      <c r="P1730" s="76"/>
      <c r="Q1730" s="76"/>
      <c r="R1730" s="76"/>
      <c r="S1730" s="76"/>
      <c r="T1730" s="76"/>
      <c r="U1730" s="76" t="s">
        <v>5416</v>
      </c>
      <c r="V1730" s="76"/>
      <c r="W1730" s="76"/>
      <c r="X1730" s="76"/>
    </row>
    <row r="1731" ht="18.0" customHeight="1">
      <c r="A1731" s="76"/>
      <c r="B1731" s="76"/>
      <c r="C1731" s="76"/>
      <c r="D1731" s="76"/>
      <c r="E1731" s="76"/>
      <c r="F1731" s="76"/>
      <c r="G1731" s="76"/>
      <c r="H1731" s="76"/>
      <c r="I1731" s="76"/>
      <c r="J1731" s="76"/>
      <c r="K1731" s="76"/>
      <c r="L1731" s="76"/>
      <c r="M1731" s="76"/>
      <c r="N1731" s="76"/>
      <c r="O1731" s="76"/>
      <c r="P1731" s="76"/>
      <c r="Q1731" s="76"/>
      <c r="R1731" s="76"/>
      <c r="S1731" s="76"/>
      <c r="T1731" s="76"/>
      <c r="U1731" s="76" t="s">
        <v>5417</v>
      </c>
      <c r="V1731" s="76"/>
      <c r="W1731" s="76"/>
      <c r="X1731" s="76"/>
    </row>
    <row r="1732" ht="18.0" customHeight="1">
      <c r="A1732" s="76"/>
      <c r="B1732" s="76"/>
      <c r="C1732" s="76"/>
      <c r="D1732" s="76"/>
      <c r="E1732" s="76"/>
      <c r="F1732" s="76"/>
      <c r="G1732" s="76"/>
      <c r="H1732" s="76"/>
      <c r="I1732" s="76"/>
      <c r="J1732" s="76"/>
      <c r="K1732" s="76"/>
      <c r="L1732" s="76"/>
      <c r="M1732" s="76"/>
      <c r="N1732" s="76"/>
      <c r="O1732" s="76"/>
      <c r="P1732" s="76"/>
      <c r="Q1732" s="76"/>
      <c r="R1732" s="76"/>
      <c r="S1732" s="76"/>
      <c r="T1732" s="76"/>
      <c r="U1732" s="76" t="s">
        <v>5418</v>
      </c>
      <c r="V1732" s="76"/>
      <c r="W1732" s="76"/>
      <c r="X1732" s="76"/>
    </row>
    <row r="1733" ht="18.0" customHeight="1">
      <c r="A1733" s="76"/>
      <c r="B1733" s="76"/>
      <c r="C1733" s="76"/>
      <c r="D1733" s="76"/>
      <c r="E1733" s="76"/>
      <c r="F1733" s="76"/>
      <c r="G1733" s="76"/>
      <c r="H1733" s="76"/>
      <c r="I1733" s="76"/>
      <c r="J1733" s="76"/>
      <c r="K1733" s="76"/>
      <c r="L1733" s="76"/>
      <c r="M1733" s="76"/>
      <c r="N1733" s="76"/>
      <c r="O1733" s="76"/>
      <c r="P1733" s="76"/>
      <c r="Q1733" s="76"/>
      <c r="R1733" s="76"/>
      <c r="S1733" s="76"/>
      <c r="T1733" s="76"/>
      <c r="U1733" s="76" t="s">
        <v>5419</v>
      </c>
      <c r="V1733" s="76"/>
      <c r="W1733" s="76"/>
      <c r="X1733" s="76"/>
    </row>
    <row r="1734" ht="18.0" customHeight="1">
      <c r="A1734" s="76"/>
      <c r="B1734" s="76"/>
      <c r="C1734" s="76"/>
      <c r="D1734" s="76"/>
      <c r="E1734" s="76"/>
      <c r="F1734" s="76"/>
      <c r="G1734" s="76"/>
      <c r="H1734" s="76"/>
      <c r="I1734" s="76"/>
      <c r="J1734" s="76"/>
      <c r="K1734" s="76"/>
      <c r="L1734" s="76"/>
      <c r="M1734" s="76"/>
      <c r="N1734" s="76"/>
      <c r="O1734" s="76"/>
      <c r="P1734" s="76"/>
      <c r="Q1734" s="76"/>
      <c r="R1734" s="76"/>
      <c r="S1734" s="76"/>
      <c r="T1734" s="76"/>
      <c r="U1734" s="76" t="s">
        <v>5420</v>
      </c>
      <c r="V1734" s="76"/>
      <c r="W1734" s="76"/>
      <c r="X1734" s="76"/>
    </row>
    <row r="1735" ht="18.0" customHeight="1">
      <c r="A1735" s="76"/>
      <c r="B1735" s="76"/>
      <c r="C1735" s="76"/>
      <c r="D1735" s="76"/>
      <c r="E1735" s="76"/>
      <c r="F1735" s="76"/>
      <c r="G1735" s="76"/>
      <c r="H1735" s="76"/>
      <c r="I1735" s="76"/>
      <c r="J1735" s="76"/>
      <c r="K1735" s="76"/>
      <c r="L1735" s="76"/>
      <c r="M1735" s="76"/>
      <c r="N1735" s="76"/>
      <c r="O1735" s="76"/>
      <c r="P1735" s="76"/>
      <c r="Q1735" s="76"/>
      <c r="R1735" s="76"/>
      <c r="S1735" s="76"/>
      <c r="T1735" s="76"/>
      <c r="U1735" s="76" t="s">
        <v>5421</v>
      </c>
      <c r="V1735" s="76"/>
      <c r="W1735" s="76"/>
      <c r="X1735" s="76"/>
    </row>
    <row r="1736" ht="18.0" customHeight="1">
      <c r="A1736" s="76"/>
      <c r="B1736" s="76"/>
      <c r="C1736" s="76"/>
      <c r="D1736" s="76"/>
      <c r="E1736" s="76"/>
      <c r="F1736" s="76"/>
      <c r="G1736" s="76"/>
      <c r="H1736" s="76"/>
      <c r="I1736" s="76"/>
      <c r="J1736" s="76"/>
      <c r="K1736" s="76"/>
      <c r="L1736" s="76"/>
      <c r="M1736" s="76"/>
      <c r="N1736" s="76"/>
      <c r="O1736" s="76"/>
      <c r="P1736" s="76"/>
      <c r="Q1736" s="76"/>
      <c r="R1736" s="76"/>
      <c r="S1736" s="76"/>
      <c r="T1736" s="76"/>
      <c r="U1736" s="76" t="s">
        <v>5422</v>
      </c>
      <c r="V1736" s="76"/>
      <c r="W1736" s="76"/>
      <c r="X1736" s="76"/>
    </row>
    <row r="1737" ht="18.0" customHeight="1">
      <c r="A1737" s="76"/>
      <c r="B1737" s="76"/>
      <c r="C1737" s="76"/>
      <c r="D1737" s="76"/>
      <c r="E1737" s="76"/>
      <c r="F1737" s="76"/>
      <c r="G1737" s="76"/>
      <c r="H1737" s="76"/>
      <c r="I1737" s="76"/>
      <c r="J1737" s="76"/>
      <c r="K1737" s="76"/>
      <c r="L1737" s="76"/>
      <c r="M1737" s="76"/>
      <c r="N1737" s="76"/>
      <c r="O1737" s="76"/>
      <c r="P1737" s="76"/>
      <c r="Q1737" s="76"/>
      <c r="R1737" s="76"/>
      <c r="S1737" s="76"/>
      <c r="T1737" s="76"/>
      <c r="U1737" s="76" t="s">
        <v>5423</v>
      </c>
      <c r="V1737" s="76"/>
      <c r="W1737" s="76"/>
      <c r="X1737" s="76"/>
    </row>
    <row r="1738" ht="18.0" customHeight="1">
      <c r="A1738" s="76"/>
      <c r="B1738" s="76"/>
      <c r="C1738" s="76"/>
      <c r="D1738" s="76"/>
      <c r="E1738" s="76"/>
      <c r="F1738" s="76"/>
      <c r="G1738" s="76"/>
      <c r="H1738" s="76"/>
      <c r="I1738" s="76"/>
      <c r="J1738" s="76"/>
      <c r="K1738" s="76"/>
      <c r="L1738" s="76"/>
      <c r="M1738" s="76"/>
      <c r="N1738" s="76"/>
      <c r="O1738" s="76"/>
      <c r="P1738" s="76"/>
      <c r="Q1738" s="76"/>
      <c r="R1738" s="76"/>
      <c r="S1738" s="76"/>
      <c r="T1738" s="76"/>
      <c r="U1738" s="76" t="s">
        <v>5424</v>
      </c>
      <c r="V1738" s="76"/>
      <c r="W1738" s="76"/>
      <c r="X1738" s="76"/>
    </row>
    <row r="1739" ht="18.0" customHeight="1">
      <c r="A1739" s="76"/>
      <c r="B1739" s="76"/>
      <c r="C1739" s="76"/>
      <c r="D1739" s="76"/>
      <c r="E1739" s="76"/>
      <c r="F1739" s="76"/>
      <c r="G1739" s="76"/>
      <c r="H1739" s="76"/>
      <c r="I1739" s="76"/>
      <c r="J1739" s="76"/>
      <c r="K1739" s="76"/>
      <c r="L1739" s="76"/>
      <c r="M1739" s="76"/>
      <c r="N1739" s="76"/>
      <c r="O1739" s="76"/>
      <c r="P1739" s="76"/>
      <c r="Q1739" s="76"/>
      <c r="R1739" s="76"/>
      <c r="S1739" s="76"/>
      <c r="T1739" s="76"/>
      <c r="U1739" s="76" t="s">
        <v>5425</v>
      </c>
      <c r="V1739" s="76"/>
      <c r="W1739" s="76"/>
      <c r="X1739" s="76"/>
    </row>
    <row r="1740" ht="18.0" customHeight="1">
      <c r="A1740" s="76"/>
      <c r="B1740" s="76"/>
      <c r="C1740" s="76"/>
      <c r="D1740" s="76"/>
      <c r="E1740" s="76"/>
      <c r="F1740" s="76"/>
      <c r="G1740" s="76"/>
      <c r="H1740" s="76"/>
      <c r="I1740" s="76"/>
      <c r="J1740" s="76"/>
      <c r="K1740" s="76"/>
      <c r="L1740" s="76"/>
      <c r="M1740" s="76"/>
      <c r="N1740" s="76"/>
      <c r="O1740" s="76"/>
      <c r="P1740" s="76"/>
      <c r="Q1740" s="76"/>
      <c r="R1740" s="76"/>
      <c r="S1740" s="76"/>
      <c r="T1740" s="76"/>
      <c r="U1740" s="76" t="s">
        <v>5426</v>
      </c>
      <c r="V1740" s="76"/>
      <c r="W1740" s="76"/>
      <c r="X1740" s="76"/>
    </row>
    <row r="1741" ht="18.0" customHeight="1">
      <c r="A1741" s="76"/>
      <c r="B1741" s="76"/>
      <c r="C1741" s="76"/>
      <c r="D1741" s="76"/>
      <c r="E1741" s="76"/>
      <c r="F1741" s="76"/>
      <c r="G1741" s="76"/>
      <c r="H1741" s="76"/>
      <c r="I1741" s="76"/>
      <c r="J1741" s="76"/>
      <c r="K1741" s="76"/>
      <c r="L1741" s="76"/>
      <c r="M1741" s="76"/>
      <c r="N1741" s="76"/>
      <c r="O1741" s="76"/>
      <c r="P1741" s="76"/>
      <c r="Q1741" s="76"/>
      <c r="R1741" s="76"/>
      <c r="S1741" s="76"/>
      <c r="T1741" s="76"/>
      <c r="U1741" s="76" t="s">
        <v>5427</v>
      </c>
      <c r="V1741" s="76"/>
      <c r="W1741" s="76"/>
      <c r="X1741" s="76"/>
    </row>
    <row r="1742" ht="18.0" customHeight="1">
      <c r="A1742" s="76"/>
      <c r="B1742" s="76"/>
      <c r="C1742" s="76"/>
      <c r="D1742" s="76"/>
      <c r="E1742" s="76"/>
      <c r="F1742" s="76"/>
      <c r="G1742" s="76"/>
      <c r="H1742" s="76"/>
      <c r="I1742" s="76"/>
      <c r="J1742" s="76"/>
      <c r="K1742" s="76"/>
      <c r="L1742" s="76"/>
      <c r="M1742" s="76"/>
      <c r="N1742" s="76"/>
      <c r="O1742" s="76"/>
      <c r="P1742" s="76"/>
      <c r="Q1742" s="76"/>
      <c r="R1742" s="76"/>
      <c r="S1742" s="76"/>
      <c r="T1742" s="76"/>
      <c r="U1742" s="76" t="s">
        <v>5428</v>
      </c>
      <c r="V1742" s="76"/>
      <c r="W1742" s="76"/>
      <c r="X1742" s="76"/>
    </row>
    <row r="1743" ht="18.0" customHeight="1">
      <c r="A1743" s="76"/>
      <c r="B1743" s="76"/>
      <c r="C1743" s="76"/>
      <c r="D1743" s="76"/>
      <c r="E1743" s="76"/>
      <c r="F1743" s="76"/>
      <c r="G1743" s="76"/>
      <c r="H1743" s="76"/>
      <c r="I1743" s="76"/>
      <c r="J1743" s="76"/>
      <c r="K1743" s="76"/>
      <c r="L1743" s="76"/>
      <c r="M1743" s="76"/>
      <c r="N1743" s="76"/>
      <c r="O1743" s="76"/>
      <c r="P1743" s="76"/>
      <c r="Q1743" s="76"/>
      <c r="R1743" s="76"/>
      <c r="S1743" s="76"/>
      <c r="T1743" s="76"/>
      <c r="U1743" s="76" t="s">
        <v>5429</v>
      </c>
      <c r="V1743" s="76"/>
      <c r="W1743" s="76"/>
      <c r="X1743" s="76"/>
    </row>
    <row r="1744" ht="18.0" customHeight="1">
      <c r="A1744" s="76"/>
      <c r="B1744" s="76"/>
      <c r="C1744" s="76"/>
      <c r="D1744" s="76"/>
      <c r="E1744" s="76"/>
      <c r="F1744" s="76"/>
      <c r="G1744" s="76"/>
      <c r="H1744" s="76"/>
      <c r="I1744" s="76"/>
      <c r="J1744" s="76"/>
      <c r="K1744" s="76"/>
      <c r="L1744" s="76"/>
      <c r="M1744" s="76"/>
      <c r="N1744" s="76"/>
      <c r="O1744" s="76"/>
      <c r="P1744" s="76"/>
      <c r="Q1744" s="76"/>
      <c r="R1744" s="76"/>
      <c r="S1744" s="76"/>
      <c r="T1744" s="76"/>
      <c r="U1744" s="76" t="s">
        <v>5430</v>
      </c>
      <c r="V1744" s="76"/>
      <c r="W1744" s="76"/>
      <c r="X1744" s="76"/>
    </row>
    <row r="1745" ht="18.0" customHeight="1">
      <c r="A1745" s="76"/>
      <c r="B1745" s="76"/>
      <c r="C1745" s="76"/>
      <c r="D1745" s="76"/>
      <c r="E1745" s="76"/>
      <c r="F1745" s="76"/>
      <c r="G1745" s="76"/>
      <c r="H1745" s="76"/>
      <c r="I1745" s="76"/>
      <c r="J1745" s="76"/>
      <c r="K1745" s="76"/>
      <c r="L1745" s="76"/>
      <c r="M1745" s="76"/>
      <c r="N1745" s="76"/>
      <c r="O1745" s="76"/>
      <c r="P1745" s="76"/>
      <c r="Q1745" s="76"/>
      <c r="R1745" s="76"/>
      <c r="S1745" s="76"/>
      <c r="T1745" s="76"/>
      <c r="U1745" s="76" t="s">
        <v>5431</v>
      </c>
      <c r="V1745" s="76"/>
      <c r="W1745" s="76"/>
      <c r="X1745" s="76"/>
    </row>
    <row r="1746" ht="18.0" customHeight="1">
      <c r="A1746" s="76"/>
      <c r="B1746" s="76"/>
      <c r="C1746" s="76"/>
      <c r="D1746" s="76"/>
      <c r="E1746" s="76"/>
      <c r="F1746" s="76"/>
      <c r="G1746" s="76"/>
      <c r="H1746" s="76"/>
      <c r="I1746" s="76"/>
      <c r="J1746" s="76"/>
      <c r="K1746" s="76"/>
      <c r="L1746" s="76"/>
      <c r="M1746" s="76"/>
      <c r="N1746" s="76"/>
      <c r="O1746" s="76"/>
      <c r="P1746" s="76"/>
      <c r="Q1746" s="76"/>
      <c r="R1746" s="76"/>
      <c r="S1746" s="76"/>
      <c r="T1746" s="76"/>
      <c r="U1746" s="76" t="s">
        <v>5432</v>
      </c>
      <c r="V1746" s="76"/>
      <c r="W1746" s="76"/>
      <c r="X1746" s="76"/>
    </row>
    <row r="1747" ht="18.0" customHeight="1">
      <c r="A1747" s="76"/>
      <c r="B1747" s="76"/>
      <c r="C1747" s="76"/>
      <c r="D1747" s="76"/>
      <c r="E1747" s="76"/>
      <c r="F1747" s="76"/>
      <c r="G1747" s="76"/>
      <c r="H1747" s="76"/>
      <c r="I1747" s="76"/>
      <c r="J1747" s="76"/>
      <c r="K1747" s="76"/>
      <c r="L1747" s="76"/>
      <c r="M1747" s="76"/>
      <c r="N1747" s="76"/>
      <c r="O1747" s="76"/>
      <c r="P1747" s="76"/>
      <c r="Q1747" s="76"/>
      <c r="R1747" s="76"/>
      <c r="S1747" s="76"/>
      <c r="T1747" s="76"/>
      <c r="U1747" s="76" t="s">
        <v>5433</v>
      </c>
      <c r="V1747" s="76"/>
      <c r="W1747" s="76"/>
      <c r="X1747" s="76"/>
    </row>
    <row r="1748" ht="18.0" customHeight="1">
      <c r="A1748" s="76"/>
      <c r="B1748" s="76"/>
      <c r="C1748" s="76"/>
      <c r="D1748" s="76"/>
      <c r="E1748" s="76"/>
      <c r="F1748" s="76"/>
      <c r="G1748" s="76"/>
      <c r="H1748" s="76"/>
      <c r="I1748" s="76"/>
      <c r="J1748" s="76"/>
      <c r="K1748" s="76"/>
      <c r="L1748" s="76"/>
      <c r="M1748" s="76"/>
      <c r="N1748" s="76"/>
      <c r="O1748" s="76"/>
      <c r="P1748" s="76"/>
      <c r="Q1748" s="76"/>
      <c r="R1748" s="76"/>
      <c r="S1748" s="76"/>
      <c r="T1748" s="76"/>
      <c r="U1748" s="76" t="s">
        <v>5434</v>
      </c>
      <c r="V1748" s="76"/>
      <c r="W1748" s="76"/>
      <c r="X1748" s="76"/>
    </row>
    <row r="1749" ht="18.0" customHeight="1">
      <c r="A1749" s="76"/>
      <c r="B1749" s="76"/>
      <c r="C1749" s="76"/>
      <c r="D1749" s="76"/>
      <c r="E1749" s="76"/>
      <c r="F1749" s="76"/>
      <c r="G1749" s="76"/>
      <c r="H1749" s="76"/>
      <c r="I1749" s="76"/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 t="s">
        <v>5435</v>
      </c>
      <c r="V1749" s="76"/>
      <c r="W1749" s="76"/>
      <c r="X1749" s="76"/>
    </row>
    <row r="1750" ht="18.0" customHeight="1">
      <c r="A1750" s="76"/>
      <c r="B1750" s="76"/>
      <c r="C1750" s="76"/>
      <c r="D1750" s="76"/>
      <c r="E1750" s="76"/>
      <c r="F1750" s="76"/>
      <c r="G1750" s="76"/>
      <c r="H1750" s="76"/>
      <c r="I1750" s="76"/>
      <c r="J1750" s="76"/>
      <c r="K1750" s="76"/>
      <c r="L1750" s="76"/>
      <c r="M1750" s="76"/>
      <c r="N1750" s="76"/>
      <c r="O1750" s="76"/>
      <c r="P1750" s="76"/>
      <c r="Q1750" s="76"/>
      <c r="R1750" s="76"/>
      <c r="S1750" s="76"/>
      <c r="T1750" s="76"/>
      <c r="U1750" s="76" t="s">
        <v>5436</v>
      </c>
      <c r="V1750" s="76"/>
      <c r="W1750" s="76"/>
      <c r="X1750" s="76"/>
    </row>
    <row r="1751" ht="18.0" customHeight="1">
      <c r="A1751" s="76"/>
      <c r="B1751" s="76"/>
      <c r="C1751" s="76"/>
      <c r="D1751" s="76"/>
      <c r="E1751" s="76"/>
      <c r="F1751" s="76"/>
      <c r="G1751" s="76"/>
      <c r="H1751" s="76"/>
      <c r="I1751" s="76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 t="s">
        <v>5437</v>
      </c>
      <c r="V1751" s="76"/>
      <c r="W1751" s="76"/>
      <c r="X1751" s="76"/>
    </row>
    <row r="1752" ht="18.0" customHeight="1">
      <c r="A1752" s="76"/>
      <c r="B1752" s="76"/>
      <c r="C1752" s="76"/>
      <c r="D1752" s="76"/>
      <c r="E1752" s="76"/>
      <c r="F1752" s="76"/>
      <c r="G1752" s="76"/>
      <c r="H1752" s="76"/>
      <c r="I1752" s="76"/>
      <c r="J1752" s="76"/>
      <c r="K1752" s="76"/>
      <c r="L1752" s="76"/>
      <c r="M1752" s="76"/>
      <c r="N1752" s="76"/>
      <c r="O1752" s="76"/>
      <c r="P1752" s="76"/>
      <c r="Q1752" s="76"/>
      <c r="R1752" s="76"/>
      <c r="S1752" s="76"/>
      <c r="T1752" s="76"/>
      <c r="U1752" s="76" t="s">
        <v>5438</v>
      </c>
      <c r="V1752" s="76"/>
      <c r="W1752" s="76"/>
      <c r="X1752" s="76"/>
    </row>
    <row r="1753" ht="18.0" customHeight="1">
      <c r="A1753" s="76"/>
      <c r="B1753" s="76"/>
      <c r="C1753" s="76"/>
      <c r="D1753" s="76"/>
      <c r="E1753" s="76"/>
      <c r="F1753" s="76"/>
      <c r="G1753" s="76"/>
      <c r="H1753" s="76"/>
      <c r="I1753" s="76"/>
      <c r="J1753" s="76"/>
      <c r="K1753" s="76"/>
      <c r="L1753" s="76"/>
      <c r="M1753" s="76"/>
      <c r="N1753" s="76"/>
      <c r="O1753" s="76"/>
      <c r="P1753" s="76"/>
      <c r="Q1753" s="76"/>
      <c r="R1753" s="76"/>
      <c r="S1753" s="76"/>
      <c r="T1753" s="76"/>
      <c r="U1753" s="76" t="s">
        <v>5439</v>
      </c>
      <c r="V1753" s="76"/>
      <c r="W1753" s="76"/>
      <c r="X1753" s="76"/>
    </row>
    <row r="1754" ht="18.0" customHeight="1">
      <c r="A1754" s="76"/>
      <c r="B1754" s="76"/>
      <c r="C1754" s="76"/>
      <c r="D1754" s="76"/>
      <c r="E1754" s="76"/>
      <c r="F1754" s="76"/>
      <c r="G1754" s="76"/>
      <c r="H1754" s="76"/>
      <c r="I1754" s="76"/>
      <c r="J1754" s="76"/>
      <c r="K1754" s="76"/>
      <c r="L1754" s="76"/>
      <c r="M1754" s="76"/>
      <c r="N1754" s="76"/>
      <c r="O1754" s="76"/>
      <c r="P1754" s="76"/>
      <c r="Q1754" s="76"/>
      <c r="R1754" s="76"/>
      <c r="S1754" s="76"/>
      <c r="T1754" s="76"/>
      <c r="U1754" s="76" t="s">
        <v>5440</v>
      </c>
      <c r="V1754" s="76"/>
      <c r="W1754" s="76"/>
      <c r="X1754" s="76"/>
    </row>
    <row r="1755" ht="18.0" customHeight="1">
      <c r="A1755" s="76"/>
      <c r="B1755" s="76"/>
      <c r="C1755" s="76"/>
      <c r="D1755" s="76"/>
      <c r="E1755" s="76"/>
      <c r="F1755" s="76"/>
      <c r="G1755" s="76"/>
      <c r="H1755" s="76"/>
      <c r="I1755" s="76"/>
      <c r="J1755" s="76"/>
      <c r="K1755" s="76"/>
      <c r="L1755" s="76"/>
      <c r="M1755" s="76"/>
      <c r="N1755" s="76"/>
      <c r="O1755" s="76"/>
      <c r="P1755" s="76"/>
      <c r="Q1755" s="76"/>
      <c r="R1755" s="76"/>
      <c r="S1755" s="76"/>
      <c r="T1755" s="76"/>
      <c r="U1755" s="76" t="s">
        <v>5441</v>
      </c>
      <c r="V1755" s="76"/>
      <c r="W1755" s="76"/>
      <c r="X1755" s="76"/>
    </row>
    <row r="1756" ht="18.0" customHeight="1">
      <c r="A1756" s="76"/>
      <c r="B1756" s="76"/>
      <c r="C1756" s="76"/>
      <c r="D1756" s="76"/>
      <c r="E1756" s="76"/>
      <c r="F1756" s="76"/>
      <c r="G1756" s="76"/>
      <c r="H1756" s="76"/>
      <c r="I1756" s="76"/>
      <c r="J1756" s="76"/>
      <c r="K1756" s="76"/>
      <c r="L1756" s="76"/>
      <c r="M1756" s="76"/>
      <c r="N1756" s="76"/>
      <c r="O1756" s="76"/>
      <c r="P1756" s="76"/>
      <c r="Q1756" s="76"/>
      <c r="R1756" s="76"/>
      <c r="S1756" s="76"/>
      <c r="T1756" s="76"/>
      <c r="U1756" s="76" t="s">
        <v>5442</v>
      </c>
      <c r="V1756" s="76"/>
      <c r="W1756" s="76"/>
      <c r="X1756" s="76"/>
    </row>
    <row r="1757" ht="18.0" customHeight="1">
      <c r="A1757" s="76"/>
      <c r="B1757" s="76"/>
      <c r="C1757" s="76"/>
      <c r="D1757" s="76"/>
      <c r="E1757" s="76"/>
      <c r="F1757" s="76"/>
      <c r="G1757" s="76"/>
      <c r="H1757" s="76"/>
      <c r="I1757" s="76"/>
      <c r="J1757" s="76"/>
      <c r="K1757" s="76"/>
      <c r="L1757" s="76"/>
      <c r="M1757" s="76"/>
      <c r="N1757" s="76"/>
      <c r="O1757" s="76"/>
      <c r="P1757" s="76"/>
      <c r="Q1757" s="76"/>
      <c r="R1757" s="76"/>
      <c r="S1757" s="76"/>
      <c r="T1757" s="76"/>
      <c r="U1757" s="76" t="s">
        <v>5443</v>
      </c>
      <c r="V1757" s="76"/>
      <c r="W1757" s="76"/>
      <c r="X1757" s="76"/>
    </row>
    <row r="1758" ht="18.0" customHeight="1">
      <c r="A1758" s="76"/>
      <c r="B1758" s="76"/>
      <c r="C1758" s="76"/>
      <c r="D1758" s="76"/>
      <c r="E1758" s="76"/>
      <c r="F1758" s="76"/>
      <c r="G1758" s="76"/>
      <c r="H1758" s="76"/>
      <c r="I1758" s="76"/>
      <c r="J1758" s="76"/>
      <c r="K1758" s="76"/>
      <c r="L1758" s="76"/>
      <c r="M1758" s="76"/>
      <c r="N1758" s="76"/>
      <c r="O1758" s="76"/>
      <c r="P1758" s="76"/>
      <c r="Q1758" s="76"/>
      <c r="R1758" s="76"/>
      <c r="S1758" s="76"/>
      <c r="T1758" s="76"/>
      <c r="U1758" s="76" t="s">
        <v>5444</v>
      </c>
      <c r="V1758" s="76"/>
      <c r="W1758" s="76"/>
      <c r="X1758" s="76"/>
    </row>
    <row r="1759" ht="18.0" customHeight="1">
      <c r="A1759" s="76"/>
      <c r="B1759" s="76"/>
      <c r="C1759" s="76"/>
      <c r="D1759" s="76"/>
      <c r="E1759" s="76"/>
      <c r="F1759" s="76"/>
      <c r="G1759" s="76"/>
      <c r="H1759" s="76"/>
      <c r="I1759" s="76"/>
      <c r="J1759" s="76"/>
      <c r="K1759" s="76"/>
      <c r="L1759" s="76"/>
      <c r="M1759" s="76"/>
      <c r="N1759" s="76"/>
      <c r="O1759" s="76"/>
      <c r="P1759" s="76"/>
      <c r="Q1759" s="76"/>
      <c r="R1759" s="76"/>
      <c r="S1759" s="76"/>
      <c r="T1759" s="76"/>
      <c r="U1759" s="76" t="s">
        <v>5445</v>
      </c>
      <c r="V1759" s="76"/>
      <c r="W1759" s="76"/>
      <c r="X1759" s="76"/>
    </row>
    <row r="1760" ht="18.0" customHeight="1">
      <c r="A1760" s="76"/>
      <c r="B1760" s="76"/>
      <c r="C1760" s="76"/>
      <c r="D1760" s="76"/>
      <c r="E1760" s="76"/>
      <c r="F1760" s="76"/>
      <c r="G1760" s="76"/>
      <c r="H1760" s="76"/>
      <c r="I1760" s="76"/>
      <c r="J1760" s="76"/>
      <c r="K1760" s="76"/>
      <c r="L1760" s="76"/>
      <c r="M1760" s="76"/>
      <c r="N1760" s="76"/>
      <c r="O1760" s="76"/>
      <c r="P1760" s="76"/>
      <c r="Q1760" s="76"/>
      <c r="R1760" s="76"/>
      <c r="S1760" s="76"/>
      <c r="T1760" s="76"/>
      <c r="U1760" s="76" t="s">
        <v>5446</v>
      </c>
      <c r="V1760" s="76"/>
      <c r="W1760" s="76"/>
      <c r="X1760" s="76"/>
    </row>
    <row r="1761" ht="18.0" customHeight="1">
      <c r="A1761" s="76"/>
      <c r="B1761" s="76"/>
      <c r="C1761" s="76"/>
      <c r="D1761" s="76"/>
      <c r="E1761" s="76"/>
      <c r="F1761" s="76"/>
      <c r="G1761" s="76"/>
      <c r="H1761" s="76"/>
      <c r="I1761" s="76"/>
      <c r="J1761" s="76"/>
      <c r="K1761" s="76"/>
      <c r="L1761" s="76"/>
      <c r="M1761" s="76"/>
      <c r="N1761" s="76"/>
      <c r="O1761" s="76"/>
      <c r="P1761" s="76"/>
      <c r="Q1761" s="76"/>
      <c r="R1761" s="76"/>
      <c r="S1761" s="76"/>
      <c r="T1761" s="76"/>
      <c r="U1761" s="76" t="s">
        <v>5447</v>
      </c>
      <c r="V1761" s="76"/>
      <c r="W1761" s="76"/>
      <c r="X1761" s="76"/>
    </row>
    <row r="1762" ht="18.0" customHeight="1">
      <c r="A1762" s="76"/>
      <c r="B1762" s="76"/>
      <c r="C1762" s="76"/>
      <c r="D1762" s="76"/>
      <c r="E1762" s="76"/>
      <c r="F1762" s="76"/>
      <c r="G1762" s="76"/>
      <c r="H1762" s="76"/>
      <c r="I1762" s="76"/>
      <c r="J1762" s="76"/>
      <c r="K1762" s="76"/>
      <c r="L1762" s="76"/>
      <c r="M1762" s="76"/>
      <c r="N1762" s="76"/>
      <c r="O1762" s="76"/>
      <c r="P1762" s="76"/>
      <c r="Q1762" s="76"/>
      <c r="R1762" s="76"/>
      <c r="S1762" s="76"/>
      <c r="T1762" s="76"/>
      <c r="U1762" s="76" t="s">
        <v>5448</v>
      </c>
      <c r="V1762" s="76"/>
      <c r="W1762" s="76"/>
      <c r="X1762" s="76"/>
    </row>
    <row r="1763" ht="18.0" customHeight="1">
      <c r="A1763" s="76"/>
      <c r="B1763" s="76"/>
      <c r="C1763" s="76"/>
      <c r="D1763" s="76"/>
      <c r="E1763" s="76"/>
      <c r="F1763" s="76"/>
      <c r="G1763" s="76"/>
      <c r="H1763" s="76"/>
      <c r="I1763" s="76"/>
      <c r="J1763" s="76"/>
      <c r="K1763" s="76"/>
      <c r="L1763" s="76"/>
      <c r="M1763" s="76"/>
      <c r="N1763" s="76"/>
      <c r="O1763" s="76"/>
      <c r="P1763" s="76"/>
      <c r="Q1763" s="76"/>
      <c r="R1763" s="76"/>
      <c r="S1763" s="76"/>
      <c r="T1763" s="76"/>
      <c r="U1763" s="76" t="s">
        <v>5449</v>
      </c>
      <c r="V1763" s="76"/>
      <c r="W1763" s="76"/>
      <c r="X1763" s="76"/>
    </row>
    <row r="1764" ht="18.0" customHeight="1">
      <c r="A1764" s="76"/>
      <c r="B1764" s="76"/>
      <c r="C1764" s="76"/>
      <c r="D1764" s="76"/>
      <c r="E1764" s="76"/>
      <c r="F1764" s="76"/>
      <c r="G1764" s="76"/>
      <c r="H1764" s="76"/>
      <c r="I1764" s="76"/>
      <c r="J1764" s="76"/>
      <c r="K1764" s="76"/>
      <c r="L1764" s="76"/>
      <c r="M1764" s="76"/>
      <c r="N1764" s="76"/>
      <c r="O1764" s="76"/>
      <c r="P1764" s="76"/>
      <c r="Q1764" s="76"/>
      <c r="R1764" s="76"/>
      <c r="S1764" s="76"/>
      <c r="T1764" s="76"/>
      <c r="U1764" s="76" t="s">
        <v>5450</v>
      </c>
      <c r="V1764" s="76"/>
      <c r="W1764" s="76"/>
      <c r="X1764" s="76"/>
    </row>
    <row r="1765" ht="18.0" customHeight="1">
      <c r="A1765" s="76"/>
      <c r="B1765" s="76"/>
      <c r="C1765" s="76"/>
      <c r="D1765" s="76"/>
      <c r="E1765" s="76"/>
      <c r="F1765" s="76"/>
      <c r="G1765" s="76"/>
      <c r="H1765" s="76"/>
      <c r="I1765" s="76"/>
      <c r="J1765" s="76"/>
      <c r="K1765" s="76"/>
      <c r="L1765" s="76"/>
      <c r="M1765" s="76"/>
      <c r="N1765" s="76"/>
      <c r="O1765" s="76"/>
      <c r="P1765" s="76"/>
      <c r="Q1765" s="76"/>
      <c r="R1765" s="76"/>
      <c r="S1765" s="76"/>
      <c r="T1765" s="76"/>
      <c r="U1765" s="76" t="s">
        <v>5451</v>
      </c>
      <c r="V1765" s="76"/>
      <c r="W1765" s="76"/>
      <c r="X1765" s="76"/>
    </row>
    <row r="1766" ht="18.0" customHeight="1">
      <c r="A1766" s="76"/>
      <c r="B1766" s="76"/>
      <c r="C1766" s="76"/>
      <c r="D1766" s="76"/>
      <c r="E1766" s="76"/>
      <c r="F1766" s="76"/>
      <c r="G1766" s="76"/>
      <c r="H1766" s="76"/>
      <c r="I1766" s="76"/>
      <c r="J1766" s="76"/>
      <c r="K1766" s="76"/>
      <c r="L1766" s="76"/>
      <c r="M1766" s="76"/>
      <c r="N1766" s="76"/>
      <c r="O1766" s="76"/>
      <c r="P1766" s="76"/>
      <c r="Q1766" s="76"/>
      <c r="R1766" s="76"/>
      <c r="S1766" s="76"/>
      <c r="T1766" s="76"/>
      <c r="U1766" s="76" t="s">
        <v>5452</v>
      </c>
      <c r="V1766" s="76"/>
      <c r="W1766" s="76"/>
      <c r="X1766" s="76"/>
    </row>
    <row r="1767" ht="18.0" customHeight="1">
      <c r="A1767" s="76"/>
      <c r="B1767" s="76"/>
      <c r="C1767" s="76"/>
      <c r="D1767" s="76"/>
      <c r="E1767" s="76"/>
      <c r="F1767" s="76"/>
      <c r="G1767" s="76"/>
      <c r="H1767" s="76"/>
      <c r="I1767" s="76"/>
      <c r="J1767" s="76"/>
      <c r="K1767" s="76"/>
      <c r="L1767" s="76"/>
      <c r="M1767" s="76"/>
      <c r="N1767" s="76"/>
      <c r="O1767" s="76"/>
      <c r="P1767" s="76"/>
      <c r="Q1767" s="76"/>
      <c r="R1767" s="76"/>
      <c r="S1767" s="76"/>
      <c r="T1767" s="76"/>
      <c r="U1767" s="76" t="s">
        <v>5453</v>
      </c>
      <c r="V1767" s="76"/>
      <c r="W1767" s="76"/>
      <c r="X1767" s="76"/>
    </row>
    <row r="1768" ht="18.0" customHeight="1">
      <c r="A1768" s="76"/>
      <c r="B1768" s="76"/>
      <c r="C1768" s="76"/>
      <c r="D1768" s="76"/>
      <c r="E1768" s="76"/>
      <c r="F1768" s="76"/>
      <c r="G1768" s="76"/>
      <c r="H1768" s="76"/>
      <c r="I1768" s="76"/>
      <c r="J1768" s="76"/>
      <c r="K1768" s="76"/>
      <c r="L1768" s="76"/>
      <c r="M1768" s="76"/>
      <c r="N1768" s="76"/>
      <c r="O1768" s="76"/>
      <c r="P1768" s="76"/>
      <c r="Q1768" s="76"/>
      <c r="R1768" s="76"/>
      <c r="S1768" s="76"/>
      <c r="T1768" s="76"/>
      <c r="U1768" s="76" t="s">
        <v>5454</v>
      </c>
      <c r="V1768" s="76"/>
      <c r="W1768" s="76"/>
      <c r="X1768" s="76"/>
    </row>
    <row r="1769" ht="18.0" customHeight="1">
      <c r="A1769" s="76"/>
      <c r="B1769" s="76"/>
      <c r="C1769" s="76"/>
      <c r="D1769" s="76"/>
      <c r="E1769" s="76"/>
      <c r="F1769" s="76"/>
      <c r="G1769" s="76"/>
      <c r="H1769" s="76"/>
      <c r="I1769" s="76"/>
      <c r="J1769" s="76"/>
      <c r="K1769" s="76"/>
      <c r="L1769" s="76"/>
      <c r="M1769" s="76"/>
      <c r="N1769" s="76"/>
      <c r="O1769" s="76"/>
      <c r="P1769" s="76"/>
      <c r="Q1769" s="76"/>
      <c r="R1769" s="76"/>
      <c r="S1769" s="76"/>
      <c r="T1769" s="76"/>
      <c r="U1769" s="76" t="s">
        <v>5455</v>
      </c>
      <c r="V1769" s="76"/>
      <c r="W1769" s="76"/>
      <c r="X1769" s="76"/>
    </row>
    <row r="1770" ht="18.0" customHeight="1">
      <c r="A1770" s="76"/>
      <c r="B1770" s="76"/>
      <c r="C1770" s="76"/>
      <c r="D1770" s="76"/>
      <c r="E1770" s="76"/>
      <c r="F1770" s="76"/>
      <c r="G1770" s="76"/>
      <c r="H1770" s="76"/>
      <c r="I1770" s="76"/>
      <c r="J1770" s="76"/>
      <c r="K1770" s="76"/>
      <c r="L1770" s="76"/>
      <c r="M1770" s="76"/>
      <c r="N1770" s="76"/>
      <c r="O1770" s="76"/>
      <c r="P1770" s="76"/>
      <c r="Q1770" s="76"/>
      <c r="R1770" s="76"/>
      <c r="S1770" s="76"/>
      <c r="T1770" s="76"/>
      <c r="U1770" s="76" t="s">
        <v>5456</v>
      </c>
      <c r="V1770" s="76"/>
      <c r="W1770" s="76"/>
      <c r="X1770" s="76"/>
    </row>
    <row r="1771" ht="18.0" customHeight="1">
      <c r="A1771" s="76"/>
      <c r="B1771" s="76"/>
      <c r="C1771" s="76"/>
      <c r="D1771" s="76"/>
      <c r="E1771" s="76"/>
      <c r="F1771" s="76"/>
      <c r="G1771" s="76"/>
      <c r="H1771" s="76"/>
      <c r="I1771" s="76"/>
      <c r="J1771" s="76"/>
      <c r="K1771" s="76"/>
      <c r="L1771" s="76"/>
      <c r="M1771" s="76"/>
      <c r="N1771" s="76"/>
      <c r="O1771" s="76"/>
      <c r="P1771" s="76"/>
      <c r="Q1771" s="76"/>
      <c r="R1771" s="76"/>
      <c r="S1771" s="76"/>
      <c r="T1771" s="76"/>
      <c r="U1771" s="76" t="s">
        <v>5457</v>
      </c>
      <c r="V1771" s="76"/>
      <c r="W1771" s="76"/>
      <c r="X1771" s="76"/>
    </row>
    <row r="1772" ht="18.0" customHeight="1">
      <c r="A1772" s="76"/>
      <c r="B1772" s="76"/>
      <c r="C1772" s="76"/>
      <c r="D1772" s="76"/>
      <c r="E1772" s="76"/>
      <c r="F1772" s="76"/>
      <c r="G1772" s="76"/>
      <c r="H1772" s="76"/>
      <c r="I1772" s="76"/>
      <c r="J1772" s="76"/>
      <c r="K1772" s="76"/>
      <c r="L1772" s="76"/>
      <c r="M1772" s="76"/>
      <c r="N1772" s="76"/>
      <c r="O1772" s="76"/>
      <c r="P1772" s="76"/>
      <c r="Q1772" s="76"/>
      <c r="R1772" s="76"/>
      <c r="S1772" s="76"/>
      <c r="T1772" s="76"/>
      <c r="U1772" s="76" t="s">
        <v>5458</v>
      </c>
      <c r="V1772" s="76"/>
      <c r="W1772" s="76"/>
      <c r="X1772" s="76"/>
    </row>
    <row r="1773" ht="18.0" customHeight="1">
      <c r="A1773" s="76"/>
      <c r="B1773" s="76"/>
      <c r="C1773" s="76"/>
      <c r="D1773" s="76"/>
      <c r="E1773" s="76"/>
      <c r="F1773" s="76"/>
      <c r="G1773" s="76"/>
      <c r="H1773" s="76"/>
      <c r="I1773" s="76"/>
      <c r="J1773" s="76"/>
      <c r="K1773" s="76"/>
      <c r="L1773" s="76"/>
      <c r="M1773" s="76"/>
      <c r="N1773" s="76"/>
      <c r="O1773" s="76"/>
      <c r="P1773" s="76"/>
      <c r="Q1773" s="76"/>
      <c r="R1773" s="76"/>
      <c r="S1773" s="76"/>
      <c r="T1773" s="76"/>
      <c r="U1773" s="76" t="s">
        <v>5459</v>
      </c>
      <c r="V1773" s="76"/>
      <c r="W1773" s="76"/>
      <c r="X1773" s="76"/>
    </row>
    <row r="1774" ht="18.0" customHeight="1">
      <c r="A1774" s="76"/>
      <c r="B1774" s="76"/>
      <c r="C1774" s="76"/>
      <c r="D1774" s="76"/>
      <c r="E1774" s="76"/>
      <c r="F1774" s="76"/>
      <c r="G1774" s="76"/>
      <c r="H1774" s="76"/>
      <c r="I1774" s="76"/>
      <c r="J1774" s="76"/>
      <c r="K1774" s="76"/>
      <c r="L1774" s="76"/>
      <c r="M1774" s="76"/>
      <c r="N1774" s="76"/>
      <c r="O1774" s="76"/>
      <c r="P1774" s="76"/>
      <c r="Q1774" s="76"/>
      <c r="R1774" s="76"/>
      <c r="S1774" s="76"/>
      <c r="T1774" s="76"/>
      <c r="U1774" s="76" t="s">
        <v>5460</v>
      </c>
      <c r="V1774" s="76"/>
      <c r="W1774" s="76"/>
      <c r="X1774" s="76"/>
    </row>
    <row r="1775" ht="18.0" customHeight="1">
      <c r="A1775" s="76"/>
      <c r="B1775" s="76"/>
      <c r="C1775" s="76"/>
      <c r="D1775" s="76"/>
      <c r="E1775" s="76"/>
      <c r="F1775" s="76"/>
      <c r="G1775" s="76"/>
      <c r="H1775" s="76"/>
      <c r="I1775" s="76"/>
      <c r="J1775" s="76"/>
      <c r="K1775" s="76"/>
      <c r="L1775" s="76"/>
      <c r="M1775" s="76"/>
      <c r="N1775" s="76"/>
      <c r="O1775" s="76"/>
      <c r="P1775" s="76"/>
      <c r="Q1775" s="76"/>
      <c r="R1775" s="76"/>
      <c r="S1775" s="76"/>
      <c r="T1775" s="76"/>
      <c r="U1775" s="76" t="s">
        <v>5461</v>
      </c>
      <c r="V1775" s="76"/>
      <c r="W1775" s="76"/>
      <c r="X1775" s="76"/>
    </row>
    <row r="1776" ht="18.0" customHeight="1">
      <c r="A1776" s="76"/>
      <c r="B1776" s="76"/>
      <c r="C1776" s="76"/>
      <c r="D1776" s="76"/>
      <c r="E1776" s="76"/>
      <c r="F1776" s="76"/>
      <c r="G1776" s="76"/>
      <c r="H1776" s="76"/>
      <c r="I1776" s="76"/>
      <c r="J1776" s="76"/>
      <c r="K1776" s="76"/>
      <c r="L1776" s="76"/>
      <c r="M1776" s="76"/>
      <c r="N1776" s="76"/>
      <c r="O1776" s="76"/>
      <c r="P1776" s="76"/>
      <c r="Q1776" s="76"/>
      <c r="R1776" s="76"/>
      <c r="S1776" s="76"/>
      <c r="T1776" s="76"/>
      <c r="U1776" s="76" t="s">
        <v>5462</v>
      </c>
      <c r="V1776" s="76"/>
      <c r="W1776" s="76"/>
      <c r="X1776" s="76"/>
    </row>
    <row r="1777" ht="18.0" customHeight="1">
      <c r="A1777" s="76"/>
      <c r="B1777" s="76"/>
      <c r="C1777" s="76"/>
      <c r="D1777" s="76"/>
      <c r="E1777" s="76"/>
      <c r="F1777" s="76"/>
      <c r="G1777" s="76"/>
      <c r="H1777" s="76"/>
      <c r="I1777" s="76"/>
      <c r="J1777" s="76"/>
      <c r="K1777" s="76"/>
      <c r="L1777" s="76"/>
      <c r="M1777" s="76"/>
      <c r="N1777" s="76"/>
      <c r="O1777" s="76"/>
      <c r="P1777" s="76"/>
      <c r="Q1777" s="76"/>
      <c r="R1777" s="76"/>
      <c r="S1777" s="76"/>
      <c r="T1777" s="76"/>
      <c r="U1777" s="76" t="s">
        <v>5463</v>
      </c>
      <c r="V1777" s="76"/>
      <c r="W1777" s="76"/>
      <c r="X1777" s="76"/>
    </row>
    <row r="1778" ht="18.0" customHeight="1">
      <c r="A1778" s="76"/>
      <c r="B1778" s="76"/>
      <c r="C1778" s="76"/>
      <c r="D1778" s="76"/>
      <c r="E1778" s="76"/>
      <c r="F1778" s="76"/>
      <c r="G1778" s="76"/>
      <c r="H1778" s="76"/>
      <c r="I1778" s="76"/>
      <c r="J1778" s="76"/>
      <c r="K1778" s="76"/>
      <c r="L1778" s="76"/>
      <c r="M1778" s="76"/>
      <c r="N1778" s="76"/>
      <c r="O1778" s="76"/>
      <c r="P1778" s="76"/>
      <c r="Q1778" s="76"/>
      <c r="R1778" s="76"/>
      <c r="S1778" s="76"/>
      <c r="T1778" s="76"/>
      <c r="U1778" s="76" t="s">
        <v>5464</v>
      </c>
      <c r="V1778" s="76"/>
      <c r="W1778" s="76"/>
      <c r="X1778" s="76"/>
    </row>
    <row r="1779" ht="18.0" customHeight="1">
      <c r="A1779" s="76"/>
      <c r="B1779" s="76"/>
      <c r="C1779" s="76"/>
      <c r="D1779" s="76"/>
      <c r="E1779" s="76"/>
      <c r="F1779" s="76"/>
      <c r="G1779" s="76"/>
      <c r="H1779" s="76"/>
      <c r="I1779" s="76"/>
      <c r="J1779" s="76"/>
      <c r="K1779" s="76"/>
      <c r="L1779" s="76"/>
      <c r="M1779" s="76"/>
      <c r="N1779" s="76"/>
      <c r="O1779" s="76"/>
      <c r="P1779" s="76"/>
      <c r="Q1779" s="76"/>
      <c r="R1779" s="76"/>
      <c r="S1779" s="76"/>
      <c r="T1779" s="76"/>
      <c r="U1779" s="76" t="s">
        <v>5465</v>
      </c>
      <c r="V1779" s="76"/>
      <c r="W1779" s="76"/>
      <c r="X1779" s="76"/>
    </row>
    <row r="1780" ht="18.0" customHeight="1">
      <c r="A1780" s="76"/>
      <c r="B1780" s="76"/>
      <c r="C1780" s="76"/>
      <c r="D1780" s="76"/>
      <c r="E1780" s="76"/>
      <c r="F1780" s="76"/>
      <c r="G1780" s="76"/>
      <c r="H1780" s="76"/>
      <c r="I1780" s="76"/>
      <c r="J1780" s="76"/>
      <c r="K1780" s="76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 t="s">
        <v>5466</v>
      </c>
      <c r="V1780" s="76"/>
      <c r="W1780" s="76"/>
      <c r="X1780" s="76"/>
    </row>
    <row r="1781" ht="18.0" customHeight="1">
      <c r="A1781" s="76"/>
      <c r="B1781" s="76"/>
      <c r="C1781" s="76"/>
      <c r="D1781" s="76"/>
      <c r="E1781" s="76"/>
      <c r="F1781" s="76"/>
      <c r="G1781" s="76"/>
      <c r="H1781" s="76"/>
      <c r="I1781" s="76"/>
      <c r="J1781" s="76"/>
      <c r="K1781" s="76"/>
      <c r="L1781" s="76"/>
      <c r="M1781" s="76"/>
      <c r="N1781" s="76"/>
      <c r="O1781" s="76"/>
      <c r="P1781" s="76"/>
      <c r="Q1781" s="76"/>
      <c r="R1781" s="76"/>
      <c r="S1781" s="76"/>
      <c r="T1781" s="76"/>
      <c r="U1781" s="76" t="s">
        <v>5467</v>
      </c>
      <c r="V1781" s="76"/>
      <c r="W1781" s="76"/>
      <c r="X1781" s="76"/>
    </row>
    <row r="1782" ht="18.0" customHeight="1">
      <c r="A1782" s="76"/>
      <c r="B1782" s="76"/>
      <c r="C1782" s="76"/>
      <c r="D1782" s="76"/>
      <c r="E1782" s="76"/>
      <c r="F1782" s="76"/>
      <c r="G1782" s="76"/>
      <c r="H1782" s="76"/>
      <c r="I1782" s="76"/>
      <c r="J1782" s="76"/>
      <c r="K1782" s="76"/>
      <c r="L1782" s="76"/>
      <c r="M1782" s="76"/>
      <c r="N1782" s="76"/>
      <c r="O1782" s="76"/>
      <c r="P1782" s="76"/>
      <c r="Q1782" s="76"/>
      <c r="R1782" s="76"/>
      <c r="S1782" s="76"/>
      <c r="T1782" s="76"/>
      <c r="U1782" s="76" t="s">
        <v>5468</v>
      </c>
      <c r="V1782" s="76"/>
      <c r="W1782" s="76"/>
      <c r="X1782" s="76"/>
    </row>
    <row r="1783" ht="18.0" customHeight="1">
      <c r="A1783" s="76"/>
      <c r="B1783" s="76"/>
      <c r="C1783" s="76"/>
      <c r="D1783" s="76"/>
      <c r="E1783" s="76"/>
      <c r="F1783" s="76"/>
      <c r="G1783" s="76"/>
      <c r="H1783" s="76"/>
      <c r="I1783" s="76"/>
      <c r="J1783" s="76"/>
      <c r="K1783" s="76"/>
      <c r="L1783" s="76"/>
      <c r="M1783" s="76"/>
      <c r="N1783" s="76"/>
      <c r="O1783" s="76"/>
      <c r="P1783" s="76"/>
      <c r="Q1783" s="76"/>
      <c r="R1783" s="76"/>
      <c r="S1783" s="76"/>
      <c r="T1783" s="76"/>
      <c r="U1783" s="76" t="s">
        <v>5469</v>
      </c>
      <c r="V1783" s="76"/>
      <c r="W1783" s="76"/>
      <c r="X1783" s="76"/>
    </row>
    <row r="1784" ht="18.0" customHeight="1">
      <c r="A1784" s="76"/>
      <c r="B1784" s="76"/>
      <c r="C1784" s="76"/>
      <c r="D1784" s="76"/>
      <c r="E1784" s="76"/>
      <c r="F1784" s="76"/>
      <c r="G1784" s="76"/>
      <c r="H1784" s="76"/>
      <c r="I1784" s="76"/>
      <c r="J1784" s="76"/>
      <c r="K1784" s="76"/>
      <c r="L1784" s="76"/>
      <c r="M1784" s="76"/>
      <c r="N1784" s="76"/>
      <c r="O1784" s="76"/>
      <c r="P1784" s="76"/>
      <c r="Q1784" s="76"/>
      <c r="R1784" s="76"/>
      <c r="S1784" s="76"/>
      <c r="T1784" s="76"/>
      <c r="U1784" s="76" t="s">
        <v>5470</v>
      </c>
      <c r="V1784" s="76"/>
      <c r="W1784" s="76"/>
      <c r="X1784" s="76"/>
    </row>
    <row r="1785" ht="18.0" customHeight="1">
      <c r="A1785" s="76"/>
      <c r="B1785" s="76"/>
      <c r="C1785" s="76"/>
      <c r="D1785" s="76"/>
      <c r="E1785" s="76"/>
      <c r="F1785" s="76"/>
      <c r="G1785" s="76"/>
      <c r="H1785" s="76"/>
      <c r="I1785" s="76"/>
      <c r="J1785" s="76"/>
      <c r="K1785" s="76"/>
      <c r="L1785" s="76"/>
      <c r="M1785" s="76"/>
      <c r="N1785" s="76"/>
      <c r="O1785" s="76"/>
      <c r="P1785" s="76"/>
      <c r="Q1785" s="76"/>
      <c r="R1785" s="76"/>
      <c r="S1785" s="76"/>
      <c r="T1785" s="76"/>
      <c r="U1785" s="76" t="s">
        <v>5471</v>
      </c>
      <c r="V1785" s="76"/>
      <c r="W1785" s="76"/>
      <c r="X1785" s="76"/>
    </row>
    <row r="1786" ht="18.0" customHeight="1">
      <c r="A1786" s="76"/>
      <c r="B1786" s="76"/>
      <c r="C1786" s="76"/>
      <c r="D1786" s="76"/>
      <c r="E1786" s="76"/>
      <c r="F1786" s="76"/>
      <c r="G1786" s="76"/>
      <c r="H1786" s="76"/>
      <c r="I1786" s="76"/>
      <c r="J1786" s="76"/>
      <c r="K1786" s="76"/>
      <c r="L1786" s="76"/>
      <c r="M1786" s="76"/>
      <c r="N1786" s="76"/>
      <c r="O1786" s="76"/>
      <c r="P1786" s="76"/>
      <c r="Q1786" s="76"/>
      <c r="R1786" s="76"/>
      <c r="S1786" s="76"/>
      <c r="T1786" s="76"/>
      <c r="U1786" s="76" t="s">
        <v>5472</v>
      </c>
      <c r="V1786" s="76"/>
      <c r="W1786" s="76"/>
      <c r="X1786" s="76"/>
    </row>
    <row r="1787" ht="18.0" customHeight="1">
      <c r="A1787" s="76"/>
      <c r="B1787" s="76"/>
      <c r="C1787" s="76"/>
      <c r="D1787" s="76"/>
      <c r="E1787" s="76"/>
      <c r="F1787" s="76"/>
      <c r="G1787" s="76"/>
      <c r="H1787" s="76"/>
      <c r="I1787" s="76"/>
      <c r="J1787" s="76"/>
      <c r="K1787" s="76"/>
      <c r="L1787" s="76"/>
      <c r="M1787" s="76"/>
      <c r="N1787" s="76"/>
      <c r="O1787" s="76"/>
      <c r="P1787" s="76"/>
      <c r="Q1787" s="76"/>
      <c r="R1787" s="76"/>
      <c r="S1787" s="76"/>
      <c r="T1787" s="76"/>
      <c r="U1787" s="76" t="s">
        <v>5473</v>
      </c>
      <c r="V1787" s="76"/>
      <c r="W1787" s="76"/>
      <c r="X1787" s="76"/>
    </row>
    <row r="1788" ht="18.0" customHeight="1">
      <c r="A1788" s="76"/>
      <c r="B1788" s="76"/>
      <c r="C1788" s="76"/>
      <c r="D1788" s="76"/>
      <c r="E1788" s="76"/>
      <c r="F1788" s="76"/>
      <c r="G1788" s="76"/>
      <c r="H1788" s="76"/>
      <c r="I1788" s="76"/>
      <c r="J1788" s="76"/>
      <c r="K1788" s="76"/>
      <c r="L1788" s="76"/>
      <c r="M1788" s="76"/>
      <c r="N1788" s="76"/>
      <c r="O1788" s="76"/>
      <c r="P1788" s="76"/>
      <c r="Q1788" s="76"/>
      <c r="R1788" s="76"/>
      <c r="S1788" s="76"/>
      <c r="T1788" s="76"/>
      <c r="U1788" s="76" t="s">
        <v>5474</v>
      </c>
      <c r="V1788" s="76"/>
      <c r="W1788" s="76"/>
      <c r="X1788" s="76"/>
    </row>
    <row r="1789" ht="18.0" customHeight="1">
      <c r="A1789" s="76"/>
      <c r="B1789" s="76"/>
      <c r="C1789" s="76"/>
      <c r="D1789" s="76"/>
      <c r="E1789" s="76"/>
      <c r="F1789" s="76"/>
      <c r="G1789" s="76"/>
      <c r="H1789" s="76"/>
      <c r="I1789" s="76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 t="s">
        <v>5475</v>
      </c>
      <c r="V1789" s="76"/>
      <c r="W1789" s="76"/>
      <c r="X1789" s="76"/>
    </row>
    <row r="1790" ht="18.0" customHeight="1">
      <c r="A1790" s="76"/>
      <c r="B1790" s="76"/>
      <c r="C1790" s="76"/>
      <c r="D1790" s="76"/>
      <c r="E1790" s="76"/>
      <c r="F1790" s="76"/>
      <c r="G1790" s="76"/>
      <c r="H1790" s="76"/>
      <c r="I1790" s="76"/>
      <c r="J1790" s="76"/>
      <c r="K1790" s="76"/>
      <c r="L1790" s="76"/>
      <c r="M1790" s="76"/>
      <c r="N1790" s="76"/>
      <c r="O1790" s="76"/>
      <c r="P1790" s="76"/>
      <c r="Q1790" s="76"/>
      <c r="R1790" s="76"/>
      <c r="S1790" s="76"/>
      <c r="T1790" s="76"/>
      <c r="U1790" s="76" t="s">
        <v>5476</v>
      </c>
      <c r="V1790" s="76"/>
      <c r="W1790" s="76"/>
      <c r="X1790" s="76"/>
    </row>
    <row r="1791" ht="18.0" customHeight="1">
      <c r="A1791" s="76"/>
      <c r="B1791" s="76"/>
      <c r="C1791" s="76"/>
      <c r="D1791" s="76"/>
      <c r="E1791" s="76"/>
      <c r="F1791" s="76"/>
      <c r="G1791" s="76"/>
      <c r="H1791" s="76"/>
      <c r="I1791" s="76"/>
      <c r="J1791" s="76"/>
      <c r="K1791" s="76"/>
      <c r="L1791" s="76"/>
      <c r="M1791" s="76"/>
      <c r="N1791" s="76"/>
      <c r="O1791" s="76"/>
      <c r="P1791" s="76"/>
      <c r="Q1791" s="76"/>
      <c r="R1791" s="76"/>
      <c r="S1791" s="76"/>
      <c r="T1791" s="76"/>
      <c r="U1791" s="76" t="s">
        <v>5477</v>
      </c>
      <c r="V1791" s="76"/>
      <c r="W1791" s="76"/>
      <c r="X1791" s="76"/>
    </row>
    <row r="1792" ht="18.0" customHeight="1">
      <c r="A1792" s="76"/>
      <c r="B1792" s="76"/>
      <c r="C1792" s="76"/>
      <c r="D1792" s="76"/>
      <c r="E1792" s="76"/>
      <c r="F1792" s="76"/>
      <c r="G1792" s="76"/>
      <c r="H1792" s="76"/>
      <c r="I1792" s="76"/>
      <c r="J1792" s="76"/>
      <c r="K1792" s="76"/>
      <c r="L1792" s="76"/>
      <c r="M1792" s="76"/>
      <c r="N1792" s="76"/>
      <c r="O1792" s="76"/>
      <c r="P1792" s="76"/>
      <c r="Q1792" s="76"/>
      <c r="R1792" s="76"/>
      <c r="S1792" s="76"/>
      <c r="T1792" s="76"/>
      <c r="U1792" s="76" t="s">
        <v>5478</v>
      </c>
      <c r="V1792" s="76"/>
      <c r="W1792" s="76"/>
      <c r="X1792" s="76"/>
    </row>
    <row r="1793" ht="18.0" customHeight="1">
      <c r="A1793" s="76"/>
      <c r="B1793" s="76"/>
      <c r="C1793" s="76"/>
      <c r="D1793" s="76"/>
      <c r="E1793" s="76"/>
      <c r="F1793" s="76"/>
      <c r="G1793" s="76"/>
      <c r="H1793" s="76"/>
      <c r="I1793" s="76"/>
      <c r="J1793" s="76"/>
      <c r="K1793" s="76"/>
      <c r="L1793" s="76"/>
      <c r="M1793" s="76"/>
      <c r="N1793" s="76"/>
      <c r="O1793" s="76"/>
      <c r="P1793" s="76"/>
      <c r="Q1793" s="76"/>
      <c r="R1793" s="76"/>
      <c r="S1793" s="76"/>
      <c r="T1793" s="76"/>
      <c r="U1793" s="76" t="s">
        <v>5479</v>
      </c>
      <c r="V1793" s="76"/>
      <c r="W1793" s="76"/>
      <c r="X1793" s="76"/>
    </row>
    <row r="1794" ht="18.0" customHeight="1">
      <c r="A1794" s="76"/>
      <c r="B1794" s="76"/>
      <c r="C1794" s="76"/>
      <c r="D1794" s="76"/>
      <c r="E1794" s="76"/>
      <c r="F1794" s="76"/>
      <c r="G1794" s="76"/>
      <c r="H1794" s="76"/>
      <c r="I1794" s="76"/>
      <c r="J1794" s="76"/>
      <c r="K1794" s="76"/>
      <c r="L1794" s="76"/>
      <c r="M1794" s="76"/>
      <c r="N1794" s="76"/>
      <c r="O1794" s="76"/>
      <c r="P1794" s="76"/>
      <c r="Q1794" s="76"/>
      <c r="R1794" s="76"/>
      <c r="S1794" s="76"/>
      <c r="T1794" s="76"/>
      <c r="U1794" s="76" t="s">
        <v>5480</v>
      </c>
      <c r="V1794" s="76"/>
      <c r="W1794" s="76"/>
      <c r="X1794" s="76"/>
    </row>
    <row r="1795" ht="18.0" customHeight="1">
      <c r="A1795" s="76"/>
      <c r="B1795" s="76"/>
      <c r="C1795" s="76"/>
      <c r="D1795" s="76"/>
      <c r="E1795" s="76"/>
      <c r="F1795" s="76"/>
      <c r="G1795" s="76"/>
      <c r="H1795" s="76"/>
      <c r="I1795" s="76"/>
      <c r="J1795" s="76"/>
      <c r="K1795" s="76"/>
      <c r="L1795" s="76"/>
      <c r="M1795" s="76"/>
      <c r="N1795" s="76"/>
      <c r="O1795" s="76"/>
      <c r="P1795" s="76"/>
      <c r="Q1795" s="76"/>
      <c r="R1795" s="76"/>
      <c r="S1795" s="76"/>
      <c r="T1795" s="76"/>
      <c r="U1795" s="76" t="s">
        <v>5481</v>
      </c>
      <c r="V1795" s="76"/>
      <c r="W1795" s="76"/>
      <c r="X1795" s="76"/>
    </row>
    <row r="1796" ht="18.0" customHeight="1">
      <c r="A1796" s="76"/>
      <c r="B1796" s="76"/>
      <c r="C1796" s="76"/>
      <c r="D1796" s="76"/>
      <c r="E1796" s="76"/>
      <c r="F1796" s="76"/>
      <c r="G1796" s="76"/>
      <c r="H1796" s="76"/>
      <c r="I1796" s="76"/>
      <c r="J1796" s="76"/>
      <c r="K1796" s="76"/>
      <c r="L1796" s="76"/>
      <c r="M1796" s="76"/>
      <c r="N1796" s="76"/>
      <c r="O1796" s="76"/>
      <c r="P1796" s="76"/>
      <c r="Q1796" s="76"/>
      <c r="R1796" s="76"/>
      <c r="S1796" s="76"/>
      <c r="T1796" s="76"/>
      <c r="U1796" s="76" t="s">
        <v>5482</v>
      </c>
      <c r="V1796" s="76"/>
      <c r="W1796" s="76"/>
      <c r="X1796" s="76"/>
    </row>
    <row r="1797" ht="18.0" customHeight="1">
      <c r="A1797" s="76"/>
      <c r="B1797" s="76"/>
      <c r="C1797" s="76"/>
      <c r="D1797" s="76"/>
      <c r="E1797" s="76"/>
      <c r="F1797" s="76"/>
      <c r="G1797" s="76"/>
      <c r="H1797" s="76"/>
      <c r="I1797" s="76"/>
      <c r="J1797" s="76"/>
      <c r="K1797" s="76"/>
      <c r="L1797" s="76"/>
      <c r="M1797" s="76"/>
      <c r="N1797" s="76"/>
      <c r="O1797" s="76"/>
      <c r="P1797" s="76"/>
      <c r="Q1797" s="76"/>
      <c r="R1797" s="76"/>
      <c r="S1797" s="76"/>
      <c r="T1797" s="76"/>
      <c r="U1797" s="76" t="s">
        <v>5483</v>
      </c>
      <c r="V1797" s="76"/>
      <c r="W1797" s="76"/>
      <c r="X1797" s="76"/>
    </row>
    <row r="1798" ht="18.0" customHeight="1">
      <c r="A1798" s="76"/>
      <c r="B1798" s="76"/>
      <c r="C1798" s="76"/>
      <c r="D1798" s="76"/>
      <c r="E1798" s="76"/>
      <c r="F1798" s="76"/>
      <c r="G1798" s="76"/>
      <c r="H1798" s="76"/>
      <c r="I1798" s="76"/>
      <c r="J1798" s="76"/>
      <c r="K1798" s="76"/>
      <c r="L1798" s="76"/>
      <c r="M1798" s="76"/>
      <c r="N1798" s="76"/>
      <c r="O1798" s="76"/>
      <c r="P1798" s="76"/>
      <c r="Q1798" s="76"/>
      <c r="R1798" s="76"/>
      <c r="S1798" s="76"/>
      <c r="T1798" s="76"/>
      <c r="U1798" s="76" t="s">
        <v>5484</v>
      </c>
      <c r="V1798" s="76"/>
      <c r="W1798" s="76"/>
      <c r="X1798" s="76"/>
    </row>
    <row r="1799" ht="18.0" customHeight="1">
      <c r="A1799" s="76"/>
      <c r="B1799" s="76"/>
      <c r="C1799" s="76"/>
      <c r="D1799" s="76"/>
      <c r="E1799" s="76"/>
      <c r="F1799" s="76"/>
      <c r="G1799" s="76"/>
      <c r="H1799" s="76"/>
      <c r="I1799" s="76"/>
      <c r="J1799" s="76"/>
      <c r="K1799" s="76"/>
      <c r="L1799" s="76"/>
      <c r="M1799" s="76"/>
      <c r="N1799" s="76"/>
      <c r="O1799" s="76"/>
      <c r="P1799" s="76"/>
      <c r="Q1799" s="76"/>
      <c r="R1799" s="76"/>
      <c r="S1799" s="76"/>
      <c r="T1799" s="76"/>
      <c r="U1799" s="76" t="s">
        <v>5485</v>
      </c>
      <c r="V1799" s="76"/>
      <c r="W1799" s="76"/>
      <c r="X1799" s="76"/>
    </row>
    <row r="1800" ht="18.0" customHeight="1">
      <c r="A1800" s="76"/>
      <c r="B1800" s="76"/>
      <c r="C1800" s="76"/>
      <c r="D1800" s="76"/>
      <c r="E1800" s="76"/>
      <c r="F1800" s="76"/>
      <c r="G1800" s="76"/>
      <c r="H1800" s="76"/>
      <c r="I1800" s="76"/>
      <c r="J1800" s="76"/>
      <c r="K1800" s="76"/>
      <c r="L1800" s="76"/>
      <c r="M1800" s="76"/>
      <c r="N1800" s="76"/>
      <c r="O1800" s="76"/>
      <c r="P1800" s="76"/>
      <c r="Q1800" s="76"/>
      <c r="R1800" s="76"/>
      <c r="S1800" s="76"/>
      <c r="T1800" s="76"/>
      <c r="U1800" s="76" t="s">
        <v>5486</v>
      </c>
      <c r="V1800" s="76"/>
      <c r="W1800" s="76"/>
      <c r="X1800" s="76"/>
    </row>
    <row r="1801" ht="18.0" customHeight="1">
      <c r="A1801" s="76"/>
      <c r="B1801" s="76"/>
      <c r="C1801" s="76"/>
      <c r="D1801" s="76"/>
      <c r="E1801" s="76"/>
      <c r="F1801" s="76"/>
      <c r="G1801" s="76"/>
      <c r="H1801" s="76"/>
      <c r="I1801" s="76"/>
      <c r="J1801" s="76"/>
      <c r="K1801" s="76"/>
      <c r="L1801" s="76"/>
      <c r="M1801" s="76"/>
      <c r="N1801" s="76"/>
      <c r="O1801" s="76"/>
      <c r="P1801" s="76"/>
      <c r="Q1801" s="76"/>
      <c r="R1801" s="76"/>
      <c r="S1801" s="76"/>
      <c r="T1801" s="76"/>
      <c r="U1801" s="76" t="s">
        <v>5487</v>
      </c>
      <c r="V1801" s="76"/>
      <c r="W1801" s="76"/>
      <c r="X1801" s="76"/>
    </row>
    <row r="1802" ht="18.0" customHeight="1">
      <c r="A1802" s="76"/>
      <c r="B1802" s="76"/>
      <c r="C1802" s="76"/>
      <c r="D1802" s="76"/>
      <c r="E1802" s="76"/>
      <c r="F1802" s="76"/>
      <c r="G1802" s="76"/>
      <c r="H1802" s="76"/>
      <c r="I1802" s="76"/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 t="s">
        <v>5488</v>
      </c>
      <c r="V1802" s="76"/>
      <c r="W1802" s="76"/>
      <c r="X1802" s="76"/>
    </row>
    <row r="1803" ht="18.0" customHeight="1">
      <c r="A1803" s="76"/>
      <c r="B1803" s="76"/>
      <c r="C1803" s="76"/>
      <c r="D1803" s="76"/>
      <c r="E1803" s="76"/>
      <c r="F1803" s="76"/>
      <c r="G1803" s="76"/>
      <c r="H1803" s="76"/>
      <c r="I1803" s="76"/>
      <c r="J1803" s="76"/>
      <c r="K1803" s="76"/>
      <c r="L1803" s="76"/>
      <c r="M1803" s="76"/>
      <c r="N1803" s="76"/>
      <c r="O1803" s="76"/>
      <c r="P1803" s="76"/>
      <c r="Q1803" s="76"/>
      <c r="R1803" s="76"/>
      <c r="S1803" s="76"/>
      <c r="T1803" s="76"/>
      <c r="U1803" s="76" t="s">
        <v>5489</v>
      </c>
      <c r="V1803" s="76"/>
      <c r="W1803" s="76"/>
      <c r="X1803" s="76"/>
    </row>
    <row r="1804" ht="18.0" customHeight="1">
      <c r="A1804" s="76"/>
      <c r="B1804" s="76"/>
      <c r="C1804" s="76"/>
      <c r="D1804" s="76"/>
      <c r="E1804" s="76"/>
      <c r="F1804" s="76"/>
      <c r="G1804" s="76"/>
      <c r="H1804" s="76"/>
      <c r="I1804" s="76"/>
      <c r="J1804" s="76"/>
      <c r="K1804" s="76"/>
      <c r="L1804" s="76"/>
      <c r="M1804" s="76"/>
      <c r="N1804" s="76"/>
      <c r="O1804" s="76"/>
      <c r="P1804" s="76"/>
      <c r="Q1804" s="76"/>
      <c r="R1804" s="76"/>
      <c r="S1804" s="76"/>
      <c r="T1804" s="76"/>
      <c r="U1804" s="76" t="s">
        <v>5490</v>
      </c>
      <c r="V1804" s="76"/>
      <c r="W1804" s="76"/>
      <c r="X1804" s="76"/>
    </row>
    <row r="1805" ht="18.0" customHeight="1">
      <c r="A1805" s="76"/>
      <c r="B1805" s="76"/>
      <c r="C1805" s="76"/>
      <c r="D1805" s="76"/>
      <c r="E1805" s="76"/>
      <c r="F1805" s="76"/>
      <c r="G1805" s="76"/>
      <c r="H1805" s="76"/>
      <c r="I1805" s="76"/>
      <c r="J1805" s="76"/>
      <c r="K1805" s="76"/>
      <c r="L1805" s="76"/>
      <c r="M1805" s="76"/>
      <c r="N1805" s="76"/>
      <c r="O1805" s="76"/>
      <c r="P1805" s="76"/>
      <c r="Q1805" s="76"/>
      <c r="R1805" s="76"/>
      <c r="S1805" s="76"/>
      <c r="T1805" s="76"/>
      <c r="U1805" s="76" t="s">
        <v>5491</v>
      </c>
      <c r="V1805" s="76"/>
      <c r="W1805" s="76"/>
      <c r="X1805" s="76"/>
    </row>
    <row r="1806" ht="18.0" customHeight="1">
      <c r="A1806" s="76"/>
      <c r="B1806" s="76"/>
      <c r="C1806" s="76"/>
      <c r="D1806" s="76"/>
      <c r="E1806" s="76"/>
      <c r="F1806" s="76"/>
      <c r="G1806" s="76"/>
      <c r="H1806" s="76"/>
      <c r="I1806" s="76"/>
      <c r="J1806" s="76"/>
      <c r="K1806" s="76"/>
      <c r="L1806" s="76"/>
      <c r="M1806" s="76"/>
      <c r="N1806" s="76"/>
      <c r="O1806" s="76"/>
      <c r="P1806" s="76"/>
      <c r="Q1806" s="76"/>
      <c r="R1806" s="76"/>
      <c r="S1806" s="76"/>
      <c r="T1806" s="76"/>
      <c r="U1806" s="76" t="s">
        <v>5492</v>
      </c>
      <c r="V1806" s="76"/>
      <c r="W1806" s="76"/>
      <c r="X1806" s="76"/>
    </row>
    <row r="1807" ht="18.0" customHeight="1">
      <c r="A1807" s="76"/>
      <c r="B1807" s="76"/>
      <c r="C1807" s="76"/>
      <c r="D1807" s="76"/>
      <c r="E1807" s="76"/>
      <c r="F1807" s="76"/>
      <c r="G1807" s="76"/>
      <c r="H1807" s="76"/>
      <c r="I1807" s="76"/>
      <c r="J1807" s="76"/>
      <c r="K1807" s="76"/>
      <c r="L1807" s="76"/>
      <c r="M1807" s="76"/>
      <c r="N1807" s="76"/>
      <c r="O1807" s="76"/>
      <c r="P1807" s="76"/>
      <c r="Q1807" s="76"/>
      <c r="R1807" s="76"/>
      <c r="S1807" s="76"/>
      <c r="T1807" s="76"/>
      <c r="U1807" s="76" t="s">
        <v>5493</v>
      </c>
      <c r="V1807" s="76"/>
      <c r="W1807" s="76"/>
      <c r="X1807" s="76"/>
    </row>
    <row r="1808" ht="18.0" customHeight="1">
      <c r="A1808" s="76"/>
      <c r="B1808" s="76"/>
      <c r="C1808" s="76"/>
      <c r="D1808" s="76"/>
      <c r="E1808" s="76"/>
      <c r="F1808" s="76"/>
      <c r="G1808" s="76"/>
      <c r="H1808" s="76"/>
      <c r="I1808" s="76"/>
      <c r="J1808" s="76"/>
      <c r="K1808" s="76"/>
      <c r="L1808" s="76"/>
      <c r="M1808" s="76"/>
      <c r="N1808" s="76"/>
      <c r="O1808" s="76"/>
      <c r="P1808" s="76"/>
      <c r="Q1808" s="76"/>
      <c r="R1808" s="76"/>
      <c r="S1808" s="76"/>
      <c r="T1808" s="76"/>
      <c r="U1808" s="76" t="s">
        <v>5494</v>
      </c>
      <c r="V1808" s="76"/>
      <c r="W1808" s="76"/>
      <c r="X1808" s="76"/>
    </row>
    <row r="1809" ht="18.0" customHeight="1">
      <c r="A1809" s="76"/>
      <c r="B1809" s="76"/>
      <c r="C1809" s="76"/>
      <c r="D1809" s="76"/>
      <c r="E1809" s="76"/>
      <c r="F1809" s="76"/>
      <c r="G1809" s="76"/>
      <c r="H1809" s="76"/>
      <c r="I1809" s="76"/>
      <c r="J1809" s="76"/>
      <c r="K1809" s="76"/>
      <c r="L1809" s="76"/>
      <c r="M1809" s="76"/>
      <c r="N1809" s="76"/>
      <c r="O1809" s="76"/>
      <c r="P1809" s="76"/>
      <c r="Q1809" s="76"/>
      <c r="R1809" s="76"/>
      <c r="S1809" s="76"/>
      <c r="T1809" s="76"/>
      <c r="U1809" s="76" t="s">
        <v>5495</v>
      </c>
      <c r="V1809" s="76"/>
      <c r="W1809" s="76"/>
      <c r="X1809" s="76"/>
    </row>
    <row r="1810" ht="18.0" customHeight="1">
      <c r="A1810" s="76"/>
      <c r="B1810" s="76"/>
      <c r="C1810" s="76"/>
      <c r="D1810" s="76"/>
      <c r="E1810" s="76"/>
      <c r="F1810" s="76"/>
      <c r="G1810" s="76"/>
      <c r="H1810" s="76"/>
      <c r="I1810" s="76"/>
      <c r="J1810" s="76"/>
      <c r="K1810" s="76"/>
      <c r="L1810" s="76"/>
      <c r="M1810" s="76"/>
      <c r="N1810" s="76"/>
      <c r="O1810" s="76"/>
      <c r="P1810" s="76"/>
      <c r="Q1810" s="76"/>
      <c r="R1810" s="76"/>
      <c r="S1810" s="76"/>
      <c r="T1810" s="76"/>
      <c r="U1810" s="76" t="s">
        <v>5496</v>
      </c>
      <c r="V1810" s="76"/>
      <c r="W1810" s="76"/>
      <c r="X1810" s="76"/>
    </row>
    <row r="1811" ht="18.0" customHeight="1">
      <c r="A1811" s="76"/>
      <c r="B1811" s="76"/>
      <c r="C1811" s="76"/>
      <c r="D1811" s="76"/>
      <c r="E1811" s="76"/>
      <c r="F1811" s="76"/>
      <c r="G1811" s="76"/>
      <c r="H1811" s="76"/>
      <c r="I1811" s="76"/>
      <c r="J1811" s="76"/>
      <c r="K1811" s="76"/>
      <c r="L1811" s="76"/>
      <c r="M1811" s="76"/>
      <c r="N1811" s="76"/>
      <c r="O1811" s="76"/>
      <c r="P1811" s="76"/>
      <c r="Q1811" s="76"/>
      <c r="R1811" s="76"/>
      <c r="S1811" s="76"/>
      <c r="T1811" s="76"/>
      <c r="U1811" s="76" t="s">
        <v>5497</v>
      </c>
      <c r="V1811" s="76"/>
      <c r="W1811" s="76"/>
      <c r="X1811" s="76"/>
    </row>
    <row r="1812" ht="18.0" customHeight="1">
      <c r="A1812" s="76"/>
      <c r="B1812" s="76"/>
      <c r="C1812" s="76"/>
      <c r="D1812" s="76"/>
      <c r="E1812" s="76"/>
      <c r="F1812" s="76"/>
      <c r="G1812" s="76"/>
      <c r="H1812" s="76"/>
      <c r="I1812" s="76"/>
      <c r="J1812" s="76"/>
      <c r="K1812" s="76"/>
      <c r="L1812" s="76"/>
      <c r="M1812" s="76"/>
      <c r="N1812" s="76"/>
      <c r="O1812" s="76"/>
      <c r="P1812" s="76"/>
      <c r="Q1812" s="76"/>
      <c r="R1812" s="76"/>
      <c r="S1812" s="76"/>
      <c r="T1812" s="76"/>
      <c r="U1812" s="76" t="s">
        <v>5498</v>
      </c>
      <c r="V1812" s="76"/>
      <c r="W1812" s="76"/>
      <c r="X1812" s="76"/>
    </row>
    <row r="1813" ht="18.0" customHeight="1">
      <c r="A1813" s="76"/>
      <c r="B1813" s="76"/>
      <c r="C1813" s="76"/>
      <c r="D1813" s="76"/>
      <c r="E1813" s="76"/>
      <c r="F1813" s="76"/>
      <c r="G1813" s="76"/>
      <c r="H1813" s="76"/>
      <c r="I1813" s="76"/>
      <c r="J1813" s="76"/>
      <c r="K1813" s="76"/>
      <c r="L1813" s="76"/>
      <c r="M1813" s="76"/>
      <c r="N1813" s="76"/>
      <c r="O1813" s="76"/>
      <c r="P1813" s="76"/>
      <c r="Q1813" s="76"/>
      <c r="R1813" s="76"/>
      <c r="S1813" s="76"/>
      <c r="T1813" s="76"/>
      <c r="U1813" s="76" t="s">
        <v>5499</v>
      </c>
      <c r="V1813" s="76"/>
      <c r="W1813" s="76"/>
      <c r="X1813" s="76"/>
    </row>
    <row r="1814" ht="18.0" customHeight="1">
      <c r="A1814" s="76"/>
      <c r="B1814" s="76"/>
      <c r="C1814" s="76"/>
      <c r="D1814" s="76"/>
      <c r="E1814" s="76"/>
      <c r="F1814" s="76"/>
      <c r="G1814" s="76"/>
      <c r="H1814" s="76"/>
      <c r="I1814" s="76"/>
      <c r="J1814" s="76"/>
      <c r="K1814" s="76"/>
      <c r="L1814" s="76"/>
      <c r="M1814" s="76"/>
      <c r="N1814" s="76"/>
      <c r="O1814" s="76"/>
      <c r="P1814" s="76"/>
      <c r="Q1814" s="76"/>
      <c r="R1814" s="76"/>
      <c r="S1814" s="76"/>
      <c r="T1814" s="76"/>
      <c r="U1814" s="76" t="s">
        <v>5500</v>
      </c>
      <c r="V1814" s="76"/>
      <c r="W1814" s="76"/>
      <c r="X1814" s="76"/>
    </row>
    <row r="1815" ht="18.0" customHeight="1">
      <c r="A1815" s="76"/>
      <c r="B1815" s="76"/>
      <c r="C1815" s="76"/>
      <c r="D1815" s="76"/>
      <c r="E1815" s="76"/>
      <c r="F1815" s="76"/>
      <c r="G1815" s="76"/>
      <c r="H1815" s="76"/>
      <c r="I1815" s="76"/>
      <c r="J1815" s="76"/>
      <c r="K1815" s="76"/>
      <c r="L1815" s="76"/>
      <c r="M1815" s="76"/>
      <c r="N1815" s="76"/>
      <c r="O1815" s="76"/>
      <c r="P1815" s="76"/>
      <c r="Q1815" s="76"/>
      <c r="R1815" s="76"/>
      <c r="S1815" s="76"/>
      <c r="T1815" s="76"/>
      <c r="U1815" s="76" t="s">
        <v>5501</v>
      </c>
      <c r="V1815" s="76"/>
      <c r="W1815" s="76"/>
      <c r="X1815" s="76"/>
    </row>
    <row r="1816" ht="18.0" customHeight="1">
      <c r="A1816" s="76"/>
      <c r="B1816" s="76"/>
      <c r="C1816" s="76"/>
      <c r="D1816" s="76"/>
      <c r="E1816" s="76"/>
      <c r="F1816" s="76"/>
      <c r="G1816" s="76"/>
      <c r="H1816" s="76"/>
      <c r="I1816" s="76"/>
      <c r="J1816" s="76"/>
      <c r="K1816" s="76"/>
      <c r="L1816" s="76"/>
      <c r="M1816" s="76"/>
      <c r="N1816" s="76"/>
      <c r="O1816" s="76"/>
      <c r="P1816" s="76"/>
      <c r="Q1816" s="76"/>
      <c r="R1816" s="76"/>
      <c r="S1816" s="76"/>
      <c r="T1816" s="76"/>
      <c r="U1816" s="76" t="s">
        <v>5502</v>
      </c>
      <c r="V1816" s="76"/>
      <c r="W1816" s="76"/>
      <c r="X1816" s="76"/>
    </row>
    <row r="1817" ht="18.0" customHeight="1">
      <c r="A1817" s="76"/>
      <c r="B1817" s="76"/>
      <c r="C1817" s="76"/>
      <c r="D1817" s="76"/>
      <c r="E1817" s="76"/>
      <c r="F1817" s="76"/>
      <c r="G1817" s="76"/>
      <c r="H1817" s="76"/>
      <c r="I1817" s="76"/>
      <c r="J1817" s="76"/>
      <c r="K1817" s="76"/>
      <c r="L1817" s="76"/>
      <c r="M1817" s="76"/>
      <c r="N1817" s="76"/>
      <c r="O1817" s="76"/>
      <c r="P1817" s="76"/>
      <c r="Q1817" s="76"/>
      <c r="R1817" s="76"/>
      <c r="S1817" s="76"/>
      <c r="T1817" s="76"/>
      <c r="U1817" s="76" t="s">
        <v>5503</v>
      </c>
      <c r="V1817" s="76"/>
      <c r="W1817" s="76"/>
      <c r="X1817" s="76"/>
    </row>
    <row r="1818" ht="18.0" customHeight="1">
      <c r="A1818" s="76"/>
      <c r="B1818" s="76"/>
      <c r="C1818" s="76"/>
      <c r="D1818" s="76"/>
      <c r="E1818" s="76"/>
      <c r="F1818" s="76"/>
      <c r="G1818" s="76"/>
      <c r="H1818" s="76"/>
      <c r="I1818" s="76"/>
      <c r="J1818" s="76"/>
      <c r="K1818" s="76"/>
      <c r="L1818" s="76"/>
      <c r="M1818" s="76"/>
      <c r="N1818" s="76"/>
      <c r="O1818" s="76"/>
      <c r="P1818" s="76"/>
      <c r="Q1818" s="76"/>
      <c r="R1818" s="76"/>
      <c r="S1818" s="76"/>
      <c r="T1818" s="76"/>
      <c r="U1818" s="76" t="s">
        <v>5504</v>
      </c>
      <c r="V1818" s="76"/>
      <c r="W1818" s="76"/>
      <c r="X1818" s="76"/>
    </row>
    <row r="1819" ht="18.0" customHeight="1">
      <c r="A1819" s="76"/>
      <c r="B1819" s="76"/>
      <c r="C1819" s="76"/>
      <c r="D1819" s="76"/>
      <c r="E1819" s="76"/>
      <c r="F1819" s="76"/>
      <c r="G1819" s="76"/>
      <c r="H1819" s="76"/>
      <c r="I1819" s="76"/>
      <c r="J1819" s="76"/>
      <c r="K1819" s="76"/>
      <c r="L1819" s="76"/>
      <c r="M1819" s="76"/>
      <c r="N1819" s="76"/>
      <c r="O1819" s="76"/>
      <c r="P1819" s="76"/>
      <c r="Q1819" s="76"/>
      <c r="R1819" s="76"/>
      <c r="S1819" s="76"/>
      <c r="T1819" s="76"/>
      <c r="U1819" s="76" t="s">
        <v>5505</v>
      </c>
      <c r="V1819" s="76"/>
      <c r="W1819" s="76"/>
      <c r="X1819" s="76"/>
    </row>
    <row r="1820" ht="18.0" customHeight="1">
      <c r="A1820" s="76"/>
      <c r="B1820" s="76"/>
      <c r="C1820" s="76"/>
      <c r="D1820" s="76"/>
      <c r="E1820" s="76"/>
      <c r="F1820" s="76"/>
      <c r="G1820" s="76"/>
      <c r="H1820" s="76"/>
      <c r="I1820" s="76"/>
      <c r="J1820" s="76"/>
      <c r="K1820" s="76"/>
      <c r="L1820" s="76"/>
      <c r="M1820" s="76"/>
      <c r="N1820" s="76"/>
      <c r="O1820" s="76"/>
      <c r="P1820" s="76"/>
      <c r="Q1820" s="76"/>
      <c r="R1820" s="76"/>
      <c r="S1820" s="76"/>
      <c r="T1820" s="76"/>
      <c r="U1820" s="76" t="s">
        <v>5506</v>
      </c>
      <c r="V1820" s="76"/>
      <c r="W1820" s="76"/>
      <c r="X1820" s="76"/>
    </row>
    <row r="1821" ht="18.0" customHeight="1">
      <c r="A1821" s="76"/>
      <c r="B1821" s="76"/>
      <c r="C1821" s="76"/>
      <c r="D1821" s="76"/>
      <c r="E1821" s="76"/>
      <c r="F1821" s="76"/>
      <c r="G1821" s="76"/>
      <c r="H1821" s="76"/>
      <c r="I1821" s="76"/>
      <c r="J1821" s="76"/>
      <c r="K1821" s="76"/>
      <c r="L1821" s="76"/>
      <c r="M1821" s="76"/>
      <c r="N1821" s="76"/>
      <c r="O1821" s="76"/>
      <c r="P1821" s="76"/>
      <c r="Q1821" s="76"/>
      <c r="R1821" s="76"/>
      <c r="S1821" s="76"/>
      <c r="T1821" s="76"/>
      <c r="U1821" s="76" t="s">
        <v>5507</v>
      </c>
      <c r="V1821" s="76"/>
      <c r="W1821" s="76"/>
      <c r="X1821" s="76"/>
    </row>
    <row r="1822" ht="18.0" customHeight="1">
      <c r="A1822" s="76"/>
      <c r="B1822" s="76"/>
      <c r="C1822" s="76"/>
      <c r="D1822" s="76"/>
      <c r="E1822" s="76"/>
      <c r="F1822" s="76"/>
      <c r="G1822" s="76"/>
      <c r="H1822" s="76"/>
      <c r="I1822" s="76"/>
      <c r="J1822" s="76"/>
      <c r="K1822" s="76"/>
      <c r="L1822" s="76"/>
      <c r="M1822" s="76"/>
      <c r="N1822" s="76"/>
      <c r="O1822" s="76"/>
      <c r="P1822" s="76"/>
      <c r="Q1822" s="76"/>
      <c r="R1822" s="76"/>
      <c r="S1822" s="76"/>
      <c r="T1822" s="76"/>
      <c r="U1822" s="76" t="s">
        <v>5508</v>
      </c>
      <c r="V1822" s="76"/>
      <c r="W1822" s="76"/>
      <c r="X1822" s="76"/>
    </row>
    <row r="1823" ht="18.0" customHeight="1">
      <c r="A1823" s="76"/>
      <c r="B1823" s="76"/>
      <c r="C1823" s="76"/>
      <c r="D1823" s="76"/>
      <c r="E1823" s="76"/>
      <c r="F1823" s="76"/>
      <c r="G1823" s="76"/>
      <c r="H1823" s="76"/>
      <c r="I1823" s="76"/>
      <c r="J1823" s="76"/>
      <c r="K1823" s="76"/>
      <c r="L1823" s="76"/>
      <c r="M1823" s="76"/>
      <c r="N1823" s="76"/>
      <c r="O1823" s="76"/>
      <c r="P1823" s="76"/>
      <c r="Q1823" s="76"/>
      <c r="R1823" s="76"/>
      <c r="S1823" s="76"/>
      <c r="T1823" s="76"/>
      <c r="U1823" s="76" t="s">
        <v>5509</v>
      </c>
      <c r="V1823" s="76"/>
      <c r="W1823" s="76"/>
      <c r="X1823" s="76"/>
    </row>
    <row r="1824" ht="18.0" customHeight="1">
      <c r="A1824" s="76"/>
      <c r="B1824" s="76"/>
      <c r="C1824" s="76"/>
      <c r="D1824" s="76"/>
      <c r="E1824" s="76"/>
      <c r="F1824" s="76"/>
      <c r="G1824" s="76"/>
      <c r="H1824" s="76"/>
      <c r="I1824" s="76"/>
      <c r="J1824" s="76"/>
      <c r="K1824" s="76"/>
      <c r="L1824" s="76"/>
      <c r="M1824" s="76"/>
      <c r="N1824" s="76"/>
      <c r="O1824" s="76"/>
      <c r="P1824" s="76"/>
      <c r="Q1824" s="76"/>
      <c r="R1824" s="76"/>
      <c r="S1824" s="76"/>
      <c r="T1824" s="76"/>
      <c r="U1824" s="76" t="s">
        <v>5510</v>
      </c>
      <c r="V1824" s="76"/>
      <c r="W1824" s="76"/>
      <c r="X1824" s="76"/>
    </row>
    <row r="1825" ht="18.0" customHeight="1">
      <c r="A1825" s="76"/>
      <c r="B1825" s="76"/>
      <c r="C1825" s="76"/>
      <c r="D1825" s="76"/>
      <c r="E1825" s="76"/>
      <c r="F1825" s="76"/>
      <c r="G1825" s="76"/>
      <c r="H1825" s="76"/>
      <c r="I1825" s="76"/>
      <c r="J1825" s="76"/>
      <c r="K1825" s="76"/>
      <c r="L1825" s="76"/>
      <c r="M1825" s="76"/>
      <c r="N1825" s="76"/>
      <c r="O1825" s="76"/>
      <c r="P1825" s="76"/>
      <c r="Q1825" s="76"/>
      <c r="R1825" s="76"/>
      <c r="S1825" s="76"/>
      <c r="T1825" s="76"/>
      <c r="U1825" s="76" t="s">
        <v>5511</v>
      </c>
      <c r="V1825" s="76"/>
      <c r="W1825" s="76"/>
      <c r="X1825" s="76"/>
    </row>
    <row r="1826" ht="18.0" customHeight="1">
      <c r="A1826" s="76"/>
      <c r="B1826" s="76"/>
      <c r="C1826" s="76"/>
      <c r="D1826" s="76"/>
      <c r="E1826" s="76"/>
      <c r="F1826" s="76"/>
      <c r="G1826" s="76"/>
      <c r="H1826" s="76"/>
      <c r="I1826" s="76"/>
      <c r="J1826" s="76"/>
      <c r="K1826" s="76"/>
      <c r="L1826" s="76"/>
      <c r="M1826" s="76"/>
      <c r="N1826" s="76"/>
      <c r="O1826" s="76"/>
      <c r="P1826" s="76"/>
      <c r="Q1826" s="76"/>
      <c r="R1826" s="76"/>
      <c r="S1826" s="76"/>
      <c r="T1826" s="76"/>
      <c r="U1826" s="76" t="s">
        <v>5512</v>
      </c>
      <c r="V1826" s="76"/>
      <c r="W1826" s="76"/>
      <c r="X1826" s="76"/>
    </row>
    <row r="1827" ht="18.0" customHeight="1">
      <c r="A1827" s="76"/>
      <c r="B1827" s="76"/>
      <c r="C1827" s="76"/>
      <c r="D1827" s="76"/>
      <c r="E1827" s="76"/>
      <c r="F1827" s="76"/>
      <c r="G1827" s="76"/>
      <c r="H1827" s="76"/>
      <c r="I1827" s="76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 t="s">
        <v>5513</v>
      </c>
      <c r="V1827" s="76"/>
      <c r="W1827" s="76"/>
      <c r="X1827" s="76"/>
    </row>
    <row r="1828" ht="18.0" customHeight="1">
      <c r="A1828" s="76"/>
      <c r="B1828" s="76"/>
      <c r="C1828" s="76"/>
      <c r="D1828" s="76"/>
      <c r="E1828" s="76"/>
      <c r="F1828" s="76"/>
      <c r="G1828" s="76"/>
      <c r="H1828" s="76"/>
      <c r="I1828" s="76"/>
      <c r="J1828" s="76"/>
      <c r="K1828" s="76"/>
      <c r="L1828" s="76"/>
      <c r="M1828" s="76"/>
      <c r="N1828" s="76"/>
      <c r="O1828" s="76"/>
      <c r="P1828" s="76"/>
      <c r="Q1828" s="76"/>
      <c r="R1828" s="76"/>
      <c r="S1828" s="76"/>
      <c r="T1828" s="76"/>
      <c r="U1828" s="76" t="s">
        <v>5514</v>
      </c>
      <c r="V1828" s="76"/>
      <c r="W1828" s="76"/>
      <c r="X1828" s="76"/>
    </row>
    <row r="1829" ht="18.0" customHeight="1">
      <c r="A1829" s="76"/>
      <c r="B1829" s="76"/>
      <c r="C1829" s="76"/>
      <c r="D1829" s="76"/>
      <c r="E1829" s="76"/>
      <c r="F1829" s="76"/>
      <c r="G1829" s="76"/>
      <c r="H1829" s="76"/>
      <c r="I1829" s="76"/>
      <c r="J1829" s="76"/>
      <c r="K1829" s="76"/>
      <c r="L1829" s="76"/>
      <c r="M1829" s="76"/>
      <c r="N1829" s="76"/>
      <c r="O1829" s="76"/>
      <c r="P1829" s="76"/>
      <c r="Q1829" s="76"/>
      <c r="R1829" s="76"/>
      <c r="S1829" s="76"/>
      <c r="T1829" s="76"/>
      <c r="U1829" s="76" t="s">
        <v>5515</v>
      </c>
      <c r="V1829" s="76"/>
      <c r="W1829" s="76"/>
      <c r="X1829" s="76"/>
    </row>
    <row r="1830" ht="18.0" customHeight="1">
      <c r="A1830" s="76"/>
      <c r="B1830" s="76"/>
      <c r="C1830" s="76"/>
      <c r="D1830" s="76"/>
      <c r="E1830" s="76"/>
      <c r="F1830" s="76"/>
      <c r="G1830" s="76"/>
      <c r="H1830" s="76"/>
      <c r="I1830" s="76"/>
      <c r="J1830" s="76"/>
      <c r="K1830" s="76"/>
      <c r="L1830" s="76"/>
      <c r="M1830" s="76"/>
      <c r="N1830" s="76"/>
      <c r="O1830" s="76"/>
      <c r="P1830" s="76"/>
      <c r="Q1830" s="76"/>
      <c r="R1830" s="76"/>
      <c r="S1830" s="76"/>
      <c r="T1830" s="76"/>
      <c r="U1830" s="76" t="s">
        <v>5516</v>
      </c>
      <c r="V1830" s="76"/>
      <c r="W1830" s="76"/>
      <c r="X1830" s="76"/>
    </row>
    <row r="1831" ht="18.0" customHeight="1">
      <c r="A1831" s="76"/>
      <c r="B1831" s="76"/>
      <c r="C1831" s="76"/>
      <c r="D1831" s="76"/>
      <c r="E1831" s="76"/>
      <c r="F1831" s="76"/>
      <c r="G1831" s="76"/>
      <c r="H1831" s="76"/>
      <c r="I1831" s="76"/>
      <c r="J1831" s="76"/>
      <c r="K1831" s="76"/>
      <c r="L1831" s="76"/>
      <c r="M1831" s="76"/>
      <c r="N1831" s="76"/>
      <c r="O1831" s="76"/>
      <c r="P1831" s="76"/>
      <c r="Q1831" s="76"/>
      <c r="R1831" s="76"/>
      <c r="S1831" s="76"/>
      <c r="T1831" s="76"/>
      <c r="U1831" s="76" t="s">
        <v>5517</v>
      </c>
      <c r="V1831" s="76"/>
      <c r="W1831" s="76"/>
      <c r="X1831" s="76"/>
    </row>
    <row r="1832" ht="18.0" customHeight="1">
      <c r="A1832" s="76"/>
      <c r="B1832" s="76"/>
      <c r="C1832" s="76"/>
      <c r="D1832" s="76"/>
      <c r="E1832" s="76"/>
      <c r="F1832" s="76"/>
      <c r="G1832" s="76"/>
      <c r="H1832" s="76"/>
      <c r="I1832" s="76"/>
      <c r="J1832" s="76"/>
      <c r="K1832" s="76"/>
      <c r="L1832" s="76"/>
      <c r="M1832" s="76"/>
      <c r="N1832" s="76"/>
      <c r="O1832" s="76"/>
      <c r="P1832" s="76"/>
      <c r="Q1832" s="76"/>
      <c r="R1832" s="76"/>
      <c r="S1832" s="76"/>
      <c r="T1832" s="76"/>
      <c r="U1832" s="76" t="s">
        <v>5518</v>
      </c>
      <c r="V1832" s="76"/>
      <c r="W1832" s="76"/>
      <c r="X1832" s="76"/>
    </row>
    <row r="1833" ht="18.0" customHeight="1">
      <c r="A1833" s="76"/>
      <c r="B1833" s="76"/>
      <c r="C1833" s="76"/>
      <c r="D1833" s="76"/>
      <c r="E1833" s="76"/>
      <c r="F1833" s="76"/>
      <c r="G1833" s="76"/>
      <c r="H1833" s="76"/>
      <c r="I1833" s="76"/>
      <c r="J1833" s="76"/>
      <c r="K1833" s="76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 t="s">
        <v>5519</v>
      </c>
      <c r="V1833" s="76"/>
      <c r="W1833" s="76"/>
      <c r="X1833" s="76"/>
    </row>
    <row r="1834" ht="18.0" customHeight="1">
      <c r="A1834" s="76"/>
      <c r="B1834" s="76"/>
      <c r="C1834" s="76"/>
      <c r="D1834" s="76"/>
      <c r="E1834" s="76"/>
      <c r="F1834" s="76"/>
      <c r="G1834" s="76"/>
      <c r="H1834" s="76"/>
      <c r="I1834" s="76"/>
      <c r="J1834" s="76"/>
      <c r="K1834" s="76"/>
      <c r="L1834" s="76"/>
      <c r="M1834" s="76"/>
      <c r="N1834" s="76"/>
      <c r="O1834" s="76"/>
      <c r="P1834" s="76"/>
      <c r="Q1834" s="76"/>
      <c r="R1834" s="76"/>
      <c r="S1834" s="76"/>
      <c r="T1834" s="76"/>
      <c r="U1834" s="76" t="s">
        <v>5520</v>
      </c>
      <c r="V1834" s="76"/>
      <c r="W1834" s="76"/>
      <c r="X1834" s="76"/>
    </row>
    <row r="1835" ht="18.0" customHeight="1">
      <c r="A1835" s="76"/>
      <c r="B1835" s="76"/>
      <c r="C1835" s="76"/>
      <c r="D1835" s="76"/>
      <c r="E1835" s="76"/>
      <c r="F1835" s="76"/>
      <c r="G1835" s="76"/>
      <c r="H1835" s="76"/>
      <c r="I1835" s="76"/>
      <c r="J1835" s="76"/>
      <c r="K1835" s="76"/>
      <c r="L1835" s="76"/>
      <c r="M1835" s="76"/>
      <c r="N1835" s="76"/>
      <c r="O1835" s="76"/>
      <c r="P1835" s="76"/>
      <c r="Q1835" s="76"/>
      <c r="R1835" s="76"/>
      <c r="S1835" s="76"/>
      <c r="T1835" s="76"/>
      <c r="U1835" s="76" t="s">
        <v>5521</v>
      </c>
      <c r="V1835" s="76"/>
      <c r="W1835" s="76"/>
      <c r="X1835" s="76"/>
    </row>
    <row r="1836" ht="18.0" customHeight="1">
      <c r="A1836" s="76"/>
      <c r="B1836" s="76"/>
      <c r="C1836" s="76"/>
      <c r="D1836" s="76"/>
      <c r="E1836" s="76"/>
      <c r="F1836" s="76"/>
      <c r="G1836" s="76"/>
      <c r="H1836" s="76"/>
      <c r="I1836" s="76"/>
      <c r="J1836" s="76"/>
      <c r="K1836" s="76"/>
      <c r="L1836" s="76"/>
      <c r="M1836" s="76"/>
      <c r="N1836" s="76"/>
      <c r="O1836" s="76"/>
      <c r="P1836" s="76"/>
      <c r="Q1836" s="76"/>
      <c r="R1836" s="76"/>
      <c r="S1836" s="76"/>
      <c r="T1836" s="76"/>
      <c r="U1836" s="76" t="s">
        <v>5522</v>
      </c>
      <c r="V1836" s="76"/>
      <c r="W1836" s="76"/>
      <c r="X1836" s="76"/>
    </row>
    <row r="1837" ht="18.0" customHeight="1">
      <c r="A1837" s="76"/>
      <c r="B1837" s="76"/>
      <c r="C1837" s="76"/>
      <c r="D1837" s="76"/>
      <c r="E1837" s="76"/>
      <c r="F1837" s="76"/>
      <c r="G1837" s="76"/>
      <c r="H1837" s="76"/>
      <c r="I1837" s="76"/>
      <c r="J1837" s="76"/>
      <c r="K1837" s="76"/>
      <c r="L1837" s="76"/>
      <c r="M1837" s="76"/>
      <c r="N1837" s="76"/>
      <c r="O1837" s="76"/>
      <c r="P1837" s="76"/>
      <c r="Q1837" s="76"/>
      <c r="R1837" s="76"/>
      <c r="S1837" s="76"/>
      <c r="T1837" s="76"/>
      <c r="U1837" s="76" t="s">
        <v>5523</v>
      </c>
      <c r="V1837" s="76"/>
      <c r="W1837" s="76"/>
      <c r="X1837" s="76"/>
    </row>
    <row r="1838" ht="18.0" customHeight="1">
      <c r="A1838" s="76"/>
      <c r="B1838" s="76"/>
      <c r="C1838" s="76"/>
      <c r="D1838" s="76"/>
      <c r="E1838" s="76"/>
      <c r="F1838" s="76"/>
      <c r="G1838" s="76"/>
      <c r="H1838" s="76"/>
      <c r="I1838" s="76"/>
      <c r="J1838" s="76"/>
      <c r="K1838" s="76"/>
      <c r="L1838" s="76"/>
      <c r="M1838" s="76"/>
      <c r="N1838" s="76"/>
      <c r="O1838" s="76"/>
      <c r="P1838" s="76"/>
      <c r="Q1838" s="76"/>
      <c r="R1838" s="76"/>
      <c r="S1838" s="76"/>
      <c r="T1838" s="76"/>
      <c r="U1838" s="76" t="s">
        <v>5524</v>
      </c>
      <c r="V1838" s="76"/>
      <c r="W1838" s="76"/>
      <c r="X1838" s="76"/>
    </row>
    <row r="1839" ht="18.0" customHeight="1">
      <c r="A1839" s="76"/>
      <c r="B1839" s="76"/>
      <c r="C1839" s="76"/>
      <c r="D1839" s="76"/>
      <c r="E1839" s="76"/>
      <c r="F1839" s="76"/>
      <c r="G1839" s="76"/>
      <c r="H1839" s="76"/>
      <c r="I1839" s="76"/>
      <c r="J1839" s="76"/>
      <c r="K1839" s="76"/>
      <c r="L1839" s="76"/>
      <c r="M1839" s="76"/>
      <c r="N1839" s="76"/>
      <c r="O1839" s="76"/>
      <c r="P1839" s="76"/>
      <c r="Q1839" s="76"/>
      <c r="R1839" s="76"/>
      <c r="S1839" s="76"/>
      <c r="T1839" s="76"/>
      <c r="U1839" s="76" t="s">
        <v>5525</v>
      </c>
      <c r="V1839" s="76"/>
      <c r="W1839" s="76"/>
      <c r="X1839" s="76"/>
    </row>
    <row r="1840" ht="18.0" customHeight="1">
      <c r="A1840" s="76"/>
      <c r="B1840" s="76"/>
      <c r="C1840" s="76"/>
      <c r="D1840" s="76"/>
      <c r="E1840" s="76"/>
      <c r="F1840" s="76"/>
      <c r="G1840" s="76"/>
      <c r="H1840" s="76"/>
      <c r="I1840" s="76"/>
      <c r="J1840" s="76"/>
      <c r="K1840" s="76"/>
      <c r="L1840" s="76"/>
      <c r="M1840" s="76"/>
      <c r="N1840" s="76"/>
      <c r="O1840" s="76"/>
      <c r="P1840" s="76"/>
      <c r="Q1840" s="76"/>
      <c r="R1840" s="76"/>
      <c r="S1840" s="76"/>
      <c r="T1840" s="76"/>
      <c r="U1840" s="76" t="s">
        <v>5526</v>
      </c>
      <c r="V1840" s="76"/>
      <c r="W1840" s="76"/>
      <c r="X1840" s="76"/>
    </row>
    <row r="1841" ht="18.0" customHeight="1">
      <c r="A1841" s="76"/>
      <c r="B1841" s="76"/>
      <c r="C1841" s="76"/>
      <c r="D1841" s="76"/>
      <c r="E1841" s="76"/>
      <c r="F1841" s="76"/>
      <c r="G1841" s="76"/>
      <c r="H1841" s="76"/>
      <c r="I1841" s="76"/>
      <c r="J1841" s="76"/>
      <c r="K1841" s="76"/>
      <c r="L1841" s="76"/>
      <c r="M1841" s="76"/>
      <c r="N1841" s="76"/>
      <c r="O1841" s="76"/>
      <c r="P1841" s="76"/>
      <c r="Q1841" s="76"/>
      <c r="R1841" s="76"/>
      <c r="S1841" s="76"/>
      <c r="T1841" s="76"/>
      <c r="U1841" s="76" t="s">
        <v>5527</v>
      </c>
      <c r="V1841" s="76"/>
      <c r="W1841" s="76"/>
      <c r="X1841" s="76"/>
    </row>
    <row r="1842" ht="18.0" customHeight="1">
      <c r="A1842" s="76"/>
      <c r="B1842" s="76"/>
      <c r="C1842" s="76"/>
      <c r="D1842" s="76"/>
      <c r="E1842" s="76"/>
      <c r="F1842" s="76"/>
      <c r="G1842" s="76"/>
      <c r="H1842" s="76"/>
      <c r="I1842" s="76"/>
      <c r="J1842" s="76"/>
      <c r="K1842" s="76"/>
      <c r="L1842" s="76"/>
      <c r="M1842" s="76"/>
      <c r="N1842" s="76"/>
      <c r="O1842" s="76"/>
      <c r="P1842" s="76"/>
      <c r="Q1842" s="76"/>
      <c r="R1842" s="76"/>
      <c r="S1842" s="76"/>
      <c r="T1842" s="76"/>
      <c r="U1842" s="76" t="s">
        <v>5528</v>
      </c>
      <c r="V1842" s="76"/>
      <c r="W1842" s="76"/>
      <c r="X1842" s="76"/>
    </row>
    <row r="1843" ht="18.0" customHeight="1">
      <c r="A1843" s="76"/>
      <c r="B1843" s="76"/>
      <c r="C1843" s="76"/>
      <c r="D1843" s="76"/>
      <c r="E1843" s="76"/>
      <c r="F1843" s="76"/>
      <c r="G1843" s="76"/>
      <c r="H1843" s="76"/>
      <c r="I1843" s="76"/>
      <c r="J1843" s="76"/>
      <c r="K1843" s="76"/>
      <c r="L1843" s="76"/>
      <c r="M1843" s="76"/>
      <c r="N1843" s="76"/>
      <c r="O1843" s="76"/>
      <c r="P1843" s="76"/>
      <c r="Q1843" s="76"/>
      <c r="R1843" s="76"/>
      <c r="S1843" s="76"/>
      <c r="T1843" s="76"/>
      <c r="U1843" s="76" t="s">
        <v>5529</v>
      </c>
      <c r="V1843" s="76"/>
      <c r="W1843" s="76"/>
      <c r="X1843" s="76"/>
    </row>
    <row r="1844" ht="18.0" customHeight="1">
      <c r="A1844" s="76"/>
      <c r="B1844" s="76"/>
      <c r="C1844" s="76"/>
      <c r="D1844" s="76"/>
      <c r="E1844" s="76"/>
      <c r="F1844" s="76"/>
      <c r="G1844" s="76"/>
      <c r="H1844" s="76"/>
      <c r="I1844" s="76"/>
      <c r="J1844" s="76"/>
      <c r="K1844" s="76"/>
      <c r="L1844" s="76"/>
      <c r="M1844" s="76"/>
      <c r="N1844" s="76"/>
      <c r="O1844" s="76"/>
      <c r="P1844" s="76"/>
      <c r="Q1844" s="76"/>
      <c r="R1844" s="76"/>
      <c r="S1844" s="76"/>
      <c r="T1844" s="76"/>
      <c r="U1844" s="76" t="s">
        <v>5530</v>
      </c>
      <c r="V1844" s="76"/>
      <c r="W1844" s="76"/>
      <c r="X1844" s="76"/>
    </row>
    <row r="1845" ht="18.0" customHeight="1">
      <c r="A1845" s="76"/>
      <c r="B1845" s="76"/>
      <c r="C1845" s="76"/>
      <c r="D1845" s="76"/>
      <c r="E1845" s="76"/>
      <c r="F1845" s="76"/>
      <c r="G1845" s="76"/>
      <c r="H1845" s="76"/>
      <c r="I1845" s="76"/>
      <c r="J1845" s="76"/>
      <c r="K1845" s="76"/>
      <c r="L1845" s="76"/>
      <c r="M1845" s="76"/>
      <c r="N1845" s="76"/>
      <c r="O1845" s="76"/>
      <c r="P1845" s="76"/>
      <c r="Q1845" s="76"/>
      <c r="R1845" s="76"/>
      <c r="S1845" s="76"/>
      <c r="T1845" s="76"/>
      <c r="U1845" s="76" t="s">
        <v>5531</v>
      </c>
      <c r="V1845" s="76"/>
      <c r="W1845" s="76"/>
      <c r="X1845" s="76"/>
    </row>
    <row r="1846" ht="18.0" customHeight="1">
      <c r="A1846" s="76"/>
      <c r="B1846" s="76"/>
      <c r="C1846" s="76"/>
      <c r="D1846" s="76"/>
      <c r="E1846" s="76"/>
      <c r="F1846" s="76"/>
      <c r="G1846" s="76"/>
      <c r="H1846" s="76"/>
      <c r="I1846" s="76"/>
      <c r="J1846" s="76"/>
      <c r="K1846" s="76"/>
      <c r="L1846" s="76"/>
      <c r="M1846" s="76"/>
      <c r="N1846" s="76"/>
      <c r="O1846" s="76"/>
      <c r="P1846" s="76"/>
      <c r="Q1846" s="76"/>
      <c r="R1846" s="76"/>
      <c r="S1846" s="76"/>
      <c r="T1846" s="76"/>
      <c r="U1846" s="76" t="s">
        <v>5532</v>
      </c>
      <c r="V1846" s="76"/>
      <c r="W1846" s="76"/>
      <c r="X1846" s="76"/>
    </row>
    <row r="1847" ht="18.0" customHeight="1">
      <c r="A1847" s="76"/>
      <c r="B1847" s="76"/>
      <c r="C1847" s="76"/>
      <c r="D1847" s="76"/>
      <c r="E1847" s="76"/>
      <c r="F1847" s="76"/>
      <c r="G1847" s="76"/>
      <c r="H1847" s="76"/>
      <c r="I1847" s="76"/>
      <c r="J1847" s="76"/>
      <c r="K1847" s="76"/>
      <c r="L1847" s="76"/>
      <c r="M1847" s="76"/>
      <c r="N1847" s="76"/>
      <c r="O1847" s="76"/>
      <c r="P1847" s="76"/>
      <c r="Q1847" s="76"/>
      <c r="R1847" s="76"/>
      <c r="S1847" s="76"/>
      <c r="T1847" s="76"/>
      <c r="U1847" s="76" t="s">
        <v>5533</v>
      </c>
      <c r="V1847" s="76"/>
      <c r="W1847" s="76"/>
      <c r="X1847" s="76"/>
    </row>
    <row r="1848" ht="18.0" customHeight="1">
      <c r="A1848" s="76"/>
      <c r="B1848" s="76"/>
      <c r="C1848" s="76"/>
      <c r="D1848" s="76"/>
      <c r="E1848" s="76"/>
      <c r="F1848" s="76"/>
      <c r="G1848" s="76"/>
      <c r="H1848" s="76"/>
      <c r="I1848" s="76"/>
      <c r="J1848" s="76"/>
      <c r="K1848" s="76"/>
      <c r="L1848" s="76"/>
      <c r="M1848" s="76"/>
      <c r="N1848" s="76"/>
      <c r="O1848" s="76"/>
      <c r="P1848" s="76"/>
      <c r="Q1848" s="76"/>
      <c r="R1848" s="76"/>
      <c r="S1848" s="76"/>
      <c r="T1848" s="76"/>
      <c r="U1848" s="76" t="s">
        <v>5534</v>
      </c>
      <c r="V1848" s="76"/>
      <c r="W1848" s="76"/>
      <c r="X1848" s="76"/>
    </row>
    <row r="1849" ht="18.0" customHeight="1">
      <c r="A1849" s="76"/>
      <c r="B1849" s="76"/>
      <c r="C1849" s="76"/>
      <c r="D1849" s="76"/>
      <c r="E1849" s="76"/>
      <c r="F1849" s="76"/>
      <c r="G1849" s="76"/>
      <c r="H1849" s="76"/>
      <c r="I1849" s="76"/>
      <c r="J1849" s="76"/>
      <c r="K1849" s="76"/>
      <c r="L1849" s="76"/>
      <c r="M1849" s="76"/>
      <c r="N1849" s="76"/>
      <c r="O1849" s="76"/>
      <c r="P1849" s="76"/>
      <c r="Q1849" s="76"/>
      <c r="R1849" s="76"/>
      <c r="S1849" s="76"/>
      <c r="T1849" s="76"/>
      <c r="U1849" s="76" t="s">
        <v>5535</v>
      </c>
      <c r="V1849" s="76"/>
      <c r="W1849" s="76"/>
      <c r="X1849" s="76"/>
    </row>
    <row r="1850" ht="18.0" customHeight="1">
      <c r="A1850" s="76"/>
      <c r="B1850" s="76"/>
      <c r="C1850" s="76"/>
      <c r="D1850" s="76"/>
      <c r="E1850" s="76"/>
      <c r="F1850" s="76"/>
      <c r="G1850" s="76"/>
      <c r="H1850" s="76"/>
      <c r="I1850" s="76"/>
      <c r="J1850" s="76"/>
      <c r="K1850" s="76"/>
      <c r="L1850" s="76"/>
      <c r="M1850" s="76"/>
      <c r="N1850" s="76"/>
      <c r="O1850" s="76"/>
      <c r="P1850" s="76"/>
      <c r="Q1850" s="76"/>
      <c r="R1850" s="76"/>
      <c r="S1850" s="76"/>
      <c r="T1850" s="76"/>
      <c r="U1850" s="76" t="s">
        <v>5536</v>
      </c>
      <c r="V1850" s="76"/>
      <c r="W1850" s="76"/>
      <c r="X1850" s="76"/>
    </row>
    <row r="1851" ht="18.0" customHeight="1">
      <c r="A1851" s="76"/>
      <c r="B1851" s="76"/>
      <c r="C1851" s="76"/>
      <c r="D1851" s="76"/>
      <c r="E1851" s="76"/>
      <c r="F1851" s="76"/>
      <c r="G1851" s="76"/>
      <c r="H1851" s="76"/>
      <c r="I1851" s="76"/>
      <c r="J1851" s="76"/>
      <c r="K1851" s="76"/>
      <c r="L1851" s="76"/>
      <c r="M1851" s="76"/>
      <c r="N1851" s="76"/>
      <c r="O1851" s="76"/>
      <c r="P1851" s="76"/>
      <c r="Q1851" s="76"/>
      <c r="R1851" s="76"/>
      <c r="S1851" s="76"/>
      <c r="T1851" s="76"/>
      <c r="U1851" s="76" t="s">
        <v>5537</v>
      </c>
      <c r="V1851" s="76"/>
      <c r="W1851" s="76"/>
      <c r="X1851" s="76"/>
    </row>
    <row r="1852" ht="18.0" customHeight="1">
      <c r="A1852" s="76"/>
      <c r="B1852" s="76"/>
      <c r="C1852" s="76"/>
      <c r="D1852" s="76"/>
      <c r="E1852" s="76"/>
      <c r="F1852" s="76"/>
      <c r="G1852" s="76"/>
      <c r="H1852" s="76"/>
      <c r="I1852" s="76"/>
      <c r="J1852" s="76"/>
      <c r="K1852" s="76"/>
      <c r="L1852" s="76"/>
      <c r="M1852" s="76"/>
      <c r="N1852" s="76"/>
      <c r="O1852" s="76"/>
      <c r="P1852" s="76"/>
      <c r="Q1852" s="76"/>
      <c r="R1852" s="76"/>
      <c r="S1852" s="76"/>
      <c r="T1852" s="76"/>
      <c r="U1852" s="76" t="s">
        <v>5538</v>
      </c>
      <c r="V1852" s="76"/>
      <c r="W1852" s="76"/>
      <c r="X1852" s="76"/>
    </row>
    <row r="1853" ht="18.0" customHeight="1">
      <c r="A1853" s="76"/>
      <c r="B1853" s="76"/>
      <c r="C1853" s="76"/>
      <c r="D1853" s="76"/>
      <c r="E1853" s="76"/>
      <c r="F1853" s="76"/>
      <c r="G1853" s="76"/>
      <c r="H1853" s="76"/>
      <c r="I1853" s="76"/>
      <c r="J1853" s="76"/>
      <c r="K1853" s="76"/>
      <c r="L1853" s="76"/>
      <c r="M1853" s="76"/>
      <c r="N1853" s="76"/>
      <c r="O1853" s="76"/>
      <c r="P1853" s="76"/>
      <c r="Q1853" s="76"/>
      <c r="R1853" s="76"/>
      <c r="S1853" s="76"/>
      <c r="T1853" s="76"/>
      <c r="U1853" s="76" t="s">
        <v>5539</v>
      </c>
      <c r="V1853" s="76"/>
      <c r="W1853" s="76"/>
      <c r="X1853" s="76"/>
    </row>
    <row r="1854" ht="18.0" customHeight="1">
      <c r="A1854" s="76"/>
      <c r="B1854" s="76"/>
      <c r="C1854" s="76"/>
      <c r="D1854" s="76"/>
      <c r="E1854" s="76"/>
      <c r="F1854" s="76"/>
      <c r="G1854" s="76"/>
      <c r="H1854" s="76"/>
      <c r="I1854" s="76"/>
      <c r="J1854" s="76"/>
      <c r="K1854" s="76"/>
      <c r="L1854" s="76"/>
      <c r="M1854" s="76"/>
      <c r="N1854" s="76"/>
      <c r="O1854" s="76"/>
      <c r="P1854" s="76"/>
      <c r="Q1854" s="76"/>
      <c r="R1854" s="76"/>
      <c r="S1854" s="76"/>
      <c r="T1854" s="76"/>
      <c r="U1854" s="76" t="s">
        <v>5540</v>
      </c>
      <c r="V1854" s="76"/>
      <c r="W1854" s="76"/>
      <c r="X1854" s="76"/>
    </row>
    <row r="1855" ht="18.0" customHeight="1">
      <c r="A1855" s="76"/>
      <c r="B1855" s="76"/>
      <c r="C1855" s="76"/>
      <c r="D1855" s="76"/>
      <c r="E1855" s="76"/>
      <c r="F1855" s="76"/>
      <c r="G1855" s="76"/>
      <c r="H1855" s="76"/>
      <c r="I1855" s="76"/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 t="s">
        <v>5541</v>
      </c>
      <c r="V1855" s="76"/>
      <c r="W1855" s="76"/>
      <c r="X1855" s="76"/>
    </row>
    <row r="1856" ht="18.0" customHeight="1">
      <c r="A1856" s="76"/>
      <c r="B1856" s="76"/>
      <c r="C1856" s="76"/>
      <c r="D1856" s="76"/>
      <c r="E1856" s="76"/>
      <c r="F1856" s="76"/>
      <c r="G1856" s="76"/>
      <c r="H1856" s="76"/>
      <c r="I1856" s="76"/>
      <c r="J1856" s="76"/>
      <c r="K1856" s="76"/>
      <c r="L1856" s="76"/>
      <c r="M1856" s="76"/>
      <c r="N1856" s="76"/>
      <c r="O1856" s="76"/>
      <c r="P1856" s="76"/>
      <c r="Q1856" s="76"/>
      <c r="R1856" s="76"/>
      <c r="S1856" s="76"/>
      <c r="T1856" s="76"/>
      <c r="U1856" s="76" t="s">
        <v>5542</v>
      </c>
      <c r="V1856" s="76"/>
      <c r="W1856" s="76"/>
      <c r="X1856" s="76"/>
    </row>
    <row r="1857" ht="18.0" customHeight="1">
      <c r="A1857" s="76"/>
      <c r="B1857" s="76"/>
      <c r="C1857" s="76"/>
      <c r="D1857" s="76"/>
      <c r="E1857" s="76"/>
      <c r="F1857" s="76"/>
      <c r="G1857" s="76"/>
      <c r="H1857" s="76"/>
      <c r="I1857" s="76"/>
      <c r="J1857" s="76"/>
      <c r="K1857" s="76"/>
      <c r="L1857" s="76"/>
      <c r="M1857" s="76"/>
      <c r="N1857" s="76"/>
      <c r="O1857" s="76"/>
      <c r="P1857" s="76"/>
      <c r="Q1857" s="76"/>
      <c r="R1857" s="76"/>
      <c r="S1857" s="76"/>
      <c r="T1857" s="76"/>
      <c r="U1857" s="76" t="s">
        <v>5543</v>
      </c>
      <c r="V1857" s="76"/>
      <c r="W1857" s="76"/>
      <c r="X1857" s="76"/>
    </row>
    <row r="1858" ht="18.0" customHeight="1">
      <c r="A1858" s="76"/>
      <c r="B1858" s="76"/>
      <c r="C1858" s="76"/>
      <c r="D1858" s="76"/>
      <c r="E1858" s="76"/>
      <c r="F1858" s="76"/>
      <c r="G1858" s="76"/>
      <c r="H1858" s="76"/>
      <c r="I1858" s="76"/>
      <c r="J1858" s="76"/>
      <c r="K1858" s="76"/>
      <c r="L1858" s="76"/>
      <c r="M1858" s="76"/>
      <c r="N1858" s="76"/>
      <c r="O1858" s="76"/>
      <c r="P1858" s="76"/>
      <c r="Q1858" s="76"/>
      <c r="R1858" s="76"/>
      <c r="S1858" s="76"/>
      <c r="T1858" s="76"/>
      <c r="U1858" s="76" t="s">
        <v>5544</v>
      </c>
      <c r="V1858" s="76"/>
      <c r="W1858" s="76"/>
      <c r="X1858" s="76"/>
    </row>
    <row r="1859" ht="18.0" customHeight="1">
      <c r="A1859" s="76"/>
      <c r="B1859" s="76"/>
      <c r="C1859" s="76"/>
      <c r="D1859" s="76"/>
      <c r="E1859" s="76"/>
      <c r="F1859" s="76"/>
      <c r="G1859" s="76"/>
      <c r="H1859" s="76"/>
      <c r="I1859" s="76"/>
      <c r="J1859" s="76"/>
      <c r="K1859" s="76"/>
      <c r="L1859" s="76"/>
      <c r="M1859" s="76"/>
      <c r="N1859" s="76"/>
      <c r="O1859" s="76"/>
      <c r="P1859" s="76"/>
      <c r="Q1859" s="76"/>
      <c r="R1859" s="76"/>
      <c r="S1859" s="76"/>
      <c r="T1859" s="76"/>
      <c r="U1859" s="76" t="s">
        <v>5545</v>
      </c>
      <c r="V1859" s="76"/>
      <c r="W1859" s="76"/>
      <c r="X1859" s="76"/>
    </row>
    <row r="1860" ht="18.0" customHeight="1">
      <c r="A1860" s="76"/>
      <c r="B1860" s="76"/>
      <c r="C1860" s="76"/>
      <c r="D1860" s="76"/>
      <c r="E1860" s="76"/>
      <c r="F1860" s="76"/>
      <c r="G1860" s="76"/>
      <c r="H1860" s="76"/>
      <c r="I1860" s="76"/>
      <c r="J1860" s="76"/>
      <c r="K1860" s="76"/>
      <c r="L1860" s="76"/>
      <c r="M1860" s="76"/>
      <c r="N1860" s="76"/>
      <c r="O1860" s="76"/>
      <c r="P1860" s="76"/>
      <c r="Q1860" s="76"/>
      <c r="R1860" s="76"/>
      <c r="S1860" s="76"/>
      <c r="T1860" s="76"/>
      <c r="U1860" s="76" t="s">
        <v>5546</v>
      </c>
      <c r="V1860" s="76"/>
      <c r="W1860" s="76"/>
      <c r="X1860" s="76"/>
    </row>
    <row r="1861" ht="18.0" customHeight="1">
      <c r="A1861" s="76"/>
      <c r="B1861" s="76"/>
      <c r="C1861" s="76"/>
      <c r="D1861" s="76"/>
      <c r="E1861" s="76"/>
      <c r="F1861" s="76"/>
      <c r="G1861" s="76"/>
      <c r="H1861" s="76"/>
      <c r="I1861" s="76"/>
      <c r="J1861" s="76"/>
      <c r="K1861" s="76"/>
      <c r="L1861" s="76"/>
      <c r="M1861" s="76"/>
      <c r="N1861" s="76"/>
      <c r="O1861" s="76"/>
      <c r="P1861" s="76"/>
      <c r="Q1861" s="76"/>
      <c r="R1861" s="76"/>
      <c r="S1861" s="76"/>
      <c r="T1861" s="76"/>
      <c r="U1861" s="76" t="s">
        <v>5547</v>
      </c>
      <c r="V1861" s="76"/>
      <c r="W1861" s="76"/>
      <c r="X1861" s="76"/>
    </row>
    <row r="1862" ht="18.0" customHeight="1">
      <c r="A1862" s="76"/>
      <c r="B1862" s="76"/>
      <c r="C1862" s="76"/>
      <c r="D1862" s="76"/>
      <c r="E1862" s="76"/>
      <c r="F1862" s="76"/>
      <c r="G1862" s="76"/>
      <c r="H1862" s="76"/>
      <c r="I1862" s="76"/>
      <c r="J1862" s="76"/>
      <c r="K1862" s="76"/>
      <c r="L1862" s="76"/>
      <c r="M1862" s="76"/>
      <c r="N1862" s="76"/>
      <c r="O1862" s="76"/>
      <c r="P1862" s="76"/>
      <c r="Q1862" s="76"/>
      <c r="R1862" s="76"/>
      <c r="S1862" s="76"/>
      <c r="T1862" s="76"/>
      <c r="U1862" s="76" t="s">
        <v>5548</v>
      </c>
      <c r="V1862" s="76"/>
      <c r="W1862" s="76"/>
      <c r="X1862" s="76"/>
    </row>
    <row r="1863" ht="18.0" customHeight="1">
      <c r="A1863" s="76"/>
      <c r="B1863" s="76"/>
      <c r="C1863" s="76"/>
      <c r="D1863" s="76"/>
      <c r="E1863" s="76"/>
      <c r="F1863" s="76"/>
      <c r="G1863" s="76"/>
      <c r="H1863" s="76"/>
      <c r="I1863" s="76"/>
      <c r="J1863" s="76"/>
      <c r="K1863" s="76"/>
      <c r="L1863" s="76"/>
      <c r="M1863" s="76"/>
      <c r="N1863" s="76"/>
      <c r="O1863" s="76"/>
      <c r="P1863" s="76"/>
      <c r="Q1863" s="76"/>
      <c r="R1863" s="76"/>
      <c r="S1863" s="76"/>
      <c r="T1863" s="76"/>
      <c r="U1863" s="76" t="s">
        <v>5549</v>
      </c>
      <c r="V1863" s="76"/>
      <c r="W1863" s="76"/>
      <c r="X1863" s="76"/>
    </row>
    <row r="1864" ht="18.0" customHeight="1">
      <c r="A1864" s="76"/>
      <c r="B1864" s="76"/>
      <c r="C1864" s="76"/>
      <c r="D1864" s="76"/>
      <c r="E1864" s="76"/>
      <c r="F1864" s="76"/>
      <c r="G1864" s="76"/>
      <c r="H1864" s="76"/>
      <c r="I1864" s="76"/>
      <c r="J1864" s="76"/>
      <c r="K1864" s="76"/>
      <c r="L1864" s="76"/>
      <c r="M1864" s="76"/>
      <c r="N1864" s="76"/>
      <c r="O1864" s="76"/>
      <c r="P1864" s="76"/>
      <c r="Q1864" s="76"/>
      <c r="R1864" s="76"/>
      <c r="S1864" s="76"/>
      <c r="T1864" s="76"/>
      <c r="U1864" s="76" t="s">
        <v>5550</v>
      </c>
      <c r="V1864" s="76"/>
      <c r="W1864" s="76"/>
      <c r="X1864" s="76"/>
    </row>
    <row r="1865" ht="18.0" customHeight="1">
      <c r="A1865" s="76"/>
      <c r="B1865" s="76"/>
      <c r="C1865" s="76"/>
      <c r="D1865" s="76"/>
      <c r="E1865" s="76"/>
      <c r="F1865" s="76"/>
      <c r="G1865" s="76"/>
      <c r="H1865" s="76"/>
      <c r="I1865" s="76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 t="s">
        <v>5551</v>
      </c>
      <c r="V1865" s="76"/>
      <c r="W1865" s="76"/>
      <c r="X1865" s="76"/>
    </row>
    <row r="1866" ht="18.0" customHeight="1">
      <c r="A1866" s="76"/>
      <c r="B1866" s="76"/>
      <c r="C1866" s="76"/>
      <c r="D1866" s="76"/>
      <c r="E1866" s="76"/>
      <c r="F1866" s="76"/>
      <c r="G1866" s="76"/>
      <c r="H1866" s="76"/>
      <c r="I1866" s="76"/>
      <c r="J1866" s="76"/>
      <c r="K1866" s="76"/>
      <c r="L1866" s="76"/>
      <c r="M1866" s="76"/>
      <c r="N1866" s="76"/>
      <c r="O1866" s="76"/>
      <c r="P1866" s="76"/>
      <c r="Q1866" s="76"/>
      <c r="R1866" s="76"/>
      <c r="S1866" s="76"/>
      <c r="T1866" s="76"/>
      <c r="U1866" s="76" t="s">
        <v>5552</v>
      </c>
      <c r="V1866" s="76"/>
      <c r="W1866" s="76"/>
      <c r="X1866" s="76"/>
    </row>
    <row r="1867" ht="18.0" customHeight="1">
      <c r="A1867" s="76"/>
      <c r="B1867" s="76"/>
      <c r="C1867" s="76"/>
      <c r="D1867" s="76"/>
      <c r="E1867" s="76"/>
      <c r="F1867" s="76"/>
      <c r="G1867" s="76"/>
      <c r="H1867" s="76"/>
      <c r="I1867" s="76"/>
      <c r="J1867" s="76"/>
      <c r="K1867" s="76"/>
      <c r="L1867" s="76"/>
      <c r="M1867" s="76"/>
      <c r="N1867" s="76"/>
      <c r="O1867" s="76"/>
      <c r="P1867" s="76"/>
      <c r="Q1867" s="76"/>
      <c r="R1867" s="76"/>
      <c r="S1867" s="76"/>
      <c r="T1867" s="76"/>
      <c r="U1867" s="76" t="s">
        <v>5553</v>
      </c>
      <c r="V1867" s="76"/>
      <c r="W1867" s="76"/>
      <c r="X1867" s="76"/>
    </row>
    <row r="1868" ht="18.0" customHeight="1">
      <c r="A1868" s="76"/>
      <c r="B1868" s="76"/>
      <c r="C1868" s="76"/>
      <c r="D1868" s="76"/>
      <c r="E1868" s="76"/>
      <c r="F1868" s="76"/>
      <c r="G1868" s="76"/>
      <c r="H1868" s="76"/>
      <c r="I1868" s="76"/>
      <c r="J1868" s="76"/>
      <c r="K1868" s="76"/>
      <c r="L1868" s="76"/>
      <c r="M1868" s="76"/>
      <c r="N1868" s="76"/>
      <c r="O1868" s="76"/>
      <c r="P1868" s="76"/>
      <c r="Q1868" s="76"/>
      <c r="R1868" s="76"/>
      <c r="S1868" s="76"/>
      <c r="T1868" s="76"/>
      <c r="U1868" s="76" t="s">
        <v>5554</v>
      </c>
      <c r="V1868" s="76"/>
      <c r="W1868" s="76"/>
      <c r="X1868" s="76"/>
    </row>
    <row r="1869" ht="18.0" customHeight="1">
      <c r="A1869" s="76"/>
      <c r="B1869" s="76"/>
      <c r="C1869" s="76"/>
      <c r="D1869" s="76"/>
      <c r="E1869" s="76"/>
      <c r="F1869" s="76"/>
      <c r="G1869" s="76"/>
      <c r="H1869" s="76"/>
      <c r="I1869" s="76"/>
      <c r="J1869" s="76"/>
      <c r="K1869" s="76"/>
      <c r="L1869" s="76"/>
      <c r="M1869" s="76"/>
      <c r="N1869" s="76"/>
      <c r="O1869" s="76"/>
      <c r="P1869" s="76"/>
      <c r="Q1869" s="76"/>
      <c r="R1869" s="76"/>
      <c r="S1869" s="76"/>
      <c r="T1869" s="76"/>
      <c r="U1869" s="76" t="s">
        <v>5555</v>
      </c>
      <c r="V1869" s="76"/>
      <c r="W1869" s="76"/>
      <c r="X1869" s="76"/>
    </row>
    <row r="1870" ht="18.0" customHeight="1">
      <c r="A1870" s="76"/>
      <c r="B1870" s="76"/>
      <c r="C1870" s="76"/>
      <c r="D1870" s="76"/>
      <c r="E1870" s="76"/>
      <c r="F1870" s="76"/>
      <c r="G1870" s="76"/>
      <c r="H1870" s="76"/>
      <c r="I1870" s="76"/>
      <c r="J1870" s="76"/>
      <c r="K1870" s="76"/>
      <c r="L1870" s="76"/>
      <c r="M1870" s="76"/>
      <c r="N1870" s="76"/>
      <c r="O1870" s="76"/>
      <c r="P1870" s="76"/>
      <c r="Q1870" s="76"/>
      <c r="R1870" s="76"/>
      <c r="S1870" s="76"/>
      <c r="T1870" s="76"/>
      <c r="U1870" s="76" t="s">
        <v>5556</v>
      </c>
      <c r="V1870" s="76"/>
      <c r="W1870" s="76"/>
      <c r="X1870" s="76"/>
    </row>
    <row r="1871" ht="18.0" customHeight="1">
      <c r="A1871" s="76"/>
      <c r="B1871" s="76"/>
      <c r="C1871" s="76"/>
      <c r="D1871" s="76"/>
      <c r="E1871" s="76"/>
      <c r="F1871" s="76"/>
      <c r="G1871" s="76"/>
      <c r="H1871" s="76"/>
      <c r="I1871" s="76"/>
      <c r="J1871" s="76"/>
      <c r="K1871" s="76"/>
      <c r="L1871" s="76"/>
      <c r="M1871" s="76"/>
      <c r="N1871" s="76"/>
      <c r="O1871" s="76"/>
      <c r="P1871" s="76"/>
      <c r="Q1871" s="76"/>
      <c r="R1871" s="76"/>
      <c r="S1871" s="76"/>
      <c r="T1871" s="76"/>
      <c r="U1871" s="76" t="s">
        <v>5557</v>
      </c>
      <c r="V1871" s="76"/>
      <c r="W1871" s="76"/>
      <c r="X1871" s="76"/>
    </row>
    <row r="1872" ht="18.0" customHeight="1">
      <c r="A1872" s="76"/>
      <c r="B1872" s="76"/>
      <c r="C1872" s="76"/>
      <c r="D1872" s="76"/>
      <c r="E1872" s="76"/>
      <c r="F1872" s="76"/>
      <c r="G1872" s="76"/>
      <c r="H1872" s="76"/>
      <c r="I1872" s="76"/>
      <c r="J1872" s="76"/>
      <c r="K1872" s="76"/>
      <c r="L1872" s="76"/>
      <c r="M1872" s="76"/>
      <c r="N1872" s="76"/>
      <c r="O1872" s="76"/>
      <c r="P1872" s="76"/>
      <c r="Q1872" s="76"/>
      <c r="R1872" s="76"/>
      <c r="S1872" s="76"/>
      <c r="T1872" s="76"/>
      <c r="U1872" s="76" t="s">
        <v>5558</v>
      </c>
      <c r="V1872" s="76"/>
      <c r="W1872" s="76"/>
      <c r="X1872" s="76"/>
    </row>
    <row r="1873" ht="18.0" customHeight="1">
      <c r="A1873" s="76"/>
      <c r="B1873" s="76"/>
      <c r="C1873" s="76"/>
      <c r="D1873" s="76"/>
      <c r="E1873" s="76"/>
      <c r="F1873" s="76"/>
      <c r="G1873" s="76"/>
      <c r="H1873" s="76"/>
      <c r="I1873" s="76"/>
      <c r="J1873" s="76"/>
      <c r="K1873" s="76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 t="s">
        <v>5559</v>
      </c>
      <c r="V1873" s="76"/>
      <c r="W1873" s="76"/>
      <c r="X1873" s="76"/>
    </row>
    <row r="1874" ht="18.0" customHeight="1">
      <c r="A1874" s="76"/>
      <c r="B1874" s="76"/>
      <c r="C1874" s="76"/>
      <c r="D1874" s="76"/>
      <c r="E1874" s="76"/>
      <c r="F1874" s="76"/>
      <c r="G1874" s="76"/>
      <c r="H1874" s="76"/>
      <c r="I1874" s="76"/>
      <c r="J1874" s="76"/>
      <c r="K1874" s="76"/>
      <c r="L1874" s="76"/>
      <c r="M1874" s="76"/>
      <c r="N1874" s="76"/>
      <c r="O1874" s="76"/>
      <c r="P1874" s="76"/>
      <c r="Q1874" s="76"/>
      <c r="R1874" s="76"/>
      <c r="S1874" s="76"/>
      <c r="T1874" s="76"/>
      <c r="U1874" s="76" t="s">
        <v>5560</v>
      </c>
      <c r="V1874" s="76"/>
      <c r="W1874" s="76"/>
      <c r="X1874" s="76"/>
    </row>
    <row r="1875" ht="18.0" customHeight="1">
      <c r="A1875" s="76"/>
      <c r="B1875" s="76"/>
      <c r="C1875" s="76"/>
      <c r="D1875" s="76"/>
      <c r="E1875" s="76"/>
      <c r="F1875" s="76"/>
      <c r="G1875" s="76"/>
      <c r="H1875" s="76"/>
      <c r="I1875" s="76"/>
      <c r="J1875" s="76"/>
      <c r="K1875" s="76"/>
      <c r="L1875" s="76"/>
      <c r="M1875" s="76"/>
      <c r="N1875" s="76"/>
      <c r="O1875" s="76"/>
      <c r="P1875" s="76"/>
      <c r="Q1875" s="76"/>
      <c r="R1875" s="76"/>
      <c r="S1875" s="76"/>
      <c r="T1875" s="76"/>
      <c r="U1875" s="76" t="s">
        <v>5561</v>
      </c>
      <c r="V1875" s="76"/>
      <c r="W1875" s="76"/>
      <c r="X1875" s="76"/>
    </row>
    <row r="1876" ht="18.0" customHeight="1">
      <c r="A1876" s="76"/>
      <c r="B1876" s="76"/>
      <c r="C1876" s="76"/>
      <c r="D1876" s="76"/>
      <c r="E1876" s="76"/>
      <c r="F1876" s="76"/>
      <c r="G1876" s="76"/>
      <c r="H1876" s="76"/>
      <c r="I1876" s="76"/>
      <c r="J1876" s="76"/>
      <c r="K1876" s="76"/>
      <c r="L1876" s="76"/>
      <c r="M1876" s="76"/>
      <c r="N1876" s="76"/>
      <c r="O1876" s="76"/>
      <c r="P1876" s="76"/>
      <c r="Q1876" s="76"/>
      <c r="R1876" s="76"/>
      <c r="S1876" s="76"/>
      <c r="T1876" s="76"/>
      <c r="U1876" s="76" t="s">
        <v>5562</v>
      </c>
      <c r="V1876" s="76"/>
      <c r="W1876" s="76"/>
      <c r="X1876" s="76"/>
    </row>
    <row r="1877" ht="18.0" customHeight="1">
      <c r="A1877" s="76"/>
      <c r="B1877" s="76"/>
      <c r="C1877" s="76"/>
      <c r="D1877" s="76"/>
      <c r="E1877" s="76"/>
      <c r="F1877" s="76"/>
      <c r="G1877" s="76"/>
      <c r="H1877" s="76"/>
      <c r="I1877" s="76"/>
      <c r="J1877" s="76"/>
      <c r="K1877" s="76"/>
      <c r="L1877" s="76"/>
      <c r="M1877" s="76"/>
      <c r="N1877" s="76"/>
      <c r="O1877" s="76"/>
      <c r="P1877" s="76"/>
      <c r="Q1877" s="76"/>
      <c r="R1877" s="76"/>
      <c r="S1877" s="76"/>
      <c r="T1877" s="76"/>
      <c r="U1877" s="76" t="s">
        <v>5563</v>
      </c>
      <c r="V1877" s="76"/>
      <c r="W1877" s="76"/>
      <c r="X1877" s="76"/>
    </row>
    <row r="1878" ht="18.0" customHeight="1">
      <c r="A1878" s="76"/>
      <c r="B1878" s="76"/>
      <c r="C1878" s="76"/>
      <c r="D1878" s="76"/>
      <c r="E1878" s="76"/>
      <c r="F1878" s="76"/>
      <c r="G1878" s="76"/>
      <c r="H1878" s="76"/>
      <c r="I1878" s="76"/>
      <c r="J1878" s="76"/>
      <c r="K1878" s="76"/>
      <c r="L1878" s="76"/>
      <c r="M1878" s="76"/>
      <c r="N1878" s="76"/>
      <c r="O1878" s="76"/>
      <c r="P1878" s="76"/>
      <c r="Q1878" s="76"/>
      <c r="R1878" s="76"/>
      <c r="S1878" s="76"/>
      <c r="T1878" s="76"/>
      <c r="U1878" s="76" t="s">
        <v>5564</v>
      </c>
      <c r="V1878" s="76"/>
      <c r="W1878" s="76"/>
      <c r="X1878" s="76"/>
    </row>
    <row r="1879" ht="18.0" customHeight="1">
      <c r="A1879" s="76"/>
      <c r="B1879" s="76"/>
      <c r="C1879" s="76"/>
      <c r="D1879" s="76"/>
      <c r="E1879" s="76"/>
      <c r="F1879" s="76"/>
      <c r="G1879" s="76"/>
      <c r="H1879" s="76"/>
      <c r="I1879" s="76"/>
      <c r="J1879" s="76"/>
      <c r="K1879" s="76"/>
      <c r="L1879" s="76"/>
      <c r="M1879" s="76"/>
      <c r="N1879" s="76"/>
      <c r="O1879" s="76"/>
      <c r="P1879" s="76"/>
      <c r="Q1879" s="76"/>
      <c r="R1879" s="76"/>
      <c r="S1879" s="76"/>
      <c r="T1879" s="76"/>
      <c r="U1879" s="76" t="s">
        <v>5565</v>
      </c>
      <c r="V1879" s="76"/>
      <c r="W1879" s="76"/>
      <c r="X1879" s="76"/>
    </row>
    <row r="1880" ht="18.0" customHeight="1">
      <c r="A1880" s="76"/>
      <c r="B1880" s="76"/>
      <c r="C1880" s="76"/>
      <c r="D1880" s="76"/>
      <c r="E1880" s="76"/>
      <c r="F1880" s="76"/>
      <c r="G1880" s="76"/>
      <c r="H1880" s="76"/>
      <c r="I1880" s="76"/>
      <c r="J1880" s="76"/>
      <c r="K1880" s="76"/>
      <c r="L1880" s="76"/>
      <c r="M1880" s="76"/>
      <c r="N1880" s="76"/>
      <c r="O1880" s="76"/>
      <c r="P1880" s="76"/>
      <c r="Q1880" s="76"/>
      <c r="R1880" s="76"/>
      <c r="S1880" s="76"/>
      <c r="T1880" s="76"/>
      <c r="U1880" s="76" t="s">
        <v>5566</v>
      </c>
      <c r="V1880" s="76"/>
      <c r="W1880" s="76"/>
      <c r="X1880" s="76"/>
    </row>
    <row r="1881" ht="18.0" customHeight="1">
      <c r="A1881" s="76"/>
      <c r="B1881" s="76"/>
      <c r="C1881" s="76"/>
      <c r="D1881" s="76"/>
      <c r="E1881" s="76"/>
      <c r="F1881" s="76"/>
      <c r="G1881" s="76"/>
      <c r="H1881" s="76"/>
      <c r="I1881" s="76"/>
      <c r="J1881" s="76"/>
      <c r="K1881" s="76"/>
      <c r="L1881" s="76"/>
      <c r="M1881" s="76"/>
      <c r="N1881" s="76"/>
      <c r="O1881" s="76"/>
      <c r="P1881" s="76"/>
      <c r="Q1881" s="76"/>
      <c r="R1881" s="76"/>
      <c r="S1881" s="76"/>
      <c r="T1881" s="76"/>
      <c r="U1881" s="76" t="s">
        <v>5567</v>
      </c>
      <c r="V1881" s="76"/>
      <c r="W1881" s="76"/>
      <c r="X1881" s="76"/>
    </row>
    <row r="1882" ht="18.0" customHeight="1">
      <c r="A1882" s="76"/>
      <c r="B1882" s="76"/>
      <c r="C1882" s="76"/>
      <c r="D1882" s="76"/>
      <c r="E1882" s="76"/>
      <c r="F1882" s="76"/>
      <c r="G1882" s="76"/>
      <c r="H1882" s="76"/>
      <c r="I1882" s="76"/>
      <c r="J1882" s="76"/>
      <c r="K1882" s="76"/>
      <c r="L1882" s="76"/>
      <c r="M1882" s="76"/>
      <c r="N1882" s="76"/>
      <c r="O1882" s="76"/>
      <c r="P1882" s="76"/>
      <c r="Q1882" s="76"/>
      <c r="R1882" s="76"/>
      <c r="S1882" s="76"/>
      <c r="T1882" s="76"/>
      <c r="U1882" s="76" t="s">
        <v>5568</v>
      </c>
      <c r="V1882" s="76"/>
      <c r="W1882" s="76"/>
      <c r="X1882" s="76"/>
    </row>
    <row r="1883" ht="18.0" customHeight="1">
      <c r="A1883" s="76"/>
      <c r="B1883" s="76"/>
      <c r="C1883" s="76"/>
      <c r="D1883" s="76"/>
      <c r="E1883" s="76"/>
      <c r="F1883" s="76"/>
      <c r="G1883" s="76"/>
      <c r="H1883" s="76"/>
      <c r="I1883" s="76"/>
      <c r="J1883" s="76"/>
      <c r="K1883" s="76"/>
      <c r="L1883" s="76"/>
      <c r="M1883" s="76"/>
      <c r="N1883" s="76"/>
      <c r="O1883" s="76"/>
      <c r="P1883" s="76"/>
      <c r="Q1883" s="76"/>
      <c r="R1883" s="76"/>
      <c r="S1883" s="76"/>
      <c r="T1883" s="76"/>
      <c r="U1883" s="76" t="s">
        <v>5569</v>
      </c>
      <c r="V1883" s="76"/>
      <c r="W1883" s="76"/>
      <c r="X1883" s="76"/>
    </row>
    <row r="1884" ht="18.0" customHeight="1">
      <c r="A1884" s="76"/>
      <c r="B1884" s="76"/>
      <c r="C1884" s="76"/>
      <c r="D1884" s="76"/>
      <c r="E1884" s="76"/>
      <c r="F1884" s="76"/>
      <c r="G1884" s="76"/>
      <c r="H1884" s="76"/>
      <c r="I1884" s="76"/>
      <c r="J1884" s="76"/>
      <c r="K1884" s="76"/>
      <c r="L1884" s="76"/>
      <c r="M1884" s="76"/>
      <c r="N1884" s="76"/>
      <c r="O1884" s="76"/>
      <c r="P1884" s="76"/>
      <c r="Q1884" s="76"/>
      <c r="R1884" s="76"/>
      <c r="S1884" s="76"/>
      <c r="T1884" s="76"/>
      <c r="U1884" s="76" t="s">
        <v>5570</v>
      </c>
      <c r="V1884" s="76"/>
      <c r="W1884" s="76"/>
      <c r="X1884" s="76"/>
    </row>
    <row r="1885" ht="18.0" customHeight="1">
      <c r="A1885" s="76"/>
      <c r="B1885" s="76"/>
      <c r="C1885" s="76"/>
      <c r="D1885" s="76"/>
      <c r="E1885" s="76"/>
      <c r="F1885" s="76"/>
      <c r="G1885" s="76"/>
      <c r="H1885" s="76"/>
      <c r="I1885" s="76"/>
      <c r="J1885" s="76"/>
      <c r="K1885" s="76"/>
      <c r="L1885" s="76"/>
      <c r="M1885" s="76"/>
      <c r="N1885" s="76"/>
      <c r="O1885" s="76"/>
      <c r="P1885" s="76"/>
      <c r="Q1885" s="76"/>
      <c r="R1885" s="76"/>
      <c r="S1885" s="76"/>
      <c r="T1885" s="76"/>
      <c r="U1885" s="76" t="s">
        <v>5571</v>
      </c>
      <c r="V1885" s="76"/>
      <c r="W1885" s="76"/>
      <c r="X1885" s="76"/>
    </row>
    <row r="1886" ht="18.0" customHeight="1">
      <c r="A1886" s="76"/>
      <c r="B1886" s="76"/>
      <c r="C1886" s="76"/>
      <c r="D1886" s="76"/>
      <c r="E1886" s="76"/>
      <c r="F1886" s="76"/>
      <c r="G1886" s="76"/>
      <c r="H1886" s="76"/>
      <c r="I1886" s="76"/>
      <c r="J1886" s="76"/>
      <c r="K1886" s="76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 t="s">
        <v>5572</v>
      </c>
      <c r="V1886" s="76"/>
      <c r="W1886" s="76"/>
      <c r="X1886" s="76"/>
    </row>
    <row r="1887" ht="18.0" customHeight="1">
      <c r="A1887" s="76"/>
      <c r="B1887" s="76"/>
      <c r="C1887" s="76"/>
      <c r="D1887" s="76"/>
      <c r="E1887" s="76"/>
      <c r="F1887" s="76"/>
      <c r="G1887" s="76"/>
      <c r="H1887" s="76"/>
      <c r="I1887" s="76"/>
      <c r="J1887" s="76"/>
      <c r="K1887" s="76"/>
      <c r="L1887" s="76"/>
      <c r="M1887" s="76"/>
      <c r="N1887" s="76"/>
      <c r="O1887" s="76"/>
      <c r="P1887" s="76"/>
      <c r="Q1887" s="76"/>
      <c r="R1887" s="76"/>
      <c r="S1887" s="76"/>
      <c r="T1887" s="76"/>
      <c r="U1887" s="76" t="s">
        <v>5573</v>
      </c>
      <c r="V1887" s="76"/>
      <c r="W1887" s="76"/>
      <c r="X1887" s="76"/>
    </row>
    <row r="1888" ht="18.0" customHeight="1">
      <c r="A1888" s="76"/>
      <c r="B1888" s="76"/>
      <c r="C1888" s="76"/>
      <c r="D1888" s="76"/>
      <c r="E1888" s="76"/>
      <c r="F1888" s="76"/>
      <c r="G1888" s="76"/>
      <c r="H1888" s="76"/>
      <c r="I1888" s="76"/>
      <c r="J1888" s="76"/>
      <c r="K1888" s="76"/>
      <c r="L1888" s="76"/>
      <c r="M1888" s="76"/>
      <c r="N1888" s="76"/>
      <c r="O1888" s="76"/>
      <c r="P1888" s="76"/>
      <c r="Q1888" s="76"/>
      <c r="R1888" s="76"/>
      <c r="S1888" s="76"/>
      <c r="T1888" s="76"/>
      <c r="U1888" s="76" t="s">
        <v>5574</v>
      </c>
      <c r="V1888" s="76"/>
      <c r="W1888" s="76"/>
      <c r="X1888" s="76"/>
    </row>
    <row r="1889" ht="18.0" customHeight="1">
      <c r="A1889" s="76"/>
      <c r="B1889" s="76"/>
      <c r="C1889" s="76"/>
      <c r="D1889" s="76"/>
      <c r="E1889" s="76"/>
      <c r="F1889" s="76"/>
      <c r="G1889" s="76"/>
      <c r="H1889" s="76"/>
      <c r="I1889" s="76"/>
      <c r="J1889" s="76"/>
      <c r="K1889" s="76"/>
      <c r="L1889" s="76"/>
      <c r="M1889" s="76"/>
      <c r="N1889" s="76"/>
      <c r="O1889" s="76"/>
      <c r="P1889" s="76"/>
      <c r="Q1889" s="76"/>
      <c r="R1889" s="76"/>
      <c r="S1889" s="76"/>
      <c r="T1889" s="76"/>
      <c r="U1889" s="76" t="s">
        <v>5575</v>
      </c>
      <c r="V1889" s="76"/>
      <c r="W1889" s="76"/>
      <c r="X1889" s="76"/>
    </row>
    <row r="1890" ht="18.0" customHeight="1">
      <c r="A1890" s="76"/>
      <c r="B1890" s="76"/>
      <c r="C1890" s="76"/>
      <c r="D1890" s="76"/>
      <c r="E1890" s="76"/>
      <c r="F1890" s="76"/>
      <c r="G1890" s="76"/>
      <c r="H1890" s="76"/>
      <c r="I1890" s="76"/>
      <c r="J1890" s="76"/>
      <c r="K1890" s="76"/>
      <c r="L1890" s="76"/>
      <c r="M1890" s="76"/>
      <c r="N1890" s="76"/>
      <c r="O1890" s="76"/>
      <c r="P1890" s="76"/>
      <c r="Q1890" s="76"/>
      <c r="R1890" s="76"/>
      <c r="S1890" s="76"/>
      <c r="T1890" s="76"/>
      <c r="U1890" s="76" t="s">
        <v>5576</v>
      </c>
      <c r="V1890" s="76"/>
      <c r="W1890" s="76"/>
      <c r="X1890" s="76"/>
    </row>
    <row r="1891" ht="18.0" customHeight="1">
      <c r="A1891" s="76"/>
      <c r="B1891" s="76"/>
      <c r="C1891" s="76"/>
      <c r="D1891" s="76"/>
      <c r="E1891" s="76"/>
      <c r="F1891" s="76"/>
      <c r="G1891" s="76"/>
      <c r="H1891" s="76"/>
      <c r="I1891" s="76"/>
      <c r="J1891" s="76"/>
      <c r="K1891" s="76"/>
      <c r="L1891" s="76"/>
      <c r="M1891" s="76"/>
      <c r="N1891" s="76"/>
      <c r="O1891" s="76"/>
      <c r="P1891" s="76"/>
      <c r="Q1891" s="76"/>
      <c r="R1891" s="76"/>
      <c r="S1891" s="76"/>
      <c r="T1891" s="76"/>
      <c r="U1891" s="76" t="s">
        <v>5577</v>
      </c>
      <c r="V1891" s="76"/>
      <c r="W1891" s="76"/>
      <c r="X1891" s="76"/>
    </row>
    <row r="1892" ht="18.0" customHeight="1">
      <c r="A1892" s="76"/>
      <c r="B1892" s="76"/>
      <c r="C1892" s="76"/>
      <c r="D1892" s="76"/>
      <c r="E1892" s="76"/>
      <c r="F1892" s="76"/>
      <c r="G1892" s="76"/>
      <c r="H1892" s="76"/>
      <c r="I1892" s="76"/>
      <c r="J1892" s="76"/>
      <c r="K1892" s="76"/>
      <c r="L1892" s="76"/>
      <c r="M1892" s="76"/>
      <c r="N1892" s="76"/>
      <c r="O1892" s="76"/>
      <c r="P1892" s="76"/>
      <c r="Q1892" s="76"/>
      <c r="R1892" s="76"/>
      <c r="S1892" s="76"/>
      <c r="T1892" s="76"/>
      <c r="U1892" s="76" t="s">
        <v>5578</v>
      </c>
      <c r="V1892" s="76"/>
      <c r="W1892" s="76"/>
      <c r="X1892" s="76"/>
    </row>
    <row r="1893" ht="18.0" customHeight="1">
      <c r="A1893" s="76"/>
      <c r="B1893" s="76"/>
      <c r="C1893" s="76"/>
      <c r="D1893" s="76"/>
      <c r="E1893" s="76"/>
      <c r="F1893" s="76"/>
      <c r="G1893" s="76"/>
      <c r="H1893" s="76"/>
      <c r="I1893" s="76"/>
      <c r="J1893" s="76"/>
      <c r="K1893" s="76"/>
      <c r="L1893" s="76"/>
      <c r="M1893" s="76"/>
      <c r="N1893" s="76"/>
      <c r="O1893" s="76"/>
      <c r="P1893" s="76"/>
      <c r="Q1893" s="76"/>
      <c r="R1893" s="76"/>
      <c r="S1893" s="76"/>
      <c r="T1893" s="76"/>
      <c r="U1893" s="76" t="s">
        <v>5579</v>
      </c>
      <c r="V1893" s="76"/>
      <c r="W1893" s="76"/>
      <c r="X1893" s="76"/>
    </row>
    <row r="1894" ht="18.0" customHeight="1">
      <c r="A1894" s="76"/>
      <c r="B1894" s="76"/>
      <c r="C1894" s="76"/>
      <c r="D1894" s="76"/>
      <c r="E1894" s="76"/>
      <c r="F1894" s="76"/>
      <c r="G1894" s="76"/>
      <c r="H1894" s="76"/>
      <c r="I1894" s="76"/>
      <c r="J1894" s="76"/>
      <c r="K1894" s="76"/>
      <c r="L1894" s="76"/>
      <c r="M1894" s="76"/>
      <c r="N1894" s="76"/>
      <c r="O1894" s="76"/>
      <c r="P1894" s="76"/>
      <c r="Q1894" s="76"/>
      <c r="R1894" s="76"/>
      <c r="S1894" s="76"/>
      <c r="T1894" s="76"/>
      <c r="U1894" s="76" t="s">
        <v>5580</v>
      </c>
      <c r="V1894" s="76"/>
      <c r="W1894" s="76"/>
      <c r="X1894" s="76"/>
    </row>
    <row r="1895" ht="18.0" customHeight="1">
      <c r="A1895" s="76"/>
      <c r="B1895" s="76"/>
      <c r="C1895" s="76"/>
      <c r="D1895" s="76"/>
      <c r="E1895" s="76"/>
      <c r="F1895" s="76"/>
      <c r="G1895" s="76"/>
      <c r="H1895" s="76"/>
      <c r="I1895" s="76"/>
      <c r="J1895" s="76"/>
      <c r="K1895" s="76"/>
      <c r="L1895" s="76"/>
      <c r="M1895" s="76"/>
      <c r="N1895" s="76"/>
      <c r="O1895" s="76"/>
      <c r="P1895" s="76"/>
      <c r="Q1895" s="76"/>
      <c r="R1895" s="76"/>
      <c r="S1895" s="76"/>
      <c r="T1895" s="76"/>
      <c r="U1895" s="76" t="s">
        <v>5581</v>
      </c>
      <c r="V1895" s="76"/>
      <c r="W1895" s="76"/>
      <c r="X1895" s="76"/>
    </row>
    <row r="1896" ht="18.0" customHeight="1">
      <c r="A1896" s="76"/>
      <c r="B1896" s="76"/>
      <c r="C1896" s="76"/>
      <c r="D1896" s="76"/>
      <c r="E1896" s="76"/>
      <c r="F1896" s="76"/>
      <c r="G1896" s="76"/>
      <c r="H1896" s="76"/>
      <c r="I1896" s="76"/>
      <c r="J1896" s="76"/>
      <c r="K1896" s="76"/>
      <c r="L1896" s="76"/>
      <c r="M1896" s="76"/>
      <c r="N1896" s="76"/>
      <c r="O1896" s="76"/>
      <c r="P1896" s="76"/>
      <c r="Q1896" s="76"/>
      <c r="R1896" s="76"/>
      <c r="S1896" s="76"/>
      <c r="T1896" s="76"/>
      <c r="U1896" s="76" t="s">
        <v>5582</v>
      </c>
      <c r="V1896" s="76"/>
      <c r="W1896" s="76"/>
      <c r="X1896" s="76"/>
    </row>
    <row r="1897" ht="18.0" customHeight="1">
      <c r="A1897" s="76"/>
      <c r="B1897" s="76"/>
      <c r="C1897" s="76"/>
      <c r="D1897" s="76"/>
      <c r="E1897" s="76"/>
      <c r="F1897" s="76"/>
      <c r="G1897" s="76"/>
      <c r="H1897" s="76"/>
      <c r="I1897" s="76"/>
      <c r="J1897" s="76"/>
      <c r="K1897" s="76"/>
      <c r="L1897" s="76"/>
      <c r="M1897" s="76"/>
      <c r="N1897" s="76"/>
      <c r="O1897" s="76"/>
      <c r="P1897" s="76"/>
      <c r="Q1897" s="76"/>
      <c r="R1897" s="76"/>
      <c r="S1897" s="76"/>
      <c r="T1897" s="76"/>
      <c r="U1897" s="76" t="s">
        <v>5583</v>
      </c>
      <c r="V1897" s="76"/>
      <c r="W1897" s="76"/>
      <c r="X1897" s="76"/>
    </row>
    <row r="1898" ht="18.0" customHeight="1">
      <c r="A1898" s="76"/>
      <c r="B1898" s="76"/>
      <c r="C1898" s="76"/>
      <c r="D1898" s="76"/>
      <c r="E1898" s="76"/>
      <c r="F1898" s="76"/>
      <c r="G1898" s="76"/>
      <c r="H1898" s="76"/>
      <c r="I1898" s="76"/>
      <c r="J1898" s="76"/>
      <c r="K1898" s="76"/>
      <c r="L1898" s="76"/>
      <c r="M1898" s="76"/>
      <c r="N1898" s="76"/>
      <c r="O1898" s="76"/>
      <c r="P1898" s="76"/>
      <c r="Q1898" s="76"/>
      <c r="R1898" s="76"/>
      <c r="S1898" s="76"/>
      <c r="T1898" s="76"/>
      <c r="U1898" s="76" t="s">
        <v>5584</v>
      </c>
      <c r="V1898" s="76"/>
      <c r="W1898" s="76"/>
      <c r="X1898" s="76"/>
    </row>
    <row r="1899" ht="18.0" customHeight="1">
      <c r="A1899" s="76"/>
      <c r="B1899" s="76"/>
      <c r="C1899" s="76"/>
      <c r="D1899" s="76"/>
      <c r="E1899" s="76"/>
      <c r="F1899" s="76"/>
      <c r="G1899" s="76"/>
      <c r="H1899" s="76"/>
      <c r="I1899" s="76"/>
      <c r="J1899" s="76"/>
      <c r="K1899" s="76"/>
      <c r="L1899" s="76"/>
      <c r="M1899" s="76"/>
      <c r="N1899" s="76"/>
      <c r="O1899" s="76"/>
      <c r="P1899" s="76"/>
      <c r="Q1899" s="76"/>
      <c r="R1899" s="76"/>
      <c r="S1899" s="76"/>
      <c r="T1899" s="76"/>
      <c r="U1899" s="76" t="s">
        <v>5585</v>
      </c>
      <c r="V1899" s="76"/>
      <c r="W1899" s="76"/>
      <c r="X1899" s="76"/>
    </row>
    <row r="1900" ht="18.0" customHeight="1">
      <c r="A1900" s="76"/>
      <c r="B1900" s="76"/>
      <c r="C1900" s="76"/>
      <c r="D1900" s="76"/>
      <c r="E1900" s="76"/>
      <c r="F1900" s="76"/>
      <c r="G1900" s="76"/>
      <c r="H1900" s="76"/>
      <c r="I1900" s="76"/>
      <c r="J1900" s="76"/>
      <c r="K1900" s="76"/>
      <c r="L1900" s="76"/>
      <c r="M1900" s="76"/>
      <c r="N1900" s="76"/>
      <c r="O1900" s="76"/>
      <c r="P1900" s="76"/>
      <c r="Q1900" s="76"/>
      <c r="R1900" s="76"/>
      <c r="S1900" s="76"/>
      <c r="T1900" s="76"/>
      <c r="U1900" s="76" t="s">
        <v>5586</v>
      </c>
      <c r="V1900" s="76"/>
      <c r="W1900" s="76"/>
      <c r="X1900" s="76"/>
    </row>
    <row r="1901" ht="18.0" customHeight="1">
      <c r="A1901" s="76"/>
      <c r="B1901" s="76"/>
      <c r="C1901" s="76"/>
      <c r="D1901" s="76"/>
      <c r="E1901" s="76"/>
      <c r="F1901" s="76"/>
      <c r="G1901" s="76"/>
      <c r="H1901" s="76"/>
      <c r="I1901" s="76"/>
      <c r="J1901" s="76"/>
      <c r="K1901" s="76"/>
      <c r="L1901" s="76"/>
      <c r="M1901" s="76"/>
      <c r="N1901" s="76"/>
      <c r="O1901" s="76"/>
      <c r="P1901" s="76"/>
      <c r="Q1901" s="76"/>
      <c r="R1901" s="76"/>
      <c r="S1901" s="76"/>
      <c r="T1901" s="76"/>
      <c r="U1901" s="76" t="s">
        <v>5587</v>
      </c>
      <c r="V1901" s="76"/>
      <c r="W1901" s="76"/>
      <c r="X1901" s="76"/>
    </row>
    <row r="1902" ht="18.0" customHeight="1">
      <c r="A1902" s="76"/>
      <c r="B1902" s="76"/>
      <c r="C1902" s="76"/>
      <c r="D1902" s="76"/>
      <c r="E1902" s="76"/>
      <c r="F1902" s="76"/>
      <c r="G1902" s="76"/>
      <c r="H1902" s="76"/>
      <c r="I1902" s="76"/>
      <c r="J1902" s="76"/>
      <c r="K1902" s="76"/>
      <c r="L1902" s="76"/>
      <c r="M1902" s="76"/>
      <c r="N1902" s="76"/>
      <c r="O1902" s="76"/>
      <c r="P1902" s="76"/>
      <c r="Q1902" s="76"/>
      <c r="R1902" s="76"/>
      <c r="S1902" s="76"/>
      <c r="T1902" s="76"/>
      <c r="U1902" s="76" t="s">
        <v>5588</v>
      </c>
      <c r="V1902" s="76"/>
      <c r="W1902" s="76"/>
      <c r="X1902" s="76"/>
    </row>
    <row r="1903" ht="18.0" customHeight="1">
      <c r="A1903" s="76"/>
      <c r="B1903" s="76"/>
      <c r="C1903" s="76"/>
      <c r="D1903" s="76"/>
      <c r="E1903" s="76"/>
      <c r="F1903" s="76"/>
      <c r="G1903" s="76"/>
      <c r="H1903" s="76"/>
      <c r="I1903" s="76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 t="s">
        <v>5589</v>
      </c>
      <c r="V1903" s="76"/>
      <c r="W1903" s="76"/>
      <c r="X1903" s="76"/>
    </row>
    <row r="1904" ht="18.0" customHeight="1">
      <c r="A1904" s="76"/>
      <c r="B1904" s="76"/>
      <c r="C1904" s="76"/>
      <c r="D1904" s="76"/>
      <c r="E1904" s="76"/>
      <c r="F1904" s="76"/>
      <c r="G1904" s="76"/>
      <c r="H1904" s="76"/>
      <c r="I1904" s="76"/>
      <c r="J1904" s="76"/>
      <c r="K1904" s="76"/>
      <c r="L1904" s="76"/>
      <c r="M1904" s="76"/>
      <c r="N1904" s="76"/>
      <c r="O1904" s="76"/>
      <c r="P1904" s="76"/>
      <c r="Q1904" s="76"/>
      <c r="R1904" s="76"/>
      <c r="S1904" s="76"/>
      <c r="T1904" s="76"/>
      <c r="U1904" s="76" t="s">
        <v>5590</v>
      </c>
      <c r="V1904" s="76"/>
      <c r="W1904" s="76"/>
      <c r="X1904" s="76"/>
    </row>
    <row r="1905" ht="18.0" customHeight="1">
      <c r="A1905" s="76"/>
      <c r="B1905" s="76"/>
      <c r="C1905" s="76"/>
      <c r="D1905" s="76"/>
      <c r="E1905" s="76"/>
      <c r="F1905" s="76"/>
      <c r="G1905" s="76"/>
      <c r="H1905" s="76"/>
      <c r="I1905" s="76"/>
      <c r="J1905" s="76"/>
      <c r="K1905" s="76"/>
      <c r="L1905" s="76"/>
      <c r="M1905" s="76"/>
      <c r="N1905" s="76"/>
      <c r="O1905" s="76"/>
      <c r="P1905" s="76"/>
      <c r="Q1905" s="76"/>
      <c r="R1905" s="76"/>
      <c r="S1905" s="76"/>
      <c r="T1905" s="76"/>
      <c r="U1905" s="76" t="s">
        <v>5591</v>
      </c>
      <c r="V1905" s="76"/>
      <c r="W1905" s="76"/>
      <c r="X1905" s="76"/>
    </row>
    <row r="1906" ht="18.0" customHeight="1">
      <c r="A1906" s="76"/>
      <c r="B1906" s="76"/>
      <c r="C1906" s="76"/>
      <c r="D1906" s="76"/>
      <c r="E1906" s="76"/>
      <c r="F1906" s="76"/>
      <c r="G1906" s="76"/>
      <c r="H1906" s="76"/>
      <c r="I1906" s="76"/>
      <c r="J1906" s="76"/>
      <c r="K1906" s="76"/>
      <c r="L1906" s="76"/>
      <c r="M1906" s="76"/>
      <c r="N1906" s="76"/>
      <c r="O1906" s="76"/>
      <c r="P1906" s="76"/>
      <c r="Q1906" s="76"/>
      <c r="R1906" s="76"/>
      <c r="S1906" s="76"/>
      <c r="T1906" s="76"/>
      <c r="U1906" s="76" t="s">
        <v>5592</v>
      </c>
      <c r="V1906" s="76"/>
      <c r="W1906" s="76"/>
      <c r="X1906" s="76"/>
    </row>
    <row r="1907" ht="18.0" customHeight="1">
      <c r="A1907" s="76"/>
      <c r="B1907" s="76"/>
      <c r="C1907" s="76"/>
      <c r="D1907" s="76"/>
      <c r="E1907" s="76"/>
      <c r="F1907" s="76"/>
      <c r="G1907" s="76"/>
      <c r="H1907" s="76"/>
      <c r="I1907" s="76"/>
      <c r="J1907" s="76"/>
      <c r="K1907" s="76"/>
      <c r="L1907" s="76"/>
      <c r="M1907" s="76"/>
      <c r="N1907" s="76"/>
      <c r="O1907" s="76"/>
      <c r="P1907" s="76"/>
      <c r="Q1907" s="76"/>
      <c r="R1907" s="76"/>
      <c r="S1907" s="76"/>
      <c r="T1907" s="76"/>
      <c r="U1907" s="76" t="s">
        <v>5593</v>
      </c>
      <c r="V1907" s="76"/>
      <c r="W1907" s="76"/>
      <c r="X1907" s="76"/>
    </row>
    <row r="1908" ht="18.0" customHeight="1">
      <c r="A1908" s="76"/>
      <c r="B1908" s="76"/>
      <c r="C1908" s="76"/>
      <c r="D1908" s="76"/>
      <c r="E1908" s="76"/>
      <c r="F1908" s="76"/>
      <c r="G1908" s="76"/>
      <c r="H1908" s="76"/>
      <c r="I1908" s="76"/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 t="s">
        <v>5594</v>
      </c>
      <c r="V1908" s="76"/>
      <c r="W1908" s="76"/>
      <c r="X1908" s="76"/>
    </row>
    <row r="1909" ht="18.0" customHeight="1">
      <c r="A1909" s="76"/>
      <c r="B1909" s="76"/>
      <c r="C1909" s="76"/>
      <c r="D1909" s="76"/>
      <c r="E1909" s="76"/>
      <c r="F1909" s="76"/>
      <c r="G1909" s="76"/>
      <c r="H1909" s="76"/>
      <c r="I1909" s="76"/>
      <c r="J1909" s="76"/>
      <c r="K1909" s="76"/>
      <c r="L1909" s="76"/>
      <c r="M1909" s="76"/>
      <c r="N1909" s="76"/>
      <c r="O1909" s="76"/>
      <c r="P1909" s="76"/>
      <c r="Q1909" s="76"/>
      <c r="R1909" s="76"/>
      <c r="S1909" s="76"/>
      <c r="T1909" s="76"/>
      <c r="U1909" s="76" t="s">
        <v>5595</v>
      </c>
      <c r="V1909" s="76"/>
      <c r="W1909" s="76"/>
      <c r="X1909" s="76"/>
    </row>
    <row r="1910" ht="18.0" customHeight="1">
      <c r="A1910" s="76"/>
      <c r="B1910" s="76"/>
      <c r="C1910" s="76"/>
      <c r="D1910" s="76"/>
      <c r="E1910" s="76"/>
      <c r="F1910" s="76"/>
      <c r="G1910" s="76"/>
      <c r="H1910" s="76"/>
      <c r="I1910" s="76"/>
      <c r="J1910" s="76"/>
      <c r="K1910" s="76"/>
      <c r="L1910" s="76"/>
      <c r="M1910" s="76"/>
      <c r="N1910" s="76"/>
      <c r="O1910" s="76"/>
      <c r="P1910" s="76"/>
      <c r="Q1910" s="76"/>
      <c r="R1910" s="76"/>
      <c r="S1910" s="76"/>
      <c r="T1910" s="76"/>
      <c r="U1910" s="76" t="s">
        <v>5596</v>
      </c>
      <c r="V1910" s="76"/>
      <c r="W1910" s="76"/>
      <c r="X1910" s="76"/>
    </row>
    <row r="1911" ht="18.0" customHeight="1">
      <c r="A1911" s="76"/>
      <c r="B1911" s="76"/>
      <c r="C1911" s="76"/>
      <c r="D1911" s="76"/>
      <c r="E1911" s="76"/>
      <c r="F1911" s="76"/>
      <c r="G1911" s="76"/>
      <c r="H1911" s="76"/>
      <c r="I1911" s="76"/>
      <c r="J1911" s="76"/>
      <c r="K1911" s="76"/>
      <c r="L1911" s="76"/>
      <c r="M1911" s="76"/>
      <c r="N1911" s="76"/>
      <c r="O1911" s="76"/>
      <c r="P1911" s="76"/>
      <c r="Q1911" s="76"/>
      <c r="R1911" s="76"/>
      <c r="S1911" s="76"/>
      <c r="T1911" s="76"/>
      <c r="U1911" s="76" t="s">
        <v>5597</v>
      </c>
      <c r="V1911" s="76"/>
      <c r="W1911" s="76"/>
      <c r="X1911" s="76"/>
    </row>
    <row r="1912" ht="18.0" customHeight="1">
      <c r="A1912" s="76"/>
      <c r="B1912" s="76"/>
      <c r="C1912" s="76"/>
      <c r="D1912" s="76"/>
      <c r="E1912" s="76"/>
      <c r="F1912" s="76"/>
      <c r="G1912" s="76"/>
      <c r="H1912" s="76"/>
      <c r="I1912" s="76"/>
      <c r="J1912" s="76"/>
      <c r="K1912" s="76"/>
      <c r="L1912" s="76"/>
      <c r="M1912" s="76"/>
      <c r="N1912" s="76"/>
      <c r="O1912" s="76"/>
      <c r="P1912" s="76"/>
      <c r="Q1912" s="76"/>
      <c r="R1912" s="76"/>
      <c r="S1912" s="76"/>
      <c r="T1912" s="76"/>
      <c r="U1912" s="76" t="s">
        <v>5598</v>
      </c>
      <c r="V1912" s="76"/>
      <c r="W1912" s="76"/>
      <c r="X1912" s="76"/>
    </row>
    <row r="1913" ht="18.0" customHeight="1">
      <c r="A1913" s="76"/>
      <c r="B1913" s="76"/>
      <c r="C1913" s="76"/>
      <c r="D1913" s="76"/>
      <c r="E1913" s="76"/>
      <c r="F1913" s="76"/>
      <c r="G1913" s="76"/>
      <c r="H1913" s="76"/>
      <c r="I1913" s="76"/>
      <c r="J1913" s="76"/>
      <c r="K1913" s="76"/>
      <c r="L1913" s="76"/>
      <c r="M1913" s="76"/>
      <c r="N1913" s="76"/>
      <c r="O1913" s="76"/>
      <c r="P1913" s="76"/>
      <c r="Q1913" s="76"/>
      <c r="R1913" s="76"/>
      <c r="S1913" s="76"/>
      <c r="T1913" s="76"/>
      <c r="U1913" s="76" t="s">
        <v>5599</v>
      </c>
      <c r="V1913" s="76"/>
      <c r="W1913" s="76"/>
      <c r="X1913" s="76"/>
    </row>
    <row r="1914" ht="18.0" customHeight="1">
      <c r="A1914" s="76"/>
      <c r="B1914" s="76"/>
      <c r="C1914" s="76"/>
      <c r="D1914" s="76"/>
      <c r="E1914" s="76"/>
      <c r="F1914" s="76"/>
      <c r="G1914" s="76"/>
      <c r="H1914" s="76"/>
      <c r="I1914" s="76"/>
      <c r="J1914" s="76"/>
      <c r="K1914" s="76"/>
      <c r="L1914" s="76"/>
      <c r="M1914" s="76"/>
      <c r="N1914" s="76"/>
      <c r="O1914" s="76"/>
      <c r="P1914" s="76"/>
      <c r="Q1914" s="76"/>
      <c r="R1914" s="76"/>
      <c r="S1914" s="76"/>
      <c r="T1914" s="76"/>
      <c r="U1914" s="76" t="s">
        <v>5600</v>
      </c>
      <c r="V1914" s="76"/>
      <c r="W1914" s="76"/>
      <c r="X1914" s="76"/>
    </row>
    <row r="1915" ht="18.0" customHeight="1">
      <c r="A1915" s="76"/>
      <c r="B1915" s="76"/>
      <c r="C1915" s="76"/>
      <c r="D1915" s="76"/>
      <c r="E1915" s="76"/>
      <c r="F1915" s="76"/>
      <c r="G1915" s="76"/>
      <c r="H1915" s="76"/>
      <c r="I1915" s="76"/>
      <c r="J1915" s="76"/>
      <c r="K1915" s="76"/>
      <c r="L1915" s="76"/>
      <c r="M1915" s="76"/>
      <c r="N1915" s="76"/>
      <c r="O1915" s="76"/>
      <c r="P1915" s="76"/>
      <c r="Q1915" s="76"/>
      <c r="R1915" s="76"/>
      <c r="S1915" s="76"/>
      <c r="T1915" s="76"/>
      <c r="U1915" s="76" t="s">
        <v>5601</v>
      </c>
      <c r="V1915" s="76"/>
      <c r="W1915" s="76"/>
      <c r="X1915" s="76"/>
    </row>
    <row r="1916" ht="18.0" customHeight="1">
      <c r="A1916" s="76"/>
      <c r="B1916" s="76"/>
      <c r="C1916" s="76"/>
      <c r="D1916" s="76"/>
      <c r="E1916" s="76"/>
      <c r="F1916" s="76"/>
      <c r="G1916" s="76"/>
      <c r="H1916" s="76"/>
      <c r="I1916" s="76"/>
      <c r="J1916" s="76"/>
      <c r="K1916" s="76"/>
      <c r="L1916" s="76"/>
      <c r="M1916" s="76"/>
      <c r="N1916" s="76"/>
      <c r="O1916" s="76"/>
      <c r="P1916" s="76"/>
      <c r="Q1916" s="76"/>
      <c r="R1916" s="76"/>
      <c r="S1916" s="76"/>
      <c r="T1916" s="76"/>
      <c r="U1916" s="76" t="s">
        <v>5602</v>
      </c>
      <c r="V1916" s="76"/>
      <c r="W1916" s="76"/>
      <c r="X1916" s="76"/>
    </row>
    <row r="1917" ht="18.0" customHeight="1">
      <c r="A1917" s="76"/>
      <c r="B1917" s="76"/>
      <c r="C1917" s="76"/>
      <c r="D1917" s="76"/>
      <c r="E1917" s="76"/>
      <c r="F1917" s="76"/>
      <c r="G1917" s="76"/>
      <c r="H1917" s="76"/>
      <c r="I1917" s="76"/>
      <c r="J1917" s="76"/>
      <c r="K1917" s="76"/>
      <c r="L1917" s="76"/>
      <c r="M1917" s="76"/>
      <c r="N1917" s="76"/>
      <c r="O1917" s="76"/>
      <c r="P1917" s="76"/>
      <c r="Q1917" s="76"/>
      <c r="R1917" s="76"/>
      <c r="S1917" s="76"/>
      <c r="T1917" s="76"/>
      <c r="U1917" s="76" t="s">
        <v>5603</v>
      </c>
      <c r="V1917" s="76"/>
      <c r="W1917" s="76"/>
      <c r="X1917" s="76"/>
    </row>
    <row r="1918" ht="18.0" customHeight="1">
      <c r="A1918" s="76"/>
      <c r="B1918" s="76"/>
      <c r="C1918" s="76"/>
      <c r="D1918" s="76"/>
      <c r="E1918" s="76"/>
      <c r="F1918" s="76"/>
      <c r="G1918" s="76"/>
      <c r="H1918" s="76"/>
      <c r="I1918" s="76"/>
      <c r="J1918" s="76"/>
      <c r="K1918" s="76"/>
      <c r="L1918" s="76"/>
      <c r="M1918" s="76"/>
      <c r="N1918" s="76"/>
      <c r="O1918" s="76"/>
      <c r="P1918" s="76"/>
      <c r="Q1918" s="76"/>
      <c r="R1918" s="76"/>
      <c r="S1918" s="76"/>
      <c r="T1918" s="76"/>
      <c r="U1918" s="76" t="s">
        <v>5604</v>
      </c>
      <c r="V1918" s="76"/>
      <c r="W1918" s="76"/>
      <c r="X1918" s="76"/>
    </row>
    <row r="1919" ht="18.0" customHeight="1">
      <c r="A1919" s="76"/>
      <c r="B1919" s="76"/>
      <c r="C1919" s="76"/>
      <c r="D1919" s="76"/>
      <c r="E1919" s="76"/>
      <c r="F1919" s="76"/>
      <c r="G1919" s="76"/>
      <c r="H1919" s="76"/>
      <c r="I1919" s="76"/>
      <c r="J1919" s="76"/>
      <c r="K1919" s="76"/>
      <c r="L1919" s="76"/>
      <c r="M1919" s="76"/>
      <c r="N1919" s="76"/>
      <c r="O1919" s="76"/>
      <c r="P1919" s="76"/>
      <c r="Q1919" s="76"/>
      <c r="R1919" s="76"/>
      <c r="S1919" s="76"/>
      <c r="T1919" s="76"/>
      <c r="U1919" s="76" t="s">
        <v>5605</v>
      </c>
      <c r="V1919" s="76"/>
      <c r="W1919" s="76"/>
      <c r="X1919" s="76"/>
    </row>
    <row r="1920" ht="18.0" customHeight="1">
      <c r="A1920" s="76"/>
      <c r="B1920" s="76"/>
      <c r="C1920" s="76"/>
      <c r="D1920" s="76"/>
      <c r="E1920" s="76"/>
      <c r="F1920" s="76"/>
      <c r="G1920" s="76"/>
      <c r="H1920" s="76"/>
      <c r="I1920" s="76"/>
      <c r="J1920" s="76"/>
      <c r="K1920" s="76"/>
      <c r="L1920" s="76"/>
      <c r="M1920" s="76"/>
      <c r="N1920" s="76"/>
      <c r="O1920" s="76"/>
      <c r="P1920" s="76"/>
      <c r="Q1920" s="76"/>
      <c r="R1920" s="76"/>
      <c r="S1920" s="76"/>
      <c r="T1920" s="76"/>
      <c r="U1920" s="76" t="s">
        <v>5606</v>
      </c>
      <c r="V1920" s="76"/>
      <c r="W1920" s="76"/>
      <c r="X1920" s="76"/>
    </row>
    <row r="1921" ht="18.0" customHeight="1">
      <c r="A1921" s="76"/>
      <c r="B1921" s="76"/>
      <c r="C1921" s="76"/>
      <c r="D1921" s="76"/>
      <c r="E1921" s="76"/>
      <c r="F1921" s="76"/>
      <c r="G1921" s="76"/>
      <c r="H1921" s="76"/>
      <c r="I1921" s="76"/>
      <c r="J1921" s="76"/>
      <c r="K1921" s="76"/>
      <c r="L1921" s="76"/>
      <c r="M1921" s="76"/>
      <c r="N1921" s="76"/>
      <c r="O1921" s="76"/>
      <c r="P1921" s="76"/>
      <c r="Q1921" s="76"/>
      <c r="R1921" s="76"/>
      <c r="S1921" s="76"/>
      <c r="T1921" s="76"/>
      <c r="U1921" s="76" t="s">
        <v>5607</v>
      </c>
      <c r="V1921" s="76"/>
      <c r="W1921" s="76"/>
      <c r="X1921" s="76"/>
    </row>
    <row r="1922" ht="18.0" customHeight="1">
      <c r="A1922" s="76"/>
      <c r="B1922" s="76"/>
      <c r="C1922" s="76"/>
      <c r="D1922" s="76"/>
      <c r="E1922" s="76"/>
      <c r="F1922" s="76"/>
      <c r="G1922" s="76"/>
      <c r="H1922" s="76"/>
      <c r="I1922" s="76"/>
      <c r="J1922" s="76"/>
      <c r="K1922" s="76"/>
      <c r="L1922" s="76"/>
      <c r="M1922" s="76"/>
      <c r="N1922" s="76"/>
      <c r="O1922" s="76"/>
      <c r="P1922" s="76"/>
      <c r="Q1922" s="76"/>
      <c r="R1922" s="76"/>
      <c r="S1922" s="76"/>
      <c r="T1922" s="76"/>
      <c r="U1922" s="76" t="s">
        <v>5608</v>
      </c>
      <c r="V1922" s="76"/>
      <c r="W1922" s="76"/>
      <c r="X1922" s="76"/>
    </row>
    <row r="1923" ht="18.0" customHeight="1">
      <c r="A1923" s="76"/>
      <c r="B1923" s="76"/>
      <c r="C1923" s="76"/>
      <c r="D1923" s="76"/>
      <c r="E1923" s="76"/>
      <c r="F1923" s="76"/>
      <c r="G1923" s="76"/>
      <c r="H1923" s="76"/>
      <c r="I1923" s="76"/>
      <c r="J1923" s="76"/>
      <c r="K1923" s="76"/>
      <c r="L1923" s="76"/>
      <c r="M1923" s="76"/>
      <c r="N1923" s="76"/>
      <c r="O1923" s="76"/>
      <c r="P1923" s="76"/>
      <c r="Q1923" s="76"/>
      <c r="R1923" s="76"/>
      <c r="S1923" s="76"/>
      <c r="T1923" s="76"/>
      <c r="U1923" s="76" t="s">
        <v>5609</v>
      </c>
      <c r="V1923" s="76"/>
      <c r="W1923" s="76"/>
      <c r="X1923" s="76"/>
    </row>
    <row r="1924" ht="18.0" customHeight="1">
      <c r="A1924" s="76"/>
      <c r="B1924" s="76"/>
      <c r="C1924" s="76"/>
      <c r="D1924" s="76"/>
      <c r="E1924" s="76"/>
      <c r="F1924" s="76"/>
      <c r="G1924" s="76"/>
      <c r="H1924" s="76"/>
      <c r="I1924" s="76"/>
      <c r="J1924" s="76"/>
      <c r="K1924" s="76"/>
      <c r="L1924" s="76"/>
      <c r="M1924" s="76"/>
      <c r="N1924" s="76"/>
      <c r="O1924" s="76"/>
      <c r="P1924" s="76"/>
      <c r="Q1924" s="76"/>
      <c r="R1924" s="76"/>
      <c r="S1924" s="76"/>
      <c r="T1924" s="76"/>
      <c r="U1924" s="76" t="s">
        <v>5610</v>
      </c>
      <c r="V1924" s="76"/>
      <c r="W1924" s="76"/>
      <c r="X1924" s="76"/>
    </row>
    <row r="1925" ht="18.0" customHeight="1">
      <c r="A1925" s="76"/>
      <c r="B1925" s="76"/>
      <c r="C1925" s="76"/>
      <c r="D1925" s="76"/>
      <c r="E1925" s="76"/>
      <c r="F1925" s="76"/>
      <c r="G1925" s="76"/>
      <c r="H1925" s="76"/>
      <c r="I1925" s="76"/>
      <c r="J1925" s="76"/>
      <c r="K1925" s="76"/>
      <c r="L1925" s="76"/>
      <c r="M1925" s="76"/>
      <c r="N1925" s="76"/>
      <c r="O1925" s="76"/>
      <c r="P1925" s="76"/>
      <c r="Q1925" s="76"/>
      <c r="R1925" s="76"/>
      <c r="S1925" s="76"/>
      <c r="T1925" s="76"/>
      <c r="U1925" s="76" t="s">
        <v>5611</v>
      </c>
      <c r="V1925" s="76"/>
      <c r="W1925" s="76"/>
      <c r="X1925" s="76"/>
    </row>
    <row r="1926" ht="18.0" customHeight="1">
      <c r="A1926" s="76"/>
      <c r="B1926" s="76"/>
      <c r="C1926" s="76"/>
      <c r="D1926" s="76"/>
      <c r="E1926" s="76"/>
      <c r="F1926" s="76"/>
      <c r="G1926" s="76"/>
      <c r="H1926" s="76"/>
      <c r="I1926" s="76"/>
      <c r="J1926" s="76"/>
      <c r="K1926" s="76"/>
      <c r="L1926" s="76"/>
      <c r="M1926" s="76"/>
      <c r="N1926" s="76"/>
      <c r="O1926" s="76"/>
      <c r="P1926" s="76"/>
      <c r="Q1926" s="76"/>
      <c r="R1926" s="76"/>
      <c r="S1926" s="76"/>
      <c r="T1926" s="76"/>
      <c r="U1926" s="76" t="s">
        <v>5612</v>
      </c>
      <c r="V1926" s="76"/>
      <c r="W1926" s="76"/>
      <c r="X1926" s="76"/>
    </row>
    <row r="1927" ht="18.0" customHeight="1">
      <c r="A1927" s="76"/>
      <c r="B1927" s="76"/>
      <c r="C1927" s="76"/>
      <c r="D1927" s="76"/>
      <c r="E1927" s="76"/>
      <c r="F1927" s="76"/>
      <c r="G1927" s="76"/>
      <c r="H1927" s="76"/>
      <c r="I1927" s="76"/>
      <c r="J1927" s="76"/>
      <c r="K1927" s="76"/>
      <c r="L1927" s="76"/>
      <c r="M1927" s="76"/>
      <c r="N1927" s="76"/>
      <c r="O1927" s="76"/>
      <c r="P1927" s="76"/>
      <c r="Q1927" s="76"/>
      <c r="R1927" s="76"/>
      <c r="S1927" s="76"/>
      <c r="T1927" s="76"/>
      <c r="U1927" s="76" t="s">
        <v>5613</v>
      </c>
      <c r="V1927" s="76"/>
      <c r="W1927" s="76"/>
      <c r="X1927" s="76"/>
    </row>
    <row r="1928" ht="18.0" customHeight="1">
      <c r="A1928" s="76"/>
      <c r="B1928" s="76"/>
      <c r="C1928" s="76"/>
      <c r="D1928" s="76"/>
      <c r="E1928" s="76"/>
      <c r="F1928" s="76"/>
      <c r="G1928" s="76"/>
      <c r="H1928" s="76"/>
      <c r="I1928" s="76"/>
      <c r="J1928" s="76"/>
      <c r="K1928" s="76"/>
      <c r="L1928" s="76"/>
      <c r="M1928" s="76"/>
      <c r="N1928" s="76"/>
      <c r="O1928" s="76"/>
      <c r="P1928" s="76"/>
      <c r="Q1928" s="76"/>
      <c r="R1928" s="76"/>
      <c r="S1928" s="76"/>
      <c r="T1928" s="76"/>
      <c r="U1928" s="76" t="s">
        <v>5614</v>
      </c>
      <c r="V1928" s="76"/>
      <c r="W1928" s="76"/>
      <c r="X1928" s="76"/>
    </row>
    <row r="1929" ht="18.0" customHeight="1">
      <c r="A1929" s="76"/>
      <c r="B1929" s="76"/>
      <c r="C1929" s="76"/>
      <c r="D1929" s="76"/>
      <c r="E1929" s="76"/>
      <c r="F1929" s="76"/>
      <c r="G1929" s="76"/>
      <c r="H1929" s="76"/>
      <c r="I1929" s="76"/>
      <c r="J1929" s="76"/>
      <c r="K1929" s="76"/>
      <c r="L1929" s="76"/>
      <c r="M1929" s="76"/>
      <c r="N1929" s="76"/>
      <c r="O1929" s="76"/>
      <c r="P1929" s="76"/>
      <c r="Q1929" s="76"/>
      <c r="R1929" s="76"/>
      <c r="S1929" s="76"/>
      <c r="T1929" s="76"/>
      <c r="U1929" s="76" t="s">
        <v>5615</v>
      </c>
      <c r="V1929" s="76"/>
      <c r="W1929" s="76"/>
      <c r="X1929" s="76"/>
    </row>
    <row r="1930" ht="18.0" customHeight="1">
      <c r="A1930" s="76"/>
      <c r="B1930" s="76"/>
      <c r="C1930" s="76"/>
      <c r="D1930" s="76"/>
      <c r="E1930" s="76"/>
      <c r="F1930" s="76"/>
      <c r="G1930" s="76"/>
      <c r="H1930" s="76"/>
      <c r="I1930" s="76"/>
      <c r="J1930" s="76"/>
      <c r="K1930" s="76"/>
      <c r="L1930" s="76"/>
      <c r="M1930" s="76"/>
      <c r="N1930" s="76"/>
      <c r="O1930" s="76"/>
      <c r="P1930" s="76"/>
      <c r="Q1930" s="76"/>
      <c r="R1930" s="76"/>
      <c r="S1930" s="76"/>
      <c r="T1930" s="76"/>
      <c r="U1930" s="76" t="s">
        <v>5616</v>
      </c>
      <c r="V1930" s="76"/>
      <c r="W1930" s="76"/>
      <c r="X1930" s="76"/>
    </row>
    <row r="1931" ht="18.0" customHeight="1">
      <c r="A1931" s="76"/>
      <c r="B1931" s="76"/>
      <c r="C1931" s="76"/>
      <c r="D1931" s="76"/>
      <c r="E1931" s="76"/>
      <c r="F1931" s="76"/>
      <c r="G1931" s="76"/>
      <c r="H1931" s="76"/>
      <c r="I1931" s="76"/>
      <c r="J1931" s="76"/>
      <c r="K1931" s="76"/>
      <c r="L1931" s="76"/>
      <c r="M1931" s="76"/>
      <c r="N1931" s="76"/>
      <c r="O1931" s="76"/>
      <c r="P1931" s="76"/>
      <c r="Q1931" s="76"/>
      <c r="R1931" s="76"/>
      <c r="S1931" s="76"/>
      <c r="T1931" s="76"/>
      <c r="U1931" s="76" t="s">
        <v>5617</v>
      </c>
      <c r="V1931" s="76"/>
      <c r="W1931" s="76"/>
      <c r="X1931" s="76"/>
    </row>
    <row r="1932" ht="18.0" customHeight="1">
      <c r="A1932" s="76"/>
      <c r="B1932" s="76"/>
      <c r="C1932" s="76"/>
      <c r="D1932" s="76"/>
      <c r="E1932" s="76"/>
      <c r="F1932" s="76"/>
      <c r="G1932" s="76"/>
      <c r="H1932" s="76"/>
      <c r="I1932" s="76"/>
      <c r="J1932" s="76"/>
      <c r="K1932" s="76"/>
      <c r="L1932" s="76"/>
      <c r="M1932" s="76"/>
      <c r="N1932" s="76"/>
      <c r="O1932" s="76"/>
      <c r="P1932" s="76"/>
      <c r="Q1932" s="76"/>
      <c r="R1932" s="76"/>
      <c r="S1932" s="76"/>
      <c r="T1932" s="76"/>
      <c r="U1932" s="76" t="s">
        <v>5618</v>
      </c>
      <c r="V1932" s="76"/>
      <c r="W1932" s="76"/>
      <c r="X1932" s="76"/>
    </row>
    <row r="1933" ht="18.0" customHeight="1">
      <c r="A1933" s="76"/>
      <c r="B1933" s="76"/>
      <c r="C1933" s="76"/>
      <c r="D1933" s="76"/>
      <c r="E1933" s="76"/>
      <c r="F1933" s="76"/>
      <c r="G1933" s="76"/>
      <c r="H1933" s="76"/>
      <c r="I1933" s="76"/>
      <c r="J1933" s="76"/>
      <c r="K1933" s="76"/>
      <c r="L1933" s="76"/>
      <c r="M1933" s="76"/>
      <c r="N1933" s="76"/>
      <c r="O1933" s="76"/>
      <c r="P1933" s="76"/>
      <c r="Q1933" s="76"/>
      <c r="R1933" s="76"/>
      <c r="S1933" s="76"/>
      <c r="T1933" s="76"/>
      <c r="U1933" s="76" t="s">
        <v>5619</v>
      </c>
      <c r="V1933" s="76"/>
      <c r="W1933" s="76"/>
      <c r="X1933" s="76"/>
    </row>
    <row r="1934" ht="18.0" customHeight="1">
      <c r="A1934" s="76"/>
      <c r="B1934" s="76"/>
      <c r="C1934" s="76"/>
      <c r="D1934" s="76"/>
      <c r="E1934" s="76"/>
      <c r="F1934" s="76"/>
      <c r="G1934" s="76"/>
      <c r="H1934" s="76"/>
      <c r="I1934" s="76"/>
      <c r="J1934" s="76"/>
      <c r="K1934" s="76"/>
      <c r="L1934" s="76"/>
      <c r="M1934" s="76"/>
      <c r="N1934" s="76"/>
      <c r="O1934" s="76"/>
      <c r="P1934" s="76"/>
      <c r="Q1934" s="76"/>
      <c r="R1934" s="76"/>
      <c r="S1934" s="76"/>
      <c r="T1934" s="76"/>
      <c r="U1934" s="76" t="s">
        <v>5620</v>
      </c>
      <c r="V1934" s="76"/>
      <c r="W1934" s="76"/>
      <c r="X1934" s="76"/>
    </row>
    <row r="1935" ht="18.0" customHeight="1">
      <c r="A1935" s="76"/>
      <c r="B1935" s="76"/>
      <c r="C1935" s="76"/>
      <c r="D1935" s="76"/>
      <c r="E1935" s="76"/>
      <c r="F1935" s="76"/>
      <c r="G1935" s="76"/>
      <c r="H1935" s="76"/>
      <c r="I1935" s="76"/>
      <c r="J1935" s="76"/>
      <c r="K1935" s="76"/>
      <c r="L1935" s="76"/>
      <c r="M1935" s="76"/>
      <c r="N1935" s="76"/>
      <c r="O1935" s="76"/>
      <c r="P1935" s="76"/>
      <c r="Q1935" s="76"/>
      <c r="R1935" s="76"/>
      <c r="S1935" s="76"/>
      <c r="T1935" s="76"/>
      <c r="U1935" s="76" t="s">
        <v>5621</v>
      </c>
      <c r="V1935" s="76"/>
      <c r="W1935" s="76"/>
      <c r="X1935" s="76"/>
    </row>
    <row r="1936" ht="18.0" customHeight="1">
      <c r="A1936" s="76"/>
      <c r="B1936" s="76"/>
      <c r="C1936" s="76"/>
      <c r="D1936" s="76"/>
      <c r="E1936" s="76"/>
      <c r="F1936" s="76"/>
      <c r="G1936" s="76"/>
      <c r="H1936" s="76"/>
      <c r="I1936" s="76"/>
      <c r="J1936" s="76"/>
      <c r="K1936" s="76"/>
      <c r="L1936" s="76"/>
      <c r="M1936" s="76"/>
      <c r="N1936" s="76"/>
      <c r="O1936" s="76"/>
      <c r="P1936" s="76"/>
      <c r="Q1936" s="76"/>
      <c r="R1936" s="76"/>
      <c r="S1936" s="76"/>
      <c r="T1936" s="76"/>
      <c r="U1936" s="76" t="s">
        <v>5622</v>
      </c>
      <c r="V1936" s="76"/>
      <c r="W1936" s="76"/>
      <c r="X1936" s="76"/>
    </row>
    <row r="1937" ht="18.0" customHeight="1">
      <c r="A1937" s="76"/>
      <c r="B1937" s="76"/>
      <c r="C1937" s="76"/>
      <c r="D1937" s="76"/>
      <c r="E1937" s="76"/>
      <c r="F1937" s="76"/>
      <c r="G1937" s="76"/>
      <c r="H1937" s="76"/>
      <c r="I1937" s="76"/>
      <c r="J1937" s="76"/>
      <c r="K1937" s="76"/>
      <c r="L1937" s="76"/>
      <c r="M1937" s="76"/>
      <c r="N1937" s="76"/>
      <c r="O1937" s="76"/>
      <c r="P1937" s="76"/>
      <c r="Q1937" s="76"/>
      <c r="R1937" s="76"/>
      <c r="S1937" s="76"/>
      <c r="T1937" s="76"/>
      <c r="U1937" s="76" t="s">
        <v>5623</v>
      </c>
      <c r="V1937" s="76"/>
      <c r="W1937" s="76"/>
      <c r="X1937" s="76"/>
    </row>
    <row r="1938" ht="18.0" customHeight="1">
      <c r="A1938" s="76"/>
      <c r="B1938" s="76"/>
      <c r="C1938" s="76"/>
      <c r="D1938" s="76"/>
      <c r="E1938" s="76"/>
      <c r="F1938" s="76"/>
      <c r="G1938" s="76"/>
      <c r="H1938" s="76"/>
      <c r="I1938" s="76"/>
      <c r="J1938" s="76"/>
      <c r="K1938" s="76"/>
      <c r="L1938" s="76"/>
      <c r="M1938" s="76"/>
      <c r="N1938" s="76"/>
      <c r="O1938" s="76"/>
      <c r="P1938" s="76"/>
      <c r="Q1938" s="76"/>
      <c r="R1938" s="76"/>
      <c r="S1938" s="76"/>
      <c r="T1938" s="76"/>
      <c r="U1938" s="76" t="s">
        <v>5624</v>
      </c>
      <c r="V1938" s="76"/>
      <c r="W1938" s="76"/>
      <c r="X1938" s="76"/>
    </row>
    <row r="1939" ht="18.0" customHeight="1">
      <c r="A1939" s="76"/>
      <c r="B1939" s="76"/>
      <c r="C1939" s="76"/>
      <c r="D1939" s="76"/>
      <c r="E1939" s="76"/>
      <c r="F1939" s="76"/>
      <c r="G1939" s="76"/>
      <c r="H1939" s="76"/>
      <c r="I1939" s="76"/>
      <c r="J1939" s="76"/>
      <c r="K1939" s="76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 t="s">
        <v>5625</v>
      </c>
      <c r="V1939" s="76"/>
      <c r="W1939" s="76"/>
      <c r="X1939" s="76"/>
    </row>
    <row r="1940" ht="18.0" customHeight="1">
      <c r="A1940" s="76"/>
      <c r="B1940" s="76"/>
      <c r="C1940" s="76"/>
      <c r="D1940" s="76"/>
      <c r="E1940" s="76"/>
      <c r="F1940" s="76"/>
      <c r="G1940" s="76"/>
      <c r="H1940" s="76"/>
      <c r="I1940" s="76"/>
      <c r="J1940" s="76"/>
      <c r="K1940" s="76"/>
      <c r="L1940" s="76"/>
      <c r="M1940" s="76"/>
      <c r="N1940" s="76"/>
      <c r="O1940" s="76"/>
      <c r="P1940" s="76"/>
      <c r="Q1940" s="76"/>
      <c r="R1940" s="76"/>
      <c r="S1940" s="76"/>
      <c r="T1940" s="76"/>
      <c r="U1940" s="76" t="s">
        <v>5626</v>
      </c>
      <c r="V1940" s="76"/>
      <c r="W1940" s="76"/>
      <c r="X1940" s="76"/>
    </row>
    <row r="1941" ht="18.0" customHeight="1">
      <c r="A1941" s="76"/>
      <c r="B1941" s="76"/>
      <c r="C1941" s="76"/>
      <c r="D1941" s="76"/>
      <c r="E1941" s="76"/>
      <c r="F1941" s="76"/>
      <c r="G1941" s="76"/>
      <c r="H1941" s="76"/>
      <c r="I1941" s="76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 t="s">
        <v>5627</v>
      </c>
      <c r="V1941" s="76"/>
      <c r="W1941" s="76"/>
      <c r="X1941" s="76"/>
    </row>
    <row r="1942" ht="18.0" customHeight="1">
      <c r="A1942" s="76"/>
      <c r="B1942" s="76"/>
      <c r="C1942" s="76"/>
      <c r="D1942" s="76"/>
      <c r="E1942" s="76"/>
      <c r="F1942" s="76"/>
      <c r="G1942" s="76"/>
      <c r="H1942" s="76"/>
      <c r="I1942" s="76"/>
      <c r="J1942" s="76"/>
      <c r="K1942" s="76"/>
      <c r="L1942" s="76"/>
      <c r="M1942" s="76"/>
      <c r="N1942" s="76"/>
      <c r="O1942" s="76"/>
      <c r="P1942" s="76"/>
      <c r="Q1942" s="76"/>
      <c r="R1942" s="76"/>
      <c r="S1942" s="76"/>
      <c r="T1942" s="76"/>
      <c r="U1942" s="76" t="s">
        <v>5628</v>
      </c>
      <c r="V1942" s="76"/>
      <c r="W1942" s="76"/>
      <c r="X1942" s="76"/>
    </row>
    <row r="1943" ht="18.0" customHeight="1">
      <c r="A1943" s="76"/>
      <c r="B1943" s="76"/>
      <c r="C1943" s="76"/>
      <c r="D1943" s="76"/>
      <c r="E1943" s="76"/>
      <c r="F1943" s="76"/>
      <c r="G1943" s="76"/>
      <c r="H1943" s="76"/>
      <c r="I1943" s="76"/>
      <c r="J1943" s="76"/>
      <c r="K1943" s="76"/>
      <c r="L1943" s="76"/>
      <c r="M1943" s="76"/>
      <c r="N1943" s="76"/>
      <c r="O1943" s="76"/>
      <c r="P1943" s="76"/>
      <c r="Q1943" s="76"/>
      <c r="R1943" s="76"/>
      <c r="S1943" s="76"/>
      <c r="T1943" s="76"/>
      <c r="U1943" s="76" t="s">
        <v>5629</v>
      </c>
      <c r="V1943" s="76"/>
      <c r="W1943" s="76"/>
      <c r="X1943" s="76"/>
    </row>
    <row r="1944" ht="18.0" customHeight="1">
      <c r="A1944" s="76"/>
      <c r="B1944" s="76"/>
      <c r="C1944" s="76"/>
      <c r="D1944" s="76"/>
      <c r="E1944" s="76"/>
      <c r="F1944" s="76"/>
      <c r="G1944" s="76"/>
      <c r="H1944" s="76"/>
      <c r="I1944" s="76"/>
      <c r="J1944" s="76"/>
      <c r="K1944" s="76"/>
      <c r="L1944" s="76"/>
      <c r="M1944" s="76"/>
      <c r="N1944" s="76"/>
      <c r="O1944" s="76"/>
      <c r="P1944" s="76"/>
      <c r="Q1944" s="76"/>
      <c r="R1944" s="76"/>
      <c r="S1944" s="76"/>
      <c r="T1944" s="76"/>
      <c r="U1944" s="76" t="s">
        <v>5630</v>
      </c>
      <c r="V1944" s="76"/>
      <c r="W1944" s="76"/>
      <c r="X1944" s="76"/>
    </row>
    <row r="1945" ht="18.0" customHeight="1">
      <c r="A1945" s="76"/>
      <c r="B1945" s="76"/>
      <c r="C1945" s="76"/>
      <c r="D1945" s="76"/>
      <c r="E1945" s="76"/>
      <c r="F1945" s="76"/>
      <c r="G1945" s="76"/>
      <c r="H1945" s="76"/>
      <c r="I1945" s="76"/>
      <c r="J1945" s="76"/>
      <c r="K1945" s="76"/>
      <c r="L1945" s="76"/>
      <c r="M1945" s="76"/>
      <c r="N1945" s="76"/>
      <c r="O1945" s="76"/>
      <c r="P1945" s="76"/>
      <c r="Q1945" s="76"/>
      <c r="R1945" s="76"/>
      <c r="S1945" s="76"/>
      <c r="T1945" s="76"/>
      <c r="U1945" s="76" t="s">
        <v>5631</v>
      </c>
      <c r="V1945" s="76"/>
      <c r="W1945" s="76"/>
      <c r="X1945" s="76"/>
    </row>
    <row r="1946" ht="18.0" customHeight="1">
      <c r="A1946" s="76"/>
      <c r="B1946" s="76"/>
      <c r="C1946" s="76"/>
      <c r="D1946" s="76"/>
      <c r="E1946" s="76"/>
      <c r="F1946" s="76"/>
      <c r="G1946" s="76"/>
      <c r="H1946" s="76"/>
      <c r="I1946" s="76"/>
      <c r="J1946" s="76"/>
      <c r="K1946" s="76"/>
      <c r="L1946" s="76"/>
      <c r="M1946" s="76"/>
      <c r="N1946" s="76"/>
      <c r="O1946" s="76"/>
      <c r="P1946" s="76"/>
      <c r="Q1946" s="76"/>
      <c r="R1946" s="76"/>
      <c r="S1946" s="76"/>
      <c r="T1946" s="76"/>
      <c r="U1946" s="76" t="s">
        <v>5632</v>
      </c>
      <c r="V1946" s="76"/>
      <c r="W1946" s="76"/>
      <c r="X1946" s="76"/>
    </row>
    <row r="1947" ht="18.0" customHeight="1">
      <c r="A1947" s="76"/>
      <c r="B1947" s="76"/>
      <c r="C1947" s="76"/>
      <c r="D1947" s="76"/>
      <c r="E1947" s="76"/>
      <c r="F1947" s="76"/>
      <c r="G1947" s="76"/>
      <c r="H1947" s="76"/>
      <c r="I1947" s="76"/>
      <c r="J1947" s="76"/>
      <c r="K1947" s="76"/>
      <c r="L1947" s="76"/>
      <c r="M1947" s="76"/>
      <c r="N1947" s="76"/>
      <c r="O1947" s="76"/>
      <c r="P1947" s="76"/>
      <c r="Q1947" s="76"/>
      <c r="R1947" s="76"/>
      <c r="S1947" s="76"/>
      <c r="T1947" s="76"/>
      <c r="U1947" s="76" t="s">
        <v>5633</v>
      </c>
      <c r="V1947" s="76"/>
      <c r="W1947" s="76"/>
      <c r="X1947" s="76"/>
    </row>
    <row r="1948" ht="18.0" customHeight="1">
      <c r="A1948" s="76"/>
      <c r="B1948" s="76"/>
      <c r="C1948" s="76"/>
      <c r="D1948" s="76"/>
      <c r="E1948" s="76"/>
      <c r="F1948" s="76"/>
      <c r="G1948" s="76"/>
      <c r="H1948" s="76"/>
      <c r="I1948" s="76"/>
      <c r="J1948" s="76"/>
      <c r="K1948" s="76"/>
      <c r="L1948" s="76"/>
      <c r="M1948" s="76"/>
      <c r="N1948" s="76"/>
      <c r="O1948" s="76"/>
      <c r="P1948" s="76"/>
      <c r="Q1948" s="76"/>
      <c r="R1948" s="76"/>
      <c r="S1948" s="76"/>
      <c r="T1948" s="76"/>
      <c r="U1948" s="76" t="s">
        <v>5634</v>
      </c>
      <c r="V1948" s="76"/>
      <c r="W1948" s="76"/>
      <c r="X1948" s="76"/>
    </row>
    <row r="1949" ht="18.0" customHeight="1">
      <c r="A1949" s="76"/>
      <c r="B1949" s="76"/>
      <c r="C1949" s="76"/>
      <c r="D1949" s="76"/>
      <c r="E1949" s="76"/>
      <c r="F1949" s="76"/>
      <c r="G1949" s="76"/>
      <c r="H1949" s="76"/>
      <c r="I1949" s="76"/>
      <c r="J1949" s="76"/>
      <c r="K1949" s="76"/>
      <c r="L1949" s="76"/>
      <c r="M1949" s="76"/>
      <c r="N1949" s="76"/>
      <c r="O1949" s="76"/>
      <c r="P1949" s="76"/>
      <c r="Q1949" s="76"/>
      <c r="R1949" s="76"/>
      <c r="S1949" s="76"/>
      <c r="T1949" s="76"/>
      <c r="U1949" s="76" t="s">
        <v>5635</v>
      </c>
      <c r="V1949" s="76"/>
      <c r="W1949" s="76"/>
      <c r="X1949" s="76"/>
    </row>
    <row r="1950" ht="18.0" customHeight="1">
      <c r="A1950" s="76"/>
      <c r="B1950" s="76"/>
      <c r="C1950" s="76"/>
      <c r="D1950" s="76"/>
      <c r="E1950" s="76"/>
      <c r="F1950" s="76"/>
      <c r="G1950" s="76"/>
      <c r="H1950" s="76"/>
      <c r="I1950" s="76"/>
      <c r="J1950" s="76"/>
      <c r="K1950" s="76"/>
      <c r="L1950" s="76"/>
      <c r="M1950" s="76"/>
      <c r="N1950" s="76"/>
      <c r="O1950" s="76"/>
      <c r="P1950" s="76"/>
      <c r="Q1950" s="76"/>
      <c r="R1950" s="76"/>
      <c r="S1950" s="76"/>
      <c r="T1950" s="76"/>
      <c r="U1950" s="76" t="s">
        <v>5636</v>
      </c>
      <c r="V1950" s="76"/>
      <c r="W1950" s="76"/>
      <c r="X1950" s="76"/>
    </row>
    <row r="1951" ht="18.0" customHeight="1">
      <c r="A1951" s="76"/>
      <c r="B1951" s="76"/>
      <c r="C1951" s="76"/>
      <c r="D1951" s="76"/>
      <c r="E1951" s="76"/>
      <c r="F1951" s="76"/>
      <c r="G1951" s="76"/>
      <c r="H1951" s="76"/>
      <c r="I1951" s="76"/>
      <c r="J1951" s="76"/>
      <c r="K1951" s="76"/>
      <c r="L1951" s="76"/>
      <c r="M1951" s="76"/>
      <c r="N1951" s="76"/>
      <c r="O1951" s="76"/>
      <c r="P1951" s="76"/>
      <c r="Q1951" s="76"/>
      <c r="R1951" s="76"/>
      <c r="S1951" s="76"/>
      <c r="T1951" s="76"/>
      <c r="U1951" s="76" t="s">
        <v>5637</v>
      </c>
      <c r="V1951" s="76"/>
      <c r="W1951" s="76"/>
      <c r="X1951" s="76"/>
    </row>
    <row r="1952" ht="18.0" customHeight="1">
      <c r="A1952" s="76"/>
      <c r="B1952" s="76"/>
      <c r="C1952" s="76"/>
      <c r="D1952" s="76"/>
      <c r="E1952" s="76"/>
      <c r="F1952" s="76"/>
      <c r="G1952" s="76"/>
      <c r="H1952" s="76"/>
      <c r="I1952" s="76"/>
      <c r="J1952" s="76"/>
      <c r="K1952" s="76"/>
      <c r="L1952" s="76"/>
      <c r="M1952" s="76"/>
      <c r="N1952" s="76"/>
      <c r="O1952" s="76"/>
      <c r="P1952" s="76"/>
      <c r="Q1952" s="76"/>
      <c r="R1952" s="76"/>
      <c r="S1952" s="76"/>
      <c r="T1952" s="76"/>
      <c r="U1952" s="76" t="s">
        <v>5638</v>
      </c>
      <c r="V1952" s="76"/>
      <c r="W1952" s="76"/>
      <c r="X1952" s="76"/>
    </row>
    <row r="1953" ht="18.0" customHeight="1">
      <c r="A1953" s="76"/>
      <c r="B1953" s="76"/>
      <c r="C1953" s="76"/>
      <c r="D1953" s="76"/>
      <c r="E1953" s="76"/>
      <c r="F1953" s="76"/>
      <c r="G1953" s="76"/>
      <c r="H1953" s="76"/>
      <c r="I1953" s="76"/>
      <c r="J1953" s="76"/>
      <c r="K1953" s="76"/>
      <c r="L1953" s="76"/>
      <c r="M1953" s="76"/>
      <c r="N1953" s="76"/>
      <c r="O1953" s="76"/>
      <c r="P1953" s="76"/>
      <c r="Q1953" s="76"/>
      <c r="R1953" s="76"/>
      <c r="S1953" s="76"/>
      <c r="T1953" s="76"/>
      <c r="U1953" s="76" t="s">
        <v>5639</v>
      </c>
      <c r="V1953" s="76"/>
      <c r="W1953" s="76"/>
      <c r="X1953" s="76"/>
    </row>
    <row r="1954" ht="18.0" customHeight="1">
      <c r="A1954" s="76"/>
      <c r="B1954" s="76"/>
      <c r="C1954" s="76"/>
      <c r="D1954" s="76"/>
      <c r="E1954" s="76"/>
      <c r="F1954" s="76"/>
      <c r="G1954" s="76"/>
      <c r="H1954" s="76"/>
      <c r="I1954" s="76"/>
      <c r="J1954" s="76"/>
      <c r="K1954" s="76"/>
      <c r="L1954" s="76"/>
      <c r="M1954" s="76"/>
      <c r="N1954" s="76"/>
      <c r="O1954" s="76"/>
      <c r="P1954" s="76"/>
      <c r="Q1954" s="76"/>
      <c r="R1954" s="76"/>
      <c r="S1954" s="76"/>
      <c r="T1954" s="76"/>
      <c r="U1954" s="76" t="s">
        <v>5640</v>
      </c>
      <c r="V1954" s="76"/>
      <c r="W1954" s="76"/>
      <c r="X1954" s="76"/>
    </row>
    <row r="1955" ht="18.0" customHeight="1">
      <c r="A1955" s="76"/>
      <c r="B1955" s="76"/>
      <c r="C1955" s="76"/>
      <c r="D1955" s="76"/>
      <c r="E1955" s="76"/>
      <c r="F1955" s="76"/>
      <c r="G1955" s="76"/>
      <c r="H1955" s="76"/>
      <c r="I1955" s="76"/>
      <c r="J1955" s="76"/>
      <c r="K1955" s="76"/>
      <c r="L1955" s="76"/>
      <c r="M1955" s="76"/>
      <c r="N1955" s="76"/>
      <c r="O1955" s="76"/>
      <c r="P1955" s="76"/>
      <c r="Q1955" s="76"/>
      <c r="R1955" s="76"/>
      <c r="S1955" s="76"/>
      <c r="T1955" s="76"/>
      <c r="U1955" s="76" t="s">
        <v>5641</v>
      </c>
      <c r="V1955" s="76"/>
      <c r="W1955" s="76"/>
      <c r="X1955" s="76"/>
    </row>
    <row r="1956" ht="18.0" customHeight="1">
      <c r="A1956" s="76"/>
      <c r="B1956" s="76"/>
      <c r="C1956" s="76"/>
      <c r="D1956" s="76"/>
      <c r="E1956" s="76"/>
      <c r="F1956" s="76"/>
      <c r="G1956" s="76"/>
      <c r="H1956" s="76"/>
      <c r="I1956" s="76"/>
      <c r="J1956" s="76"/>
      <c r="K1956" s="76"/>
      <c r="L1956" s="76"/>
      <c r="M1956" s="76"/>
      <c r="N1956" s="76"/>
      <c r="O1956" s="76"/>
      <c r="P1956" s="76"/>
      <c r="Q1956" s="76"/>
      <c r="R1956" s="76"/>
      <c r="S1956" s="76"/>
      <c r="T1956" s="76"/>
      <c r="U1956" s="76" t="s">
        <v>5642</v>
      </c>
      <c r="V1956" s="76"/>
      <c r="W1956" s="76"/>
      <c r="X1956" s="76"/>
    </row>
    <row r="1957" ht="18.0" customHeight="1">
      <c r="A1957" s="76"/>
      <c r="B1957" s="76"/>
      <c r="C1957" s="76"/>
      <c r="D1957" s="76"/>
      <c r="E1957" s="76"/>
      <c r="F1957" s="76"/>
      <c r="G1957" s="76"/>
      <c r="H1957" s="76"/>
      <c r="I1957" s="76"/>
      <c r="J1957" s="76"/>
      <c r="K1957" s="76"/>
      <c r="L1957" s="76"/>
      <c r="M1957" s="76"/>
      <c r="N1957" s="76"/>
      <c r="O1957" s="76"/>
      <c r="P1957" s="76"/>
      <c r="Q1957" s="76"/>
      <c r="R1957" s="76"/>
      <c r="S1957" s="76"/>
      <c r="T1957" s="76"/>
      <c r="U1957" s="76" t="s">
        <v>5643</v>
      </c>
      <c r="V1957" s="76"/>
      <c r="W1957" s="76"/>
      <c r="X1957" s="76"/>
    </row>
    <row r="1958" ht="18.0" customHeight="1">
      <c r="A1958" s="76"/>
      <c r="B1958" s="76"/>
      <c r="C1958" s="76"/>
      <c r="D1958" s="76"/>
      <c r="E1958" s="76"/>
      <c r="F1958" s="76"/>
      <c r="G1958" s="76"/>
      <c r="H1958" s="76"/>
      <c r="I1958" s="76"/>
      <c r="J1958" s="76"/>
      <c r="K1958" s="76"/>
      <c r="L1958" s="76"/>
      <c r="M1958" s="76"/>
      <c r="N1958" s="76"/>
      <c r="O1958" s="76"/>
      <c r="P1958" s="76"/>
      <c r="Q1958" s="76"/>
      <c r="R1958" s="76"/>
      <c r="S1958" s="76"/>
      <c r="T1958" s="76"/>
      <c r="U1958" s="76" t="s">
        <v>5644</v>
      </c>
      <c r="V1958" s="76"/>
      <c r="W1958" s="76"/>
      <c r="X1958" s="76"/>
    </row>
    <row r="1959" ht="18.0" customHeight="1">
      <c r="A1959" s="76"/>
      <c r="B1959" s="76"/>
      <c r="C1959" s="76"/>
      <c r="D1959" s="76"/>
      <c r="E1959" s="76"/>
      <c r="F1959" s="76"/>
      <c r="G1959" s="76"/>
      <c r="H1959" s="76"/>
      <c r="I1959" s="76"/>
      <c r="J1959" s="76"/>
      <c r="K1959" s="76"/>
      <c r="L1959" s="76"/>
      <c r="M1959" s="76"/>
      <c r="N1959" s="76"/>
      <c r="O1959" s="76"/>
      <c r="P1959" s="76"/>
      <c r="Q1959" s="76"/>
      <c r="R1959" s="76"/>
      <c r="S1959" s="76"/>
      <c r="T1959" s="76"/>
      <c r="U1959" s="76" t="s">
        <v>5645</v>
      </c>
      <c r="V1959" s="76"/>
      <c r="W1959" s="76"/>
      <c r="X1959" s="76"/>
    </row>
    <row r="1960" ht="18.0" customHeight="1">
      <c r="A1960" s="76"/>
      <c r="B1960" s="76"/>
      <c r="C1960" s="76"/>
      <c r="D1960" s="76"/>
      <c r="E1960" s="76"/>
      <c r="F1960" s="76"/>
      <c r="G1960" s="76"/>
      <c r="H1960" s="76"/>
      <c r="I1960" s="76"/>
      <c r="J1960" s="76"/>
      <c r="K1960" s="76"/>
      <c r="L1960" s="76"/>
      <c r="M1960" s="76"/>
      <c r="N1960" s="76"/>
      <c r="O1960" s="76"/>
      <c r="P1960" s="76"/>
      <c r="Q1960" s="76"/>
      <c r="R1960" s="76"/>
      <c r="S1960" s="76"/>
      <c r="T1960" s="76"/>
      <c r="U1960" s="76" t="s">
        <v>5646</v>
      </c>
      <c r="V1960" s="76"/>
      <c r="W1960" s="76"/>
      <c r="X1960" s="76"/>
    </row>
    <row r="1961" ht="18.0" customHeight="1">
      <c r="A1961" s="76"/>
      <c r="B1961" s="76"/>
      <c r="C1961" s="76"/>
      <c r="D1961" s="76"/>
      <c r="E1961" s="76"/>
      <c r="F1961" s="76"/>
      <c r="G1961" s="76"/>
      <c r="H1961" s="76"/>
      <c r="I1961" s="76"/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 t="s">
        <v>5647</v>
      </c>
      <c r="V1961" s="76"/>
      <c r="W1961" s="76"/>
      <c r="X1961" s="76"/>
    </row>
    <row r="1962" ht="18.0" customHeight="1">
      <c r="A1962" s="76"/>
      <c r="B1962" s="76"/>
      <c r="C1962" s="76"/>
      <c r="D1962" s="76"/>
      <c r="E1962" s="76"/>
      <c r="F1962" s="76"/>
      <c r="G1962" s="76"/>
      <c r="H1962" s="76"/>
      <c r="I1962" s="76"/>
      <c r="J1962" s="76"/>
      <c r="K1962" s="76"/>
      <c r="L1962" s="76"/>
      <c r="M1962" s="76"/>
      <c r="N1962" s="76"/>
      <c r="O1962" s="76"/>
      <c r="P1962" s="76"/>
      <c r="Q1962" s="76"/>
      <c r="R1962" s="76"/>
      <c r="S1962" s="76"/>
      <c r="T1962" s="76"/>
      <c r="U1962" s="76" t="s">
        <v>5648</v>
      </c>
      <c r="V1962" s="76"/>
      <c r="W1962" s="76"/>
      <c r="X1962" s="76"/>
    </row>
    <row r="1963" ht="18.0" customHeight="1">
      <c r="A1963" s="76"/>
      <c r="B1963" s="76"/>
      <c r="C1963" s="76"/>
      <c r="D1963" s="76"/>
      <c r="E1963" s="76"/>
      <c r="F1963" s="76"/>
      <c r="G1963" s="76"/>
      <c r="H1963" s="76"/>
      <c r="I1963" s="76"/>
      <c r="J1963" s="76"/>
      <c r="K1963" s="76"/>
      <c r="L1963" s="76"/>
      <c r="M1963" s="76"/>
      <c r="N1963" s="76"/>
      <c r="O1963" s="76"/>
      <c r="P1963" s="76"/>
      <c r="Q1963" s="76"/>
      <c r="R1963" s="76"/>
      <c r="S1963" s="76"/>
      <c r="T1963" s="76"/>
      <c r="U1963" s="76" t="s">
        <v>5649</v>
      </c>
      <c r="V1963" s="76"/>
      <c r="W1963" s="76"/>
      <c r="X1963" s="76"/>
    </row>
    <row r="1964" ht="18.0" customHeight="1">
      <c r="A1964" s="76"/>
      <c r="B1964" s="76"/>
      <c r="C1964" s="76"/>
      <c r="D1964" s="76"/>
      <c r="E1964" s="76"/>
      <c r="F1964" s="76"/>
      <c r="G1964" s="76"/>
      <c r="H1964" s="76"/>
      <c r="I1964" s="76"/>
      <c r="J1964" s="76"/>
      <c r="K1964" s="76"/>
      <c r="L1964" s="76"/>
      <c r="M1964" s="76"/>
      <c r="N1964" s="76"/>
      <c r="O1964" s="76"/>
      <c r="P1964" s="76"/>
      <c r="Q1964" s="76"/>
      <c r="R1964" s="76"/>
      <c r="S1964" s="76"/>
      <c r="T1964" s="76"/>
      <c r="U1964" s="76" t="s">
        <v>5650</v>
      </c>
      <c r="V1964" s="76"/>
      <c r="W1964" s="76"/>
      <c r="X1964" s="76"/>
    </row>
    <row r="1965" ht="18.0" customHeight="1">
      <c r="A1965" s="76"/>
      <c r="B1965" s="76"/>
      <c r="C1965" s="76"/>
      <c r="D1965" s="76"/>
      <c r="E1965" s="76"/>
      <c r="F1965" s="76"/>
      <c r="G1965" s="76"/>
      <c r="H1965" s="76"/>
      <c r="I1965" s="76"/>
      <c r="J1965" s="76"/>
      <c r="K1965" s="76"/>
      <c r="L1965" s="76"/>
      <c r="M1965" s="76"/>
      <c r="N1965" s="76"/>
      <c r="O1965" s="76"/>
      <c r="P1965" s="76"/>
      <c r="Q1965" s="76"/>
      <c r="R1965" s="76"/>
      <c r="S1965" s="76"/>
      <c r="T1965" s="76"/>
      <c r="U1965" s="76" t="s">
        <v>5651</v>
      </c>
      <c r="V1965" s="76"/>
      <c r="W1965" s="76"/>
      <c r="X1965" s="76"/>
    </row>
    <row r="1966" ht="18.0" customHeight="1">
      <c r="A1966" s="76"/>
      <c r="B1966" s="76"/>
      <c r="C1966" s="76"/>
      <c r="D1966" s="76"/>
      <c r="E1966" s="76"/>
      <c r="F1966" s="76"/>
      <c r="G1966" s="76"/>
      <c r="H1966" s="76"/>
      <c r="I1966" s="76"/>
      <c r="J1966" s="76"/>
      <c r="K1966" s="76"/>
      <c r="L1966" s="76"/>
      <c r="M1966" s="76"/>
      <c r="N1966" s="76"/>
      <c r="O1966" s="76"/>
      <c r="P1966" s="76"/>
      <c r="Q1966" s="76"/>
      <c r="R1966" s="76"/>
      <c r="S1966" s="76"/>
      <c r="T1966" s="76"/>
      <c r="U1966" s="76" t="s">
        <v>5652</v>
      </c>
      <c r="V1966" s="76"/>
      <c r="W1966" s="76"/>
      <c r="X1966" s="76"/>
    </row>
    <row r="1967" ht="18.0" customHeight="1">
      <c r="A1967" s="76"/>
      <c r="B1967" s="76"/>
      <c r="C1967" s="76"/>
      <c r="D1967" s="76"/>
      <c r="E1967" s="76"/>
      <c r="F1967" s="76"/>
      <c r="G1967" s="76"/>
      <c r="H1967" s="76"/>
      <c r="I1967" s="76"/>
      <c r="J1967" s="76"/>
      <c r="K1967" s="76"/>
      <c r="L1967" s="76"/>
      <c r="M1967" s="76"/>
      <c r="N1967" s="76"/>
      <c r="O1967" s="76"/>
      <c r="P1967" s="76"/>
      <c r="Q1967" s="76"/>
      <c r="R1967" s="76"/>
      <c r="S1967" s="76"/>
      <c r="T1967" s="76"/>
      <c r="U1967" s="76" t="s">
        <v>5653</v>
      </c>
      <c r="V1967" s="76"/>
      <c r="W1967" s="76"/>
      <c r="X1967" s="76"/>
    </row>
    <row r="1968" ht="18.0" customHeight="1">
      <c r="A1968" s="76"/>
      <c r="B1968" s="76"/>
      <c r="C1968" s="76"/>
      <c r="D1968" s="76"/>
      <c r="E1968" s="76"/>
      <c r="F1968" s="76"/>
      <c r="G1968" s="76"/>
      <c r="H1968" s="76"/>
      <c r="I1968" s="76"/>
      <c r="J1968" s="76"/>
      <c r="K1968" s="76"/>
      <c r="L1968" s="76"/>
      <c r="M1968" s="76"/>
      <c r="N1968" s="76"/>
      <c r="O1968" s="76"/>
      <c r="P1968" s="76"/>
      <c r="Q1968" s="76"/>
      <c r="R1968" s="76"/>
      <c r="S1968" s="76"/>
      <c r="T1968" s="76"/>
      <c r="U1968" s="76" t="s">
        <v>5654</v>
      </c>
      <c r="V1968" s="76"/>
      <c r="W1968" s="76"/>
      <c r="X1968" s="76"/>
    </row>
    <row r="1969" ht="18.0" customHeight="1">
      <c r="A1969" s="76"/>
      <c r="B1969" s="76"/>
      <c r="C1969" s="76"/>
      <c r="D1969" s="76"/>
      <c r="E1969" s="76"/>
      <c r="F1969" s="76"/>
      <c r="G1969" s="76"/>
      <c r="H1969" s="76"/>
      <c r="I1969" s="76"/>
      <c r="J1969" s="76"/>
      <c r="K1969" s="76"/>
      <c r="L1969" s="76"/>
      <c r="M1969" s="76"/>
      <c r="N1969" s="76"/>
      <c r="O1969" s="76"/>
      <c r="P1969" s="76"/>
      <c r="Q1969" s="76"/>
      <c r="R1969" s="76"/>
      <c r="S1969" s="76"/>
      <c r="T1969" s="76"/>
      <c r="U1969" s="76" t="s">
        <v>5655</v>
      </c>
      <c r="V1969" s="76"/>
      <c r="W1969" s="76"/>
      <c r="X1969" s="76"/>
    </row>
    <row r="1970" ht="18.0" customHeight="1">
      <c r="A1970" s="76"/>
      <c r="B1970" s="76"/>
      <c r="C1970" s="76"/>
      <c r="D1970" s="76"/>
      <c r="E1970" s="76"/>
      <c r="F1970" s="76"/>
      <c r="G1970" s="76"/>
      <c r="H1970" s="76"/>
      <c r="I1970" s="76"/>
      <c r="J1970" s="76"/>
      <c r="K1970" s="76"/>
      <c r="L1970" s="76"/>
      <c r="M1970" s="76"/>
      <c r="N1970" s="76"/>
      <c r="O1970" s="76"/>
      <c r="P1970" s="76"/>
      <c r="Q1970" s="76"/>
      <c r="R1970" s="76"/>
      <c r="S1970" s="76"/>
      <c r="T1970" s="76"/>
      <c r="U1970" s="76" t="s">
        <v>5656</v>
      </c>
      <c r="V1970" s="76"/>
      <c r="W1970" s="76"/>
      <c r="X1970" s="76"/>
    </row>
    <row r="1971" ht="18.0" customHeight="1">
      <c r="A1971" s="76"/>
      <c r="B1971" s="76"/>
      <c r="C1971" s="76"/>
      <c r="D1971" s="76"/>
      <c r="E1971" s="76"/>
      <c r="F1971" s="76"/>
      <c r="G1971" s="76"/>
      <c r="H1971" s="76"/>
      <c r="I1971" s="76"/>
      <c r="J1971" s="76"/>
      <c r="K1971" s="76"/>
      <c r="L1971" s="76"/>
      <c r="M1971" s="76"/>
      <c r="N1971" s="76"/>
      <c r="O1971" s="76"/>
      <c r="P1971" s="76"/>
      <c r="Q1971" s="76"/>
      <c r="R1971" s="76"/>
      <c r="S1971" s="76"/>
      <c r="T1971" s="76"/>
      <c r="U1971" s="76" t="s">
        <v>5657</v>
      </c>
      <c r="V1971" s="76"/>
      <c r="W1971" s="76"/>
      <c r="X1971" s="76"/>
    </row>
    <row r="1972" ht="18.0" customHeight="1">
      <c r="A1972" s="76"/>
      <c r="B1972" s="76"/>
      <c r="C1972" s="76"/>
      <c r="D1972" s="76"/>
      <c r="E1972" s="76"/>
      <c r="F1972" s="76"/>
      <c r="G1972" s="76"/>
      <c r="H1972" s="76"/>
      <c r="I1972" s="76"/>
      <c r="J1972" s="76"/>
      <c r="K1972" s="76"/>
      <c r="L1972" s="76"/>
      <c r="M1972" s="76"/>
      <c r="N1972" s="76"/>
      <c r="O1972" s="76"/>
      <c r="P1972" s="76"/>
      <c r="Q1972" s="76"/>
      <c r="R1972" s="76"/>
      <c r="S1972" s="76"/>
      <c r="T1972" s="76"/>
      <c r="U1972" s="76" t="s">
        <v>5658</v>
      </c>
      <c r="V1972" s="76"/>
      <c r="W1972" s="76"/>
      <c r="X1972" s="76"/>
    </row>
    <row r="1973" ht="18.0" customHeight="1">
      <c r="A1973" s="76"/>
      <c r="B1973" s="76"/>
      <c r="C1973" s="76"/>
      <c r="D1973" s="76"/>
      <c r="E1973" s="76"/>
      <c r="F1973" s="76"/>
      <c r="G1973" s="76"/>
      <c r="H1973" s="76"/>
      <c r="I1973" s="76"/>
      <c r="J1973" s="76"/>
      <c r="K1973" s="76"/>
      <c r="L1973" s="76"/>
      <c r="M1973" s="76"/>
      <c r="N1973" s="76"/>
      <c r="O1973" s="76"/>
      <c r="P1973" s="76"/>
      <c r="Q1973" s="76"/>
      <c r="R1973" s="76"/>
      <c r="S1973" s="76"/>
      <c r="T1973" s="76"/>
      <c r="U1973" s="76" t="s">
        <v>5659</v>
      </c>
      <c r="V1973" s="76"/>
      <c r="W1973" s="76"/>
      <c r="X1973" s="76"/>
    </row>
    <row r="1974" ht="18.0" customHeight="1">
      <c r="A1974" s="76"/>
      <c r="B1974" s="76"/>
      <c r="C1974" s="76"/>
      <c r="D1974" s="76"/>
      <c r="E1974" s="76"/>
      <c r="F1974" s="76"/>
      <c r="G1974" s="76"/>
      <c r="H1974" s="76"/>
      <c r="I1974" s="76"/>
      <c r="J1974" s="76"/>
      <c r="K1974" s="76"/>
      <c r="L1974" s="76"/>
      <c r="M1974" s="76"/>
      <c r="N1974" s="76"/>
      <c r="O1974" s="76"/>
      <c r="P1974" s="76"/>
      <c r="Q1974" s="76"/>
      <c r="R1974" s="76"/>
      <c r="S1974" s="76"/>
      <c r="T1974" s="76"/>
      <c r="U1974" s="76" t="s">
        <v>5660</v>
      </c>
      <c r="V1974" s="76"/>
      <c r="W1974" s="76"/>
      <c r="X1974" s="76"/>
    </row>
    <row r="1975" ht="18.0" customHeight="1">
      <c r="A1975" s="76"/>
      <c r="B1975" s="76"/>
      <c r="C1975" s="76"/>
      <c r="D1975" s="76"/>
      <c r="E1975" s="76"/>
      <c r="F1975" s="76"/>
      <c r="G1975" s="76"/>
      <c r="H1975" s="76"/>
      <c r="I1975" s="76"/>
      <c r="J1975" s="76"/>
      <c r="K1975" s="76"/>
      <c r="L1975" s="76"/>
      <c r="M1975" s="76"/>
      <c r="N1975" s="76"/>
      <c r="O1975" s="76"/>
      <c r="P1975" s="76"/>
      <c r="Q1975" s="76"/>
      <c r="R1975" s="76"/>
      <c r="S1975" s="76"/>
      <c r="T1975" s="76"/>
      <c r="U1975" s="76" t="s">
        <v>5661</v>
      </c>
      <c r="V1975" s="76"/>
      <c r="W1975" s="76"/>
      <c r="X1975" s="76"/>
    </row>
    <row r="1976" ht="18.0" customHeight="1">
      <c r="A1976" s="76"/>
      <c r="B1976" s="76"/>
      <c r="C1976" s="76"/>
      <c r="D1976" s="76"/>
      <c r="E1976" s="76"/>
      <c r="F1976" s="76"/>
      <c r="G1976" s="76"/>
      <c r="H1976" s="76"/>
      <c r="I1976" s="76"/>
      <c r="J1976" s="76"/>
      <c r="K1976" s="76"/>
      <c r="L1976" s="76"/>
      <c r="M1976" s="76"/>
      <c r="N1976" s="76"/>
      <c r="O1976" s="76"/>
      <c r="P1976" s="76"/>
      <c r="Q1976" s="76"/>
      <c r="R1976" s="76"/>
      <c r="S1976" s="76"/>
      <c r="T1976" s="76"/>
      <c r="U1976" s="76" t="s">
        <v>5662</v>
      </c>
      <c r="V1976" s="76"/>
      <c r="W1976" s="76"/>
      <c r="X1976" s="76"/>
    </row>
    <row r="1977" ht="18.0" customHeight="1">
      <c r="A1977" s="76"/>
      <c r="B1977" s="76"/>
      <c r="C1977" s="76"/>
      <c r="D1977" s="76"/>
      <c r="E1977" s="76"/>
      <c r="F1977" s="76"/>
      <c r="G1977" s="76"/>
      <c r="H1977" s="76"/>
      <c r="I1977" s="76"/>
      <c r="J1977" s="76"/>
      <c r="K1977" s="76"/>
      <c r="L1977" s="76"/>
      <c r="M1977" s="76"/>
      <c r="N1977" s="76"/>
      <c r="O1977" s="76"/>
      <c r="P1977" s="76"/>
      <c r="Q1977" s="76"/>
      <c r="R1977" s="76"/>
      <c r="S1977" s="76"/>
      <c r="T1977" s="76"/>
      <c r="U1977" s="76" t="s">
        <v>5663</v>
      </c>
      <c r="V1977" s="76"/>
      <c r="W1977" s="76"/>
      <c r="X1977" s="76"/>
    </row>
    <row r="1978" ht="18.0" customHeight="1">
      <c r="A1978" s="76"/>
      <c r="B1978" s="76"/>
      <c r="C1978" s="76"/>
      <c r="D1978" s="76"/>
      <c r="E1978" s="76"/>
      <c r="F1978" s="76"/>
      <c r="G1978" s="76"/>
      <c r="H1978" s="76"/>
      <c r="I1978" s="76"/>
      <c r="J1978" s="76"/>
      <c r="K1978" s="76"/>
      <c r="L1978" s="76"/>
      <c r="M1978" s="76"/>
      <c r="N1978" s="76"/>
      <c r="O1978" s="76"/>
      <c r="P1978" s="76"/>
      <c r="Q1978" s="76"/>
      <c r="R1978" s="76"/>
      <c r="S1978" s="76"/>
      <c r="T1978" s="76"/>
      <c r="U1978" s="76" t="s">
        <v>5664</v>
      </c>
      <c r="V1978" s="76"/>
      <c r="W1978" s="76"/>
      <c r="X1978" s="76"/>
    </row>
    <row r="1979" ht="18.0" customHeight="1">
      <c r="A1979" s="76"/>
      <c r="B1979" s="76"/>
      <c r="C1979" s="76"/>
      <c r="D1979" s="76"/>
      <c r="E1979" s="76"/>
      <c r="F1979" s="76"/>
      <c r="G1979" s="76"/>
      <c r="H1979" s="76"/>
      <c r="I1979" s="76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 t="s">
        <v>5665</v>
      </c>
      <c r="V1979" s="76"/>
      <c r="W1979" s="76"/>
      <c r="X1979" s="76"/>
    </row>
    <row r="1980" ht="18.0" customHeight="1">
      <c r="A1980" s="76"/>
      <c r="B1980" s="76"/>
      <c r="C1980" s="76"/>
      <c r="D1980" s="76"/>
      <c r="E1980" s="76"/>
      <c r="F1980" s="76"/>
      <c r="G1980" s="76"/>
      <c r="H1980" s="76"/>
      <c r="I1980" s="76"/>
      <c r="J1980" s="76"/>
      <c r="K1980" s="76"/>
      <c r="L1980" s="76"/>
      <c r="M1980" s="76"/>
      <c r="N1980" s="76"/>
      <c r="O1980" s="76"/>
      <c r="P1980" s="76"/>
      <c r="Q1980" s="76"/>
      <c r="R1980" s="76"/>
      <c r="S1980" s="76"/>
      <c r="T1980" s="76"/>
      <c r="U1980" s="76" t="s">
        <v>5666</v>
      </c>
      <c r="V1980" s="76"/>
      <c r="W1980" s="76"/>
      <c r="X1980" s="76"/>
    </row>
    <row r="1981" ht="18.0" customHeight="1">
      <c r="A1981" s="76"/>
      <c r="B1981" s="76"/>
      <c r="C1981" s="76"/>
      <c r="D1981" s="76"/>
      <c r="E1981" s="76"/>
      <c r="F1981" s="76"/>
      <c r="G1981" s="76"/>
      <c r="H1981" s="76"/>
      <c r="I1981" s="76"/>
      <c r="J1981" s="76"/>
      <c r="K1981" s="76"/>
      <c r="L1981" s="76"/>
      <c r="M1981" s="76"/>
      <c r="N1981" s="76"/>
      <c r="O1981" s="76"/>
      <c r="P1981" s="76"/>
      <c r="Q1981" s="76"/>
      <c r="R1981" s="76"/>
      <c r="S1981" s="76"/>
      <c r="T1981" s="76"/>
      <c r="U1981" s="76" t="s">
        <v>5667</v>
      </c>
      <c r="V1981" s="76"/>
      <c r="W1981" s="76"/>
      <c r="X1981" s="76"/>
    </row>
    <row r="1982" ht="18.0" customHeight="1">
      <c r="A1982" s="76"/>
      <c r="B1982" s="76"/>
      <c r="C1982" s="76"/>
      <c r="D1982" s="76"/>
      <c r="E1982" s="76"/>
      <c r="F1982" s="76"/>
      <c r="G1982" s="76"/>
      <c r="H1982" s="76"/>
      <c r="I1982" s="76"/>
      <c r="J1982" s="76"/>
      <c r="K1982" s="76"/>
      <c r="L1982" s="76"/>
      <c r="M1982" s="76"/>
      <c r="N1982" s="76"/>
      <c r="O1982" s="76"/>
      <c r="P1982" s="76"/>
      <c r="Q1982" s="76"/>
      <c r="R1982" s="76"/>
      <c r="S1982" s="76"/>
      <c r="T1982" s="76"/>
      <c r="U1982" s="76" t="s">
        <v>5668</v>
      </c>
      <c r="V1982" s="76"/>
      <c r="W1982" s="76"/>
      <c r="X1982" s="76"/>
    </row>
    <row r="1983" ht="18.0" customHeight="1">
      <c r="A1983" s="76"/>
      <c r="B1983" s="76"/>
      <c r="C1983" s="76"/>
      <c r="D1983" s="76"/>
      <c r="E1983" s="76"/>
      <c r="F1983" s="76"/>
      <c r="G1983" s="76"/>
      <c r="H1983" s="76"/>
      <c r="I1983" s="76"/>
      <c r="J1983" s="76"/>
      <c r="K1983" s="76"/>
      <c r="L1983" s="76"/>
      <c r="M1983" s="76"/>
      <c r="N1983" s="76"/>
      <c r="O1983" s="76"/>
      <c r="P1983" s="76"/>
      <c r="Q1983" s="76"/>
      <c r="R1983" s="76"/>
      <c r="S1983" s="76"/>
      <c r="T1983" s="76"/>
      <c r="U1983" s="76" t="s">
        <v>5669</v>
      </c>
      <c r="V1983" s="76"/>
      <c r="W1983" s="76"/>
      <c r="X1983" s="76"/>
    </row>
    <row r="1984" ht="18.0" customHeight="1">
      <c r="A1984" s="76"/>
      <c r="B1984" s="76"/>
      <c r="C1984" s="76"/>
      <c r="D1984" s="76"/>
      <c r="E1984" s="76"/>
      <c r="F1984" s="76"/>
      <c r="G1984" s="76"/>
      <c r="H1984" s="76"/>
      <c r="I1984" s="76"/>
      <c r="J1984" s="76"/>
      <c r="K1984" s="76"/>
      <c r="L1984" s="76"/>
      <c r="M1984" s="76"/>
      <c r="N1984" s="76"/>
      <c r="O1984" s="76"/>
      <c r="P1984" s="76"/>
      <c r="Q1984" s="76"/>
      <c r="R1984" s="76"/>
      <c r="S1984" s="76"/>
      <c r="T1984" s="76"/>
      <c r="U1984" s="76" t="s">
        <v>5670</v>
      </c>
      <c r="V1984" s="76"/>
      <c r="W1984" s="76"/>
      <c r="X1984" s="76"/>
    </row>
    <row r="1985" ht="18.0" customHeight="1">
      <c r="A1985" s="76"/>
      <c r="B1985" s="76"/>
      <c r="C1985" s="76"/>
      <c r="D1985" s="76"/>
      <c r="E1985" s="76"/>
      <c r="F1985" s="76"/>
      <c r="G1985" s="76"/>
      <c r="H1985" s="76"/>
      <c r="I1985" s="76"/>
      <c r="J1985" s="76"/>
      <c r="K1985" s="76"/>
      <c r="L1985" s="76"/>
      <c r="M1985" s="76"/>
      <c r="N1985" s="76"/>
      <c r="O1985" s="76"/>
      <c r="P1985" s="76"/>
      <c r="Q1985" s="76"/>
      <c r="R1985" s="76"/>
      <c r="S1985" s="76"/>
      <c r="T1985" s="76"/>
      <c r="U1985" s="76" t="s">
        <v>5671</v>
      </c>
      <c r="V1985" s="76"/>
      <c r="W1985" s="76"/>
      <c r="X1985" s="76"/>
    </row>
    <row r="1986" ht="18.0" customHeight="1">
      <c r="A1986" s="76"/>
      <c r="B1986" s="76"/>
      <c r="C1986" s="76"/>
      <c r="D1986" s="76"/>
      <c r="E1986" s="76"/>
      <c r="F1986" s="76"/>
      <c r="G1986" s="76"/>
      <c r="H1986" s="76"/>
      <c r="I1986" s="76"/>
      <c r="J1986" s="76"/>
      <c r="K1986" s="76"/>
      <c r="L1986" s="76"/>
      <c r="M1986" s="76"/>
      <c r="N1986" s="76"/>
      <c r="O1986" s="76"/>
      <c r="P1986" s="76"/>
      <c r="Q1986" s="76"/>
      <c r="R1986" s="76"/>
      <c r="S1986" s="76"/>
      <c r="T1986" s="76"/>
      <c r="U1986" s="76" t="s">
        <v>5672</v>
      </c>
      <c r="V1986" s="76"/>
      <c r="W1986" s="76"/>
      <c r="X1986" s="76"/>
    </row>
    <row r="1987" ht="18.0" customHeight="1">
      <c r="A1987" s="76"/>
      <c r="B1987" s="76"/>
      <c r="C1987" s="76"/>
      <c r="D1987" s="76"/>
      <c r="E1987" s="76"/>
      <c r="F1987" s="76"/>
      <c r="G1987" s="76"/>
      <c r="H1987" s="76"/>
      <c r="I1987" s="76"/>
      <c r="J1987" s="76"/>
      <c r="K1987" s="76"/>
      <c r="L1987" s="76"/>
      <c r="M1987" s="76"/>
      <c r="N1987" s="76"/>
      <c r="O1987" s="76"/>
      <c r="P1987" s="76"/>
      <c r="Q1987" s="76"/>
      <c r="R1987" s="76"/>
      <c r="S1987" s="76"/>
      <c r="T1987" s="76"/>
      <c r="U1987" s="76" t="s">
        <v>5673</v>
      </c>
      <c r="V1987" s="76"/>
      <c r="W1987" s="76"/>
      <c r="X1987" s="76"/>
    </row>
    <row r="1988" ht="18.0" customHeight="1">
      <c r="A1988" s="76"/>
      <c r="B1988" s="76"/>
      <c r="C1988" s="76"/>
      <c r="D1988" s="76"/>
      <c r="E1988" s="76"/>
      <c r="F1988" s="76"/>
      <c r="G1988" s="76"/>
      <c r="H1988" s="76"/>
      <c r="I1988" s="76"/>
      <c r="J1988" s="76"/>
      <c r="K1988" s="76"/>
      <c r="L1988" s="76"/>
      <c r="M1988" s="76"/>
      <c r="N1988" s="76"/>
      <c r="O1988" s="76"/>
      <c r="P1988" s="76"/>
      <c r="Q1988" s="76"/>
      <c r="R1988" s="76"/>
      <c r="S1988" s="76"/>
      <c r="T1988" s="76"/>
      <c r="U1988" s="76" t="s">
        <v>5674</v>
      </c>
      <c r="V1988" s="76"/>
      <c r="W1988" s="76"/>
      <c r="X1988" s="76"/>
    </row>
    <row r="1989" ht="18.0" customHeight="1">
      <c r="A1989" s="76"/>
      <c r="B1989" s="76"/>
      <c r="C1989" s="76"/>
      <c r="D1989" s="76"/>
      <c r="E1989" s="76"/>
      <c r="F1989" s="76"/>
      <c r="G1989" s="76"/>
      <c r="H1989" s="76"/>
      <c r="I1989" s="76"/>
      <c r="J1989" s="76"/>
      <c r="K1989" s="76"/>
      <c r="L1989" s="76"/>
      <c r="M1989" s="76"/>
      <c r="N1989" s="76"/>
      <c r="O1989" s="76"/>
      <c r="P1989" s="76"/>
      <c r="Q1989" s="76"/>
      <c r="R1989" s="76"/>
      <c r="S1989" s="76"/>
      <c r="T1989" s="76"/>
      <c r="U1989" s="76" t="s">
        <v>5675</v>
      </c>
      <c r="V1989" s="76"/>
      <c r="W1989" s="76"/>
      <c r="X1989" s="76"/>
    </row>
    <row r="1990" ht="18.0" customHeight="1">
      <c r="A1990" s="76"/>
      <c r="B1990" s="76"/>
      <c r="C1990" s="76"/>
      <c r="D1990" s="76"/>
      <c r="E1990" s="76"/>
      <c r="F1990" s="76"/>
      <c r="G1990" s="76"/>
      <c r="H1990" s="76"/>
      <c r="I1990" s="76"/>
      <c r="J1990" s="76"/>
      <c r="K1990" s="76"/>
      <c r="L1990" s="76"/>
      <c r="M1990" s="76"/>
      <c r="N1990" s="76"/>
      <c r="O1990" s="76"/>
      <c r="P1990" s="76"/>
      <c r="Q1990" s="76"/>
      <c r="R1990" s="76"/>
      <c r="S1990" s="76"/>
      <c r="T1990" s="76"/>
      <c r="U1990" s="76" t="s">
        <v>5676</v>
      </c>
      <c r="V1990" s="76"/>
      <c r="W1990" s="76"/>
      <c r="X1990" s="76"/>
    </row>
    <row r="1991" ht="18.0" customHeight="1">
      <c r="A1991" s="76"/>
      <c r="B1991" s="76"/>
      <c r="C1991" s="76"/>
      <c r="D1991" s="76"/>
      <c r="E1991" s="76"/>
      <c r="F1991" s="76"/>
      <c r="G1991" s="76"/>
      <c r="H1991" s="76"/>
      <c r="I1991" s="76"/>
      <c r="J1991" s="76"/>
      <c r="K1991" s="76"/>
      <c r="L1991" s="76"/>
      <c r="M1991" s="76"/>
      <c r="N1991" s="76"/>
      <c r="O1991" s="76"/>
      <c r="P1991" s="76"/>
      <c r="Q1991" s="76"/>
      <c r="R1991" s="76"/>
      <c r="S1991" s="76"/>
      <c r="T1991" s="76"/>
      <c r="U1991" s="76" t="s">
        <v>5677</v>
      </c>
      <c r="V1991" s="76"/>
      <c r="W1991" s="76"/>
      <c r="X1991" s="76"/>
    </row>
    <row r="1992" ht="18.0" customHeight="1">
      <c r="A1992" s="76"/>
      <c r="B1992" s="76"/>
      <c r="C1992" s="76"/>
      <c r="D1992" s="76"/>
      <c r="E1992" s="76"/>
      <c r="F1992" s="76"/>
      <c r="G1992" s="76"/>
      <c r="H1992" s="76"/>
      <c r="I1992" s="76"/>
      <c r="J1992" s="76"/>
      <c r="K1992" s="76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 t="s">
        <v>5678</v>
      </c>
      <c r="V1992" s="76"/>
      <c r="W1992" s="76"/>
      <c r="X1992" s="76"/>
    </row>
    <row r="1993" ht="18.0" customHeight="1">
      <c r="A1993" s="76"/>
      <c r="B1993" s="76"/>
      <c r="C1993" s="76"/>
      <c r="D1993" s="76"/>
      <c r="E1993" s="76"/>
      <c r="F1993" s="76"/>
      <c r="G1993" s="76"/>
      <c r="H1993" s="76"/>
      <c r="I1993" s="76"/>
      <c r="J1993" s="76"/>
      <c r="K1993" s="76"/>
      <c r="L1993" s="76"/>
      <c r="M1993" s="76"/>
      <c r="N1993" s="76"/>
      <c r="O1993" s="76"/>
      <c r="P1993" s="76"/>
      <c r="Q1993" s="76"/>
      <c r="R1993" s="76"/>
      <c r="S1993" s="76"/>
      <c r="T1993" s="76"/>
      <c r="U1993" s="76" t="s">
        <v>5679</v>
      </c>
      <c r="V1993" s="76"/>
      <c r="W1993" s="76"/>
      <c r="X1993" s="76"/>
    </row>
    <row r="1994" ht="18.0" customHeight="1">
      <c r="A1994" s="76"/>
      <c r="B1994" s="76"/>
      <c r="C1994" s="76"/>
      <c r="D1994" s="76"/>
      <c r="E1994" s="76"/>
      <c r="F1994" s="76"/>
      <c r="G1994" s="76"/>
      <c r="H1994" s="76"/>
      <c r="I1994" s="76"/>
      <c r="J1994" s="76"/>
      <c r="K1994" s="76"/>
      <c r="L1994" s="76"/>
      <c r="M1994" s="76"/>
      <c r="N1994" s="76"/>
      <c r="O1994" s="76"/>
      <c r="P1994" s="76"/>
      <c r="Q1994" s="76"/>
      <c r="R1994" s="76"/>
      <c r="S1994" s="76"/>
      <c r="T1994" s="76"/>
      <c r="U1994" s="76" t="s">
        <v>5680</v>
      </c>
      <c r="V1994" s="76"/>
      <c r="W1994" s="76"/>
      <c r="X1994" s="76"/>
    </row>
    <row r="1995" ht="18.0" customHeight="1">
      <c r="A1995" s="76"/>
      <c r="B1995" s="76"/>
      <c r="C1995" s="76"/>
      <c r="D1995" s="76"/>
      <c r="E1995" s="76"/>
      <c r="F1995" s="76"/>
      <c r="G1995" s="76"/>
      <c r="H1995" s="76"/>
      <c r="I1995" s="76"/>
      <c r="J1995" s="76"/>
      <c r="K1995" s="76"/>
      <c r="L1995" s="76"/>
      <c r="M1995" s="76"/>
      <c r="N1995" s="76"/>
      <c r="O1995" s="76"/>
      <c r="P1995" s="76"/>
      <c r="Q1995" s="76"/>
      <c r="R1995" s="76"/>
      <c r="S1995" s="76"/>
      <c r="T1995" s="76"/>
      <c r="U1995" s="76" t="s">
        <v>5681</v>
      </c>
      <c r="V1995" s="76"/>
      <c r="W1995" s="76"/>
      <c r="X1995" s="76"/>
    </row>
    <row r="1996" ht="18.0" customHeight="1">
      <c r="A1996" s="76"/>
      <c r="B1996" s="76"/>
      <c r="C1996" s="76"/>
      <c r="D1996" s="76"/>
      <c r="E1996" s="76"/>
      <c r="F1996" s="76"/>
      <c r="G1996" s="76"/>
      <c r="H1996" s="76"/>
      <c r="I1996" s="76"/>
      <c r="J1996" s="76"/>
      <c r="K1996" s="76"/>
      <c r="L1996" s="76"/>
      <c r="M1996" s="76"/>
      <c r="N1996" s="76"/>
      <c r="O1996" s="76"/>
      <c r="P1996" s="76"/>
      <c r="Q1996" s="76"/>
      <c r="R1996" s="76"/>
      <c r="S1996" s="76"/>
      <c r="T1996" s="76"/>
      <c r="U1996" s="76" t="s">
        <v>5682</v>
      </c>
      <c r="V1996" s="76"/>
      <c r="W1996" s="76"/>
      <c r="X1996" s="76"/>
    </row>
    <row r="1997" ht="18.0" customHeight="1">
      <c r="A1997" s="76"/>
      <c r="B1997" s="76"/>
      <c r="C1997" s="76"/>
      <c r="D1997" s="76"/>
      <c r="E1997" s="76"/>
      <c r="F1997" s="76"/>
      <c r="G1997" s="76"/>
      <c r="H1997" s="76"/>
      <c r="I1997" s="76"/>
      <c r="J1997" s="76"/>
      <c r="K1997" s="76"/>
      <c r="L1997" s="76"/>
      <c r="M1997" s="76"/>
      <c r="N1997" s="76"/>
      <c r="O1997" s="76"/>
      <c r="P1997" s="76"/>
      <c r="Q1997" s="76"/>
      <c r="R1997" s="76"/>
      <c r="S1997" s="76"/>
      <c r="T1997" s="76"/>
      <c r="U1997" s="76" t="s">
        <v>5683</v>
      </c>
      <c r="V1997" s="76"/>
      <c r="W1997" s="76"/>
      <c r="X1997" s="76"/>
    </row>
    <row r="1998" ht="18.0" customHeight="1">
      <c r="A1998" s="76"/>
      <c r="B1998" s="76"/>
      <c r="C1998" s="76"/>
      <c r="D1998" s="76"/>
      <c r="E1998" s="76"/>
      <c r="F1998" s="76"/>
      <c r="G1998" s="76"/>
      <c r="H1998" s="76"/>
      <c r="I1998" s="76"/>
      <c r="J1998" s="76"/>
      <c r="K1998" s="76"/>
      <c r="L1998" s="76"/>
      <c r="M1998" s="76"/>
      <c r="N1998" s="76"/>
      <c r="O1998" s="76"/>
      <c r="P1998" s="76"/>
      <c r="Q1998" s="76"/>
      <c r="R1998" s="76"/>
      <c r="S1998" s="76"/>
      <c r="T1998" s="76"/>
      <c r="U1998" s="76" t="s">
        <v>5684</v>
      </c>
      <c r="V1998" s="76"/>
      <c r="W1998" s="76"/>
      <c r="X1998" s="76"/>
    </row>
    <row r="1999" ht="18.0" customHeight="1">
      <c r="A1999" s="76"/>
      <c r="B1999" s="76"/>
      <c r="C1999" s="76"/>
      <c r="D1999" s="76"/>
      <c r="E1999" s="76"/>
      <c r="F1999" s="76"/>
      <c r="G1999" s="76"/>
      <c r="H1999" s="76"/>
      <c r="I1999" s="76"/>
      <c r="J1999" s="76"/>
      <c r="K1999" s="76"/>
      <c r="L1999" s="76"/>
      <c r="M1999" s="76"/>
      <c r="N1999" s="76"/>
      <c r="O1999" s="76"/>
      <c r="P1999" s="76"/>
      <c r="Q1999" s="76"/>
      <c r="R1999" s="76"/>
      <c r="S1999" s="76"/>
      <c r="T1999" s="76"/>
      <c r="U1999" s="76" t="s">
        <v>5685</v>
      </c>
      <c r="V1999" s="76"/>
      <c r="W1999" s="76"/>
      <c r="X1999" s="76"/>
    </row>
    <row r="2000" ht="18.0" customHeight="1">
      <c r="A2000" s="76"/>
      <c r="B2000" s="76"/>
      <c r="C2000" s="76"/>
      <c r="D2000" s="76"/>
      <c r="E2000" s="76"/>
      <c r="F2000" s="76"/>
      <c r="G2000" s="76"/>
      <c r="H2000" s="76"/>
      <c r="I2000" s="76"/>
      <c r="J2000" s="76"/>
      <c r="K2000" s="76"/>
      <c r="L2000" s="76"/>
      <c r="M2000" s="76"/>
      <c r="N2000" s="76"/>
      <c r="O2000" s="76"/>
      <c r="P2000" s="76"/>
      <c r="Q2000" s="76"/>
      <c r="R2000" s="76"/>
      <c r="S2000" s="76"/>
      <c r="T2000" s="76"/>
      <c r="U2000" s="76" t="s">
        <v>5686</v>
      </c>
      <c r="V2000" s="76"/>
      <c r="W2000" s="76"/>
      <c r="X2000" s="76"/>
    </row>
    <row r="2001" ht="18.0" customHeight="1">
      <c r="A2001" s="76"/>
      <c r="B2001" s="76"/>
      <c r="C2001" s="76"/>
      <c r="D2001" s="76"/>
      <c r="E2001" s="76"/>
      <c r="F2001" s="76"/>
      <c r="G2001" s="76"/>
      <c r="H2001" s="76"/>
      <c r="I2001" s="76"/>
      <c r="J2001" s="76"/>
      <c r="K2001" s="76"/>
      <c r="L2001" s="76"/>
      <c r="M2001" s="76"/>
      <c r="N2001" s="76"/>
      <c r="O2001" s="76"/>
      <c r="P2001" s="76"/>
      <c r="Q2001" s="76"/>
      <c r="R2001" s="76"/>
      <c r="S2001" s="76"/>
      <c r="T2001" s="76"/>
      <c r="U2001" s="76" t="s">
        <v>5687</v>
      </c>
      <c r="V2001" s="76"/>
      <c r="W2001" s="76"/>
      <c r="X2001" s="76"/>
    </row>
    <row r="2002" ht="18.0" customHeight="1">
      <c r="A2002" s="76"/>
      <c r="B2002" s="76"/>
      <c r="C2002" s="76"/>
      <c r="D2002" s="76"/>
      <c r="E2002" s="76"/>
      <c r="F2002" s="76"/>
      <c r="G2002" s="76"/>
      <c r="H2002" s="76"/>
      <c r="I2002" s="76"/>
      <c r="J2002" s="76"/>
      <c r="K2002" s="76"/>
      <c r="L2002" s="76"/>
      <c r="M2002" s="76"/>
      <c r="N2002" s="76"/>
      <c r="O2002" s="76"/>
      <c r="P2002" s="76"/>
      <c r="Q2002" s="76"/>
      <c r="R2002" s="76"/>
      <c r="S2002" s="76"/>
      <c r="T2002" s="76"/>
      <c r="U2002" s="76" t="s">
        <v>5688</v>
      </c>
      <c r="V2002" s="76"/>
      <c r="W2002" s="76"/>
      <c r="X2002" s="76"/>
    </row>
    <row r="2003" ht="18.0" customHeight="1">
      <c r="A2003" s="76"/>
      <c r="B2003" s="76"/>
      <c r="C2003" s="76"/>
      <c r="D2003" s="76"/>
      <c r="E2003" s="76"/>
      <c r="F2003" s="76"/>
      <c r="G2003" s="76"/>
      <c r="H2003" s="76"/>
      <c r="I2003" s="76"/>
      <c r="J2003" s="76"/>
      <c r="K2003" s="76"/>
      <c r="L2003" s="76"/>
      <c r="M2003" s="76"/>
      <c r="N2003" s="76"/>
      <c r="O2003" s="76"/>
      <c r="P2003" s="76"/>
      <c r="Q2003" s="76"/>
      <c r="R2003" s="76"/>
      <c r="S2003" s="76"/>
      <c r="T2003" s="76"/>
      <c r="U2003" s="76" t="s">
        <v>5689</v>
      </c>
      <c r="V2003" s="76"/>
      <c r="W2003" s="76"/>
      <c r="X2003" s="76"/>
    </row>
    <row r="2004" ht="18.0" customHeight="1">
      <c r="A2004" s="76"/>
      <c r="B2004" s="76"/>
      <c r="C2004" s="76"/>
      <c r="D2004" s="76"/>
      <c r="E2004" s="76"/>
      <c r="F2004" s="76"/>
      <c r="G2004" s="76"/>
      <c r="H2004" s="76"/>
      <c r="I2004" s="76"/>
      <c r="J2004" s="76"/>
      <c r="K2004" s="76"/>
      <c r="L2004" s="76"/>
      <c r="M2004" s="76"/>
      <c r="N2004" s="76"/>
      <c r="O2004" s="76"/>
      <c r="P2004" s="76"/>
      <c r="Q2004" s="76"/>
      <c r="R2004" s="76"/>
      <c r="S2004" s="76"/>
      <c r="T2004" s="76"/>
      <c r="U2004" s="76" t="s">
        <v>5690</v>
      </c>
      <c r="V2004" s="76"/>
      <c r="W2004" s="76"/>
      <c r="X2004" s="76"/>
    </row>
    <row r="2005" ht="18.0" customHeight="1">
      <c r="A2005" s="76"/>
      <c r="B2005" s="76"/>
      <c r="C2005" s="76"/>
      <c r="D2005" s="76"/>
      <c r="E2005" s="76"/>
      <c r="F2005" s="76"/>
      <c r="G2005" s="76"/>
      <c r="H2005" s="76"/>
      <c r="I2005" s="76"/>
      <c r="J2005" s="76"/>
      <c r="K2005" s="76"/>
      <c r="L2005" s="76"/>
      <c r="M2005" s="76"/>
      <c r="N2005" s="76"/>
      <c r="O2005" s="76"/>
      <c r="P2005" s="76"/>
      <c r="Q2005" s="76"/>
      <c r="R2005" s="76"/>
      <c r="S2005" s="76"/>
      <c r="T2005" s="76"/>
      <c r="U2005" s="76" t="s">
        <v>5691</v>
      </c>
      <c r="V2005" s="76"/>
      <c r="W2005" s="76"/>
      <c r="X2005" s="76"/>
    </row>
    <row r="2006" ht="18.0" customHeight="1">
      <c r="A2006" s="76"/>
      <c r="B2006" s="76"/>
      <c r="C2006" s="76"/>
      <c r="D2006" s="76"/>
      <c r="E2006" s="76"/>
      <c r="F2006" s="76"/>
      <c r="G2006" s="76"/>
      <c r="H2006" s="76"/>
      <c r="I2006" s="76"/>
      <c r="J2006" s="76"/>
      <c r="K2006" s="76"/>
      <c r="L2006" s="76"/>
      <c r="M2006" s="76"/>
      <c r="N2006" s="76"/>
      <c r="O2006" s="76"/>
      <c r="P2006" s="76"/>
      <c r="Q2006" s="76"/>
      <c r="R2006" s="76"/>
      <c r="S2006" s="76"/>
      <c r="T2006" s="76"/>
      <c r="U2006" s="76" t="s">
        <v>5692</v>
      </c>
      <c r="V2006" s="76"/>
      <c r="W2006" s="76"/>
      <c r="X2006" s="76"/>
    </row>
    <row r="2007" ht="18.0" customHeight="1">
      <c r="A2007" s="76"/>
      <c r="B2007" s="76"/>
      <c r="C2007" s="76"/>
      <c r="D2007" s="76"/>
      <c r="E2007" s="76"/>
      <c r="F2007" s="76"/>
      <c r="G2007" s="76"/>
      <c r="H2007" s="76"/>
      <c r="I2007" s="76"/>
      <c r="J2007" s="76"/>
      <c r="K2007" s="76"/>
      <c r="L2007" s="76"/>
      <c r="M2007" s="76"/>
      <c r="N2007" s="76"/>
      <c r="O2007" s="76"/>
      <c r="P2007" s="76"/>
      <c r="Q2007" s="76"/>
      <c r="R2007" s="76"/>
      <c r="S2007" s="76"/>
      <c r="T2007" s="76"/>
      <c r="U2007" s="76" t="s">
        <v>5693</v>
      </c>
      <c r="V2007" s="76"/>
      <c r="W2007" s="76"/>
      <c r="X2007" s="76"/>
    </row>
    <row r="2008" ht="18.0" customHeight="1">
      <c r="A2008" s="76"/>
      <c r="B2008" s="76"/>
      <c r="C2008" s="76"/>
      <c r="D2008" s="76"/>
      <c r="E2008" s="76"/>
      <c r="F2008" s="76"/>
      <c r="G2008" s="76"/>
      <c r="H2008" s="76"/>
      <c r="I2008" s="76"/>
      <c r="J2008" s="76"/>
      <c r="K2008" s="76"/>
      <c r="L2008" s="76"/>
      <c r="M2008" s="76"/>
      <c r="N2008" s="76"/>
      <c r="O2008" s="76"/>
      <c r="P2008" s="76"/>
      <c r="Q2008" s="76"/>
      <c r="R2008" s="76"/>
      <c r="S2008" s="76"/>
      <c r="T2008" s="76"/>
      <c r="U2008" s="76" t="s">
        <v>5694</v>
      </c>
      <c r="V2008" s="76"/>
      <c r="W2008" s="76"/>
      <c r="X2008" s="76"/>
    </row>
    <row r="2009" ht="18.0" customHeight="1">
      <c r="A2009" s="76"/>
      <c r="B2009" s="76"/>
      <c r="C2009" s="76"/>
      <c r="D2009" s="76"/>
      <c r="E2009" s="76"/>
      <c r="F2009" s="76"/>
      <c r="G2009" s="76"/>
      <c r="H2009" s="76"/>
      <c r="I2009" s="76"/>
      <c r="J2009" s="76"/>
      <c r="K2009" s="76"/>
      <c r="L2009" s="76"/>
      <c r="M2009" s="76"/>
      <c r="N2009" s="76"/>
      <c r="O2009" s="76"/>
      <c r="P2009" s="76"/>
      <c r="Q2009" s="76"/>
      <c r="R2009" s="76"/>
      <c r="S2009" s="76"/>
      <c r="T2009" s="76"/>
      <c r="U2009" s="76" t="s">
        <v>5695</v>
      </c>
      <c r="V2009" s="76"/>
      <c r="W2009" s="76"/>
      <c r="X2009" s="76"/>
    </row>
    <row r="2010" ht="18.0" customHeight="1">
      <c r="A2010" s="76"/>
      <c r="B2010" s="76"/>
      <c r="C2010" s="76"/>
      <c r="D2010" s="76"/>
      <c r="E2010" s="76"/>
      <c r="F2010" s="76"/>
      <c r="G2010" s="76"/>
      <c r="H2010" s="76"/>
      <c r="I2010" s="76"/>
      <c r="J2010" s="76"/>
      <c r="K2010" s="76"/>
      <c r="L2010" s="76"/>
      <c r="M2010" s="76"/>
      <c r="N2010" s="76"/>
      <c r="O2010" s="76"/>
      <c r="P2010" s="76"/>
      <c r="Q2010" s="76"/>
      <c r="R2010" s="76"/>
      <c r="S2010" s="76"/>
      <c r="T2010" s="76"/>
      <c r="U2010" s="76" t="s">
        <v>5696</v>
      </c>
      <c r="V2010" s="76"/>
      <c r="W2010" s="76"/>
      <c r="X2010" s="76"/>
    </row>
    <row r="2011" ht="18.0" customHeight="1">
      <c r="A2011" s="76"/>
      <c r="B2011" s="76"/>
      <c r="C2011" s="76"/>
      <c r="D2011" s="76"/>
      <c r="E2011" s="76"/>
      <c r="F2011" s="76"/>
      <c r="G2011" s="76"/>
      <c r="H2011" s="76"/>
      <c r="I2011" s="76"/>
      <c r="J2011" s="76"/>
      <c r="K2011" s="76"/>
      <c r="L2011" s="76"/>
      <c r="M2011" s="76"/>
      <c r="N2011" s="76"/>
      <c r="O2011" s="76"/>
      <c r="P2011" s="76"/>
      <c r="Q2011" s="76"/>
      <c r="R2011" s="76"/>
      <c r="S2011" s="76"/>
      <c r="T2011" s="76"/>
      <c r="U2011" s="76" t="s">
        <v>5697</v>
      </c>
      <c r="V2011" s="76"/>
      <c r="W2011" s="76"/>
      <c r="X2011" s="76"/>
    </row>
    <row r="2012" ht="18.0" customHeight="1">
      <c r="A2012" s="76"/>
      <c r="B2012" s="76"/>
      <c r="C2012" s="76"/>
      <c r="D2012" s="76"/>
      <c r="E2012" s="76"/>
      <c r="F2012" s="76"/>
      <c r="G2012" s="76"/>
      <c r="H2012" s="76"/>
      <c r="I2012" s="76"/>
      <c r="J2012" s="76"/>
      <c r="K2012" s="76"/>
      <c r="L2012" s="76"/>
      <c r="M2012" s="76"/>
      <c r="N2012" s="76"/>
      <c r="O2012" s="76"/>
      <c r="P2012" s="76"/>
      <c r="Q2012" s="76"/>
      <c r="R2012" s="76"/>
      <c r="S2012" s="76"/>
      <c r="T2012" s="76"/>
      <c r="U2012" s="76" t="s">
        <v>5698</v>
      </c>
      <c r="V2012" s="76"/>
      <c r="W2012" s="76"/>
      <c r="X2012" s="76"/>
    </row>
    <row r="2013" ht="18.0" customHeight="1">
      <c r="A2013" s="76"/>
      <c r="B2013" s="76"/>
      <c r="C2013" s="76"/>
      <c r="D2013" s="76"/>
      <c r="E2013" s="76"/>
      <c r="F2013" s="76"/>
      <c r="G2013" s="76"/>
      <c r="H2013" s="76"/>
      <c r="I2013" s="76"/>
      <c r="J2013" s="76"/>
      <c r="K2013" s="76"/>
      <c r="L2013" s="76"/>
      <c r="M2013" s="76"/>
      <c r="N2013" s="76"/>
      <c r="O2013" s="76"/>
      <c r="P2013" s="76"/>
      <c r="Q2013" s="76"/>
      <c r="R2013" s="76"/>
      <c r="S2013" s="76"/>
      <c r="T2013" s="76"/>
      <c r="U2013" s="76" t="s">
        <v>5699</v>
      </c>
      <c r="V2013" s="76"/>
      <c r="W2013" s="76"/>
      <c r="X2013" s="76"/>
    </row>
    <row r="2014" ht="18.0" customHeight="1">
      <c r="A2014" s="76"/>
      <c r="B2014" s="76"/>
      <c r="C2014" s="76"/>
      <c r="D2014" s="76"/>
      <c r="E2014" s="76"/>
      <c r="F2014" s="76"/>
      <c r="G2014" s="76"/>
      <c r="H2014" s="76"/>
      <c r="I2014" s="76"/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 t="s">
        <v>5700</v>
      </c>
      <c r="V2014" s="76"/>
      <c r="W2014" s="76"/>
      <c r="X2014" s="76"/>
    </row>
    <row r="2015" ht="18.0" customHeight="1">
      <c r="A2015" s="76"/>
      <c r="B2015" s="76"/>
      <c r="C2015" s="76"/>
      <c r="D2015" s="76"/>
      <c r="E2015" s="76"/>
      <c r="F2015" s="76"/>
      <c r="G2015" s="76"/>
      <c r="H2015" s="76"/>
      <c r="I2015" s="76"/>
      <c r="J2015" s="76"/>
      <c r="K2015" s="76"/>
      <c r="L2015" s="76"/>
      <c r="M2015" s="76"/>
      <c r="N2015" s="76"/>
      <c r="O2015" s="76"/>
      <c r="P2015" s="76"/>
      <c r="Q2015" s="76"/>
      <c r="R2015" s="76"/>
      <c r="S2015" s="76"/>
      <c r="T2015" s="76"/>
      <c r="U2015" s="76" t="s">
        <v>5701</v>
      </c>
      <c r="V2015" s="76"/>
      <c r="W2015" s="76"/>
      <c r="X2015" s="76"/>
    </row>
    <row r="2016" ht="18.0" customHeight="1">
      <c r="A2016" s="76"/>
      <c r="B2016" s="76"/>
      <c r="C2016" s="76"/>
      <c r="D2016" s="76"/>
      <c r="E2016" s="76"/>
      <c r="F2016" s="76"/>
      <c r="G2016" s="76"/>
      <c r="H2016" s="76"/>
      <c r="I2016" s="76"/>
      <c r="J2016" s="76"/>
      <c r="K2016" s="76"/>
      <c r="L2016" s="76"/>
      <c r="M2016" s="76"/>
      <c r="N2016" s="76"/>
      <c r="O2016" s="76"/>
      <c r="P2016" s="76"/>
      <c r="Q2016" s="76"/>
      <c r="R2016" s="76"/>
      <c r="S2016" s="76"/>
      <c r="T2016" s="76"/>
      <c r="U2016" s="76" t="s">
        <v>5702</v>
      </c>
      <c r="V2016" s="76"/>
      <c r="W2016" s="76"/>
      <c r="X2016" s="76"/>
    </row>
    <row r="2017" ht="18.0" customHeight="1">
      <c r="A2017" s="76"/>
      <c r="B2017" s="76"/>
      <c r="C2017" s="76"/>
      <c r="D2017" s="76"/>
      <c r="E2017" s="76"/>
      <c r="F2017" s="76"/>
      <c r="G2017" s="76"/>
      <c r="H2017" s="76"/>
      <c r="I2017" s="76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 t="s">
        <v>5703</v>
      </c>
      <c r="V2017" s="76"/>
      <c r="W2017" s="76"/>
      <c r="X2017" s="76"/>
    </row>
    <row r="2018" ht="18.0" customHeight="1">
      <c r="A2018" s="76"/>
      <c r="B2018" s="76"/>
      <c r="C2018" s="76"/>
      <c r="D2018" s="76"/>
      <c r="E2018" s="76"/>
      <c r="F2018" s="76"/>
      <c r="G2018" s="76"/>
      <c r="H2018" s="76"/>
      <c r="I2018" s="76"/>
      <c r="J2018" s="76"/>
      <c r="K2018" s="76"/>
      <c r="L2018" s="76"/>
      <c r="M2018" s="76"/>
      <c r="N2018" s="76"/>
      <c r="O2018" s="76"/>
      <c r="P2018" s="76"/>
      <c r="Q2018" s="76"/>
      <c r="R2018" s="76"/>
      <c r="S2018" s="76"/>
      <c r="T2018" s="76"/>
      <c r="U2018" s="76" t="s">
        <v>5704</v>
      </c>
      <c r="V2018" s="76"/>
      <c r="W2018" s="76"/>
      <c r="X2018" s="76"/>
    </row>
    <row r="2019" ht="18.0" customHeight="1">
      <c r="A2019" s="76"/>
      <c r="B2019" s="76"/>
      <c r="C2019" s="76"/>
      <c r="D2019" s="76"/>
      <c r="E2019" s="76"/>
      <c r="F2019" s="76"/>
      <c r="G2019" s="76"/>
      <c r="H2019" s="76"/>
      <c r="I2019" s="76"/>
      <c r="J2019" s="76"/>
      <c r="K2019" s="76"/>
      <c r="L2019" s="76"/>
      <c r="M2019" s="76"/>
      <c r="N2019" s="76"/>
      <c r="O2019" s="76"/>
      <c r="P2019" s="76"/>
      <c r="Q2019" s="76"/>
      <c r="R2019" s="76"/>
      <c r="S2019" s="76"/>
      <c r="T2019" s="76"/>
      <c r="U2019" s="76" t="s">
        <v>5705</v>
      </c>
      <c r="V2019" s="76"/>
      <c r="W2019" s="76"/>
      <c r="X2019" s="76"/>
    </row>
    <row r="2020" ht="18.0" customHeight="1">
      <c r="A2020" s="76"/>
      <c r="B2020" s="76"/>
      <c r="C2020" s="76"/>
      <c r="D2020" s="76"/>
      <c r="E2020" s="76"/>
      <c r="F2020" s="76"/>
      <c r="G2020" s="76"/>
      <c r="H2020" s="76"/>
      <c r="I2020" s="76"/>
      <c r="J2020" s="76"/>
      <c r="K2020" s="76"/>
      <c r="L2020" s="76"/>
      <c r="M2020" s="76"/>
      <c r="N2020" s="76"/>
      <c r="O2020" s="76"/>
      <c r="P2020" s="76"/>
      <c r="Q2020" s="76"/>
      <c r="R2020" s="76"/>
      <c r="S2020" s="76"/>
      <c r="T2020" s="76"/>
      <c r="U2020" s="76" t="s">
        <v>5706</v>
      </c>
      <c r="V2020" s="76"/>
      <c r="W2020" s="76"/>
      <c r="X2020" s="76"/>
    </row>
    <row r="2021" ht="18.0" customHeight="1">
      <c r="A2021" s="76"/>
      <c r="B2021" s="76"/>
      <c r="C2021" s="76"/>
      <c r="D2021" s="76"/>
      <c r="E2021" s="76"/>
      <c r="F2021" s="76"/>
      <c r="G2021" s="76"/>
      <c r="H2021" s="76"/>
      <c r="I2021" s="76"/>
      <c r="J2021" s="76"/>
      <c r="K2021" s="76"/>
      <c r="L2021" s="76"/>
      <c r="M2021" s="76"/>
      <c r="N2021" s="76"/>
      <c r="O2021" s="76"/>
      <c r="P2021" s="76"/>
      <c r="Q2021" s="76"/>
      <c r="R2021" s="76"/>
      <c r="S2021" s="76"/>
      <c r="T2021" s="76"/>
      <c r="U2021" s="76" t="s">
        <v>5707</v>
      </c>
      <c r="V2021" s="76"/>
      <c r="W2021" s="76"/>
      <c r="X2021" s="76"/>
    </row>
    <row r="2022" ht="18.0" customHeight="1">
      <c r="A2022" s="76"/>
      <c r="B2022" s="76"/>
      <c r="C2022" s="76"/>
      <c r="D2022" s="76"/>
      <c r="E2022" s="76"/>
      <c r="F2022" s="76"/>
      <c r="G2022" s="76"/>
      <c r="H2022" s="76"/>
      <c r="I2022" s="76"/>
      <c r="J2022" s="76"/>
      <c r="K2022" s="76"/>
      <c r="L2022" s="76"/>
      <c r="M2022" s="76"/>
      <c r="N2022" s="76"/>
      <c r="O2022" s="76"/>
      <c r="P2022" s="76"/>
      <c r="Q2022" s="76"/>
      <c r="R2022" s="76"/>
      <c r="S2022" s="76"/>
      <c r="T2022" s="76"/>
      <c r="U2022" s="76" t="s">
        <v>5708</v>
      </c>
      <c r="V2022" s="76"/>
      <c r="W2022" s="76"/>
      <c r="X2022" s="76"/>
    </row>
    <row r="2023" ht="18.0" customHeight="1">
      <c r="A2023" s="76"/>
      <c r="B2023" s="76"/>
      <c r="C2023" s="76"/>
      <c r="D2023" s="76"/>
      <c r="E2023" s="76"/>
      <c r="F2023" s="76"/>
      <c r="G2023" s="76"/>
      <c r="H2023" s="76"/>
      <c r="I2023" s="76"/>
      <c r="J2023" s="76"/>
      <c r="K2023" s="76"/>
      <c r="L2023" s="76"/>
      <c r="M2023" s="76"/>
      <c r="N2023" s="76"/>
      <c r="O2023" s="76"/>
      <c r="P2023" s="76"/>
      <c r="Q2023" s="76"/>
      <c r="R2023" s="76"/>
      <c r="S2023" s="76"/>
      <c r="T2023" s="76"/>
      <c r="U2023" s="76" t="s">
        <v>5709</v>
      </c>
      <c r="V2023" s="76"/>
      <c r="W2023" s="76"/>
      <c r="X2023" s="76"/>
    </row>
    <row r="2024" ht="18.0" customHeight="1">
      <c r="A2024" s="76"/>
      <c r="B2024" s="76"/>
      <c r="C2024" s="76"/>
      <c r="D2024" s="76"/>
      <c r="E2024" s="76"/>
      <c r="F2024" s="76"/>
      <c r="G2024" s="76"/>
      <c r="H2024" s="76"/>
      <c r="I2024" s="76"/>
      <c r="J2024" s="76"/>
      <c r="K2024" s="76"/>
      <c r="L2024" s="76"/>
      <c r="M2024" s="76"/>
      <c r="N2024" s="76"/>
      <c r="O2024" s="76"/>
      <c r="P2024" s="76"/>
      <c r="Q2024" s="76"/>
      <c r="R2024" s="76"/>
      <c r="S2024" s="76"/>
      <c r="T2024" s="76"/>
      <c r="U2024" s="76" t="s">
        <v>5710</v>
      </c>
      <c r="V2024" s="76"/>
      <c r="W2024" s="76"/>
      <c r="X2024" s="76"/>
    </row>
    <row r="2025" ht="18.0" customHeight="1">
      <c r="A2025" s="76"/>
      <c r="B2025" s="76"/>
      <c r="C2025" s="76"/>
      <c r="D2025" s="76"/>
      <c r="E2025" s="76"/>
      <c r="F2025" s="76"/>
      <c r="G2025" s="76"/>
      <c r="H2025" s="76"/>
      <c r="I2025" s="76"/>
      <c r="J2025" s="76"/>
      <c r="K2025" s="76"/>
      <c r="L2025" s="76"/>
      <c r="M2025" s="76"/>
      <c r="N2025" s="76"/>
      <c r="O2025" s="76"/>
      <c r="P2025" s="76"/>
      <c r="Q2025" s="76"/>
      <c r="R2025" s="76"/>
      <c r="S2025" s="76"/>
      <c r="T2025" s="76"/>
      <c r="U2025" s="76" t="s">
        <v>5711</v>
      </c>
      <c r="V2025" s="76"/>
      <c r="W2025" s="76"/>
      <c r="X2025" s="76"/>
    </row>
    <row r="2026" ht="18.0" customHeight="1">
      <c r="A2026" s="76"/>
      <c r="B2026" s="76"/>
      <c r="C2026" s="76"/>
      <c r="D2026" s="76"/>
      <c r="E2026" s="76"/>
      <c r="F2026" s="76"/>
      <c r="G2026" s="76"/>
      <c r="H2026" s="76"/>
      <c r="I2026" s="76"/>
      <c r="J2026" s="76"/>
      <c r="K2026" s="76"/>
      <c r="L2026" s="76"/>
      <c r="M2026" s="76"/>
      <c r="N2026" s="76"/>
      <c r="O2026" s="76"/>
      <c r="P2026" s="76"/>
      <c r="Q2026" s="76"/>
      <c r="R2026" s="76"/>
      <c r="S2026" s="76"/>
      <c r="T2026" s="76"/>
      <c r="U2026" s="76" t="s">
        <v>5712</v>
      </c>
      <c r="V2026" s="76"/>
      <c r="W2026" s="76"/>
      <c r="X2026" s="76"/>
    </row>
    <row r="2027" ht="18.0" customHeight="1">
      <c r="A2027" s="76"/>
      <c r="B2027" s="76"/>
      <c r="C2027" s="76"/>
      <c r="D2027" s="76"/>
      <c r="E2027" s="76"/>
      <c r="F2027" s="76"/>
      <c r="G2027" s="76"/>
      <c r="H2027" s="76"/>
      <c r="I2027" s="76"/>
      <c r="J2027" s="76"/>
      <c r="K2027" s="76"/>
      <c r="L2027" s="76"/>
      <c r="M2027" s="76"/>
      <c r="N2027" s="76"/>
      <c r="O2027" s="76"/>
      <c r="P2027" s="76"/>
      <c r="Q2027" s="76"/>
      <c r="R2027" s="76"/>
      <c r="S2027" s="76"/>
      <c r="T2027" s="76"/>
      <c r="U2027" s="76" t="s">
        <v>5713</v>
      </c>
      <c r="V2027" s="76"/>
      <c r="W2027" s="76"/>
      <c r="X2027" s="76"/>
    </row>
    <row r="2028" ht="18.0" customHeight="1">
      <c r="A2028" s="76"/>
      <c r="B2028" s="76"/>
      <c r="C2028" s="76"/>
      <c r="D2028" s="76"/>
      <c r="E2028" s="76"/>
      <c r="F2028" s="76"/>
      <c r="G2028" s="76"/>
      <c r="H2028" s="76"/>
      <c r="I2028" s="76"/>
      <c r="J2028" s="76"/>
      <c r="K2028" s="76"/>
      <c r="L2028" s="76"/>
      <c r="M2028" s="76"/>
      <c r="N2028" s="76"/>
      <c r="O2028" s="76"/>
      <c r="P2028" s="76"/>
      <c r="Q2028" s="76"/>
      <c r="R2028" s="76"/>
      <c r="S2028" s="76"/>
      <c r="T2028" s="76"/>
      <c r="U2028" s="76" t="s">
        <v>5714</v>
      </c>
      <c r="V2028" s="76"/>
      <c r="W2028" s="76"/>
      <c r="X2028" s="76"/>
    </row>
    <row r="2029" ht="18.0" customHeight="1">
      <c r="A2029" s="76"/>
      <c r="B2029" s="76"/>
      <c r="C2029" s="76"/>
      <c r="D2029" s="76"/>
      <c r="E2029" s="76"/>
      <c r="F2029" s="76"/>
      <c r="G2029" s="76"/>
      <c r="H2029" s="76"/>
      <c r="I2029" s="76"/>
      <c r="J2029" s="76"/>
      <c r="K2029" s="76"/>
      <c r="L2029" s="76"/>
      <c r="M2029" s="76"/>
      <c r="N2029" s="76"/>
      <c r="O2029" s="76"/>
      <c r="P2029" s="76"/>
      <c r="Q2029" s="76"/>
      <c r="R2029" s="76"/>
      <c r="S2029" s="76"/>
      <c r="T2029" s="76"/>
      <c r="U2029" s="76" t="s">
        <v>5715</v>
      </c>
      <c r="V2029" s="76"/>
      <c r="W2029" s="76"/>
      <c r="X2029" s="76"/>
    </row>
    <row r="2030" ht="18.0" customHeight="1">
      <c r="A2030" s="76"/>
      <c r="B2030" s="76"/>
      <c r="C2030" s="76"/>
      <c r="D2030" s="76"/>
      <c r="E2030" s="76"/>
      <c r="F2030" s="76"/>
      <c r="G2030" s="76"/>
      <c r="H2030" s="76"/>
      <c r="I2030" s="76"/>
      <c r="J2030" s="76"/>
      <c r="K2030" s="76"/>
      <c r="L2030" s="76"/>
      <c r="M2030" s="76"/>
      <c r="N2030" s="76"/>
      <c r="O2030" s="76"/>
      <c r="P2030" s="76"/>
      <c r="Q2030" s="76"/>
      <c r="R2030" s="76"/>
      <c r="S2030" s="76"/>
      <c r="T2030" s="76"/>
      <c r="U2030" s="76" t="s">
        <v>5716</v>
      </c>
      <c r="V2030" s="76"/>
      <c r="W2030" s="76"/>
      <c r="X2030" s="76"/>
    </row>
    <row r="2031" ht="18.0" customHeight="1">
      <c r="A2031" s="76"/>
      <c r="B2031" s="76"/>
      <c r="C2031" s="76"/>
      <c r="D2031" s="76"/>
      <c r="E2031" s="76"/>
      <c r="F2031" s="76"/>
      <c r="G2031" s="76"/>
      <c r="H2031" s="76"/>
      <c r="I2031" s="76"/>
      <c r="J2031" s="76"/>
      <c r="K2031" s="76"/>
      <c r="L2031" s="76"/>
      <c r="M2031" s="76"/>
      <c r="N2031" s="76"/>
      <c r="O2031" s="76"/>
      <c r="P2031" s="76"/>
      <c r="Q2031" s="76"/>
      <c r="R2031" s="76"/>
      <c r="S2031" s="76"/>
      <c r="T2031" s="76"/>
      <c r="U2031" s="76" t="s">
        <v>5717</v>
      </c>
      <c r="V2031" s="76"/>
      <c r="W2031" s="76"/>
      <c r="X2031" s="76"/>
    </row>
    <row r="2032" ht="18.0" customHeight="1">
      <c r="A2032" s="76"/>
      <c r="B2032" s="76"/>
      <c r="C2032" s="76"/>
      <c r="D2032" s="76"/>
      <c r="E2032" s="76"/>
      <c r="F2032" s="76"/>
      <c r="G2032" s="76"/>
      <c r="H2032" s="76"/>
      <c r="I2032" s="76"/>
      <c r="J2032" s="76"/>
      <c r="K2032" s="76"/>
      <c r="L2032" s="76"/>
      <c r="M2032" s="76"/>
      <c r="N2032" s="76"/>
      <c r="O2032" s="76"/>
      <c r="P2032" s="76"/>
      <c r="Q2032" s="76"/>
      <c r="R2032" s="76"/>
      <c r="S2032" s="76"/>
      <c r="T2032" s="76"/>
      <c r="U2032" s="76" t="s">
        <v>5718</v>
      </c>
      <c r="V2032" s="76"/>
      <c r="W2032" s="76"/>
      <c r="X2032" s="76"/>
    </row>
    <row r="2033" ht="18.0" customHeight="1">
      <c r="A2033" s="76"/>
      <c r="B2033" s="76"/>
      <c r="C2033" s="76"/>
      <c r="D2033" s="76"/>
      <c r="E2033" s="76"/>
      <c r="F2033" s="76"/>
      <c r="G2033" s="76"/>
      <c r="H2033" s="76"/>
      <c r="I2033" s="76"/>
      <c r="J2033" s="76"/>
      <c r="K2033" s="76"/>
      <c r="L2033" s="76"/>
      <c r="M2033" s="76"/>
      <c r="N2033" s="76"/>
      <c r="O2033" s="76"/>
      <c r="P2033" s="76"/>
      <c r="Q2033" s="76"/>
      <c r="R2033" s="76"/>
      <c r="S2033" s="76"/>
      <c r="T2033" s="76"/>
      <c r="U2033" s="76" t="s">
        <v>5719</v>
      </c>
      <c r="V2033" s="76"/>
      <c r="W2033" s="76"/>
      <c r="X2033" s="76"/>
    </row>
    <row r="2034" ht="18.0" customHeight="1">
      <c r="A2034" s="76"/>
      <c r="B2034" s="76"/>
      <c r="C2034" s="76"/>
      <c r="D2034" s="76"/>
      <c r="E2034" s="76"/>
      <c r="F2034" s="76"/>
      <c r="G2034" s="76"/>
      <c r="H2034" s="76"/>
      <c r="I2034" s="76"/>
      <c r="J2034" s="76"/>
      <c r="K2034" s="76"/>
      <c r="L2034" s="76"/>
      <c r="M2034" s="76"/>
      <c r="N2034" s="76"/>
      <c r="O2034" s="76"/>
      <c r="P2034" s="76"/>
      <c r="Q2034" s="76"/>
      <c r="R2034" s="76"/>
      <c r="S2034" s="76"/>
      <c r="T2034" s="76"/>
      <c r="U2034" s="76" t="s">
        <v>5720</v>
      </c>
      <c r="V2034" s="76"/>
      <c r="W2034" s="76"/>
      <c r="X2034" s="76"/>
    </row>
    <row r="2035" ht="18.0" customHeight="1">
      <c r="A2035" s="76"/>
      <c r="B2035" s="76"/>
      <c r="C2035" s="76"/>
      <c r="D2035" s="76"/>
      <c r="E2035" s="76"/>
      <c r="F2035" s="76"/>
      <c r="G2035" s="76"/>
      <c r="H2035" s="76"/>
      <c r="I2035" s="76"/>
      <c r="J2035" s="76"/>
      <c r="K2035" s="76"/>
      <c r="L2035" s="76"/>
      <c r="M2035" s="76"/>
      <c r="N2035" s="76"/>
      <c r="O2035" s="76"/>
      <c r="P2035" s="76"/>
      <c r="Q2035" s="76"/>
      <c r="R2035" s="76"/>
      <c r="S2035" s="76"/>
      <c r="T2035" s="76"/>
      <c r="U2035" s="76" t="s">
        <v>5721</v>
      </c>
      <c r="V2035" s="76"/>
      <c r="W2035" s="76"/>
      <c r="X2035" s="76"/>
    </row>
    <row r="2036" ht="18.0" customHeight="1">
      <c r="A2036" s="76"/>
      <c r="B2036" s="76"/>
      <c r="C2036" s="76"/>
      <c r="D2036" s="76"/>
      <c r="E2036" s="76"/>
      <c r="F2036" s="76"/>
      <c r="G2036" s="76"/>
      <c r="H2036" s="76"/>
      <c r="I2036" s="76"/>
      <c r="J2036" s="76"/>
      <c r="K2036" s="76"/>
      <c r="L2036" s="76"/>
      <c r="M2036" s="76"/>
      <c r="N2036" s="76"/>
      <c r="O2036" s="76"/>
      <c r="P2036" s="76"/>
      <c r="Q2036" s="76"/>
      <c r="R2036" s="76"/>
      <c r="S2036" s="76"/>
      <c r="T2036" s="76"/>
      <c r="U2036" s="76" t="s">
        <v>5722</v>
      </c>
      <c r="V2036" s="76"/>
      <c r="W2036" s="76"/>
      <c r="X2036" s="76"/>
    </row>
    <row r="2037" ht="18.0" customHeight="1">
      <c r="A2037" s="76"/>
      <c r="B2037" s="76"/>
      <c r="C2037" s="76"/>
      <c r="D2037" s="76"/>
      <c r="E2037" s="76"/>
      <c r="F2037" s="76"/>
      <c r="G2037" s="76"/>
      <c r="H2037" s="76"/>
      <c r="I2037" s="76"/>
      <c r="J2037" s="76"/>
      <c r="K2037" s="76"/>
      <c r="L2037" s="76"/>
      <c r="M2037" s="76"/>
      <c r="N2037" s="76"/>
      <c r="O2037" s="76"/>
      <c r="P2037" s="76"/>
      <c r="Q2037" s="76"/>
      <c r="R2037" s="76"/>
      <c r="S2037" s="76"/>
      <c r="T2037" s="76"/>
      <c r="U2037" s="76" t="s">
        <v>5723</v>
      </c>
      <c r="V2037" s="76"/>
      <c r="W2037" s="76"/>
      <c r="X2037" s="76"/>
    </row>
    <row r="2038" ht="18.0" customHeight="1">
      <c r="A2038" s="76"/>
      <c r="B2038" s="76"/>
      <c r="C2038" s="76"/>
      <c r="D2038" s="76"/>
      <c r="E2038" s="76"/>
      <c r="F2038" s="76"/>
      <c r="G2038" s="76"/>
      <c r="H2038" s="76"/>
      <c r="I2038" s="76"/>
      <c r="J2038" s="76"/>
      <c r="K2038" s="76"/>
      <c r="L2038" s="76"/>
      <c r="M2038" s="76"/>
      <c r="N2038" s="76"/>
      <c r="O2038" s="76"/>
      <c r="P2038" s="76"/>
      <c r="Q2038" s="76"/>
      <c r="R2038" s="76"/>
      <c r="S2038" s="76"/>
      <c r="T2038" s="76"/>
      <c r="U2038" s="76" t="s">
        <v>5724</v>
      </c>
      <c r="V2038" s="76"/>
      <c r="W2038" s="76"/>
      <c r="X2038" s="76"/>
    </row>
    <row r="2039" ht="18.0" customHeight="1">
      <c r="A2039" s="76"/>
      <c r="B2039" s="76"/>
      <c r="C2039" s="76"/>
      <c r="D2039" s="76"/>
      <c r="E2039" s="76"/>
      <c r="F2039" s="76"/>
      <c r="G2039" s="76"/>
      <c r="H2039" s="76"/>
      <c r="I2039" s="76"/>
      <c r="J2039" s="76"/>
      <c r="K2039" s="76"/>
      <c r="L2039" s="76"/>
      <c r="M2039" s="76"/>
      <c r="N2039" s="76"/>
      <c r="O2039" s="76"/>
      <c r="P2039" s="76"/>
      <c r="Q2039" s="76"/>
      <c r="R2039" s="76"/>
      <c r="S2039" s="76"/>
      <c r="T2039" s="76"/>
      <c r="U2039" s="76" t="s">
        <v>5725</v>
      </c>
      <c r="V2039" s="76"/>
      <c r="W2039" s="76"/>
      <c r="X2039" s="76"/>
    </row>
    <row r="2040" ht="18.0" customHeight="1">
      <c r="A2040" s="76"/>
      <c r="B2040" s="76"/>
      <c r="C2040" s="76"/>
      <c r="D2040" s="76"/>
      <c r="E2040" s="76"/>
      <c r="F2040" s="76"/>
      <c r="G2040" s="76"/>
      <c r="H2040" s="76"/>
      <c r="I2040" s="76"/>
      <c r="J2040" s="76"/>
      <c r="K2040" s="76"/>
      <c r="L2040" s="76"/>
      <c r="M2040" s="76"/>
      <c r="N2040" s="76"/>
      <c r="O2040" s="76"/>
      <c r="P2040" s="76"/>
      <c r="Q2040" s="76"/>
      <c r="R2040" s="76"/>
      <c r="S2040" s="76"/>
      <c r="T2040" s="76"/>
      <c r="U2040" s="76" t="s">
        <v>5726</v>
      </c>
      <c r="V2040" s="76"/>
      <c r="W2040" s="76"/>
      <c r="X2040" s="76"/>
    </row>
    <row r="2041" ht="18.0" customHeight="1">
      <c r="A2041" s="76"/>
      <c r="B2041" s="76"/>
      <c r="C2041" s="76"/>
      <c r="D2041" s="76"/>
      <c r="E2041" s="76"/>
      <c r="F2041" s="76"/>
      <c r="G2041" s="76"/>
      <c r="H2041" s="76"/>
      <c r="I2041" s="76"/>
      <c r="J2041" s="76"/>
      <c r="K2041" s="76"/>
      <c r="L2041" s="76"/>
      <c r="M2041" s="76"/>
      <c r="N2041" s="76"/>
      <c r="O2041" s="76"/>
      <c r="P2041" s="76"/>
      <c r="Q2041" s="76"/>
      <c r="R2041" s="76"/>
      <c r="S2041" s="76"/>
      <c r="T2041" s="76"/>
      <c r="U2041" s="76" t="s">
        <v>5727</v>
      </c>
      <c r="V2041" s="76"/>
      <c r="W2041" s="76"/>
      <c r="X2041" s="76"/>
    </row>
    <row r="2042" ht="18.0" customHeight="1">
      <c r="A2042" s="76"/>
      <c r="B2042" s="76"/>
      <c r="C2042" s="76"/>
      <c r="D2042" s="76"/>
      <c r="E2042" s="76"/>
      <c r="F2042" s="76"/>
      <c r="G2042" s="76"/>
      <c r="H2042" s="76"/>
      <c r="I2042" s="76"/>
      <c r="J2042" s="76"/>
      <c r="K2042" s="76"/>
      <c r="L2042" s="76"/>
      <c r="M2042" s="76"/>
      <c r="N2042" s="76"/>
      <c r="O2042" s="76"/>
      <c r="P2042" s="76"/>
      <c r="Q2042" s="76"/>
      <c r="R2042" s="76"/>
      <c r="S2042" s="76"/>
      <c r="T2042" s="76"/>
      <c r="U2042" s="76" t="s">
        <v>5728</v>
      </c>
      <c r="V2042" s="76"/>
      <c r="W2042" s="76"/>
      <c r="X2042" s="76"/>
    </row>
    <row r="2043" ht="18.0" customHeight="1">
      <c r="A2043" s="76"/>
      <c r="B2043" s="76"/>
      <c r="C2043" s="76"/>
      <c r="D2043" s="76"/>
      <c r="E2043" s="76"/>
      <c r="F2043" s="76"/>
      <c r="G2043" s="76"/>
      <c r="H2043" s="76"/>
      <c r="I2043" s="76"/>
      <c r="J2043" s="76"/>
      <c r="K2043" s="76"/>
      <c r="L2043" s="76"/>
      <c r="M2043" s="76"/>
      <c r="N2043" s="76"/>
      <c r="O2043" s="76"/>
      <c r="P2043" s="76"/>
      <c r="Q2043" s="76"/>
      <c r="R2043" s="76"/>
      <c r="S2043" s="76"/>
      <c r="T2043" s="76"/>
      <c r="U2043" s="76" t="s">
        <v>5729</v>
      </c>
      <c r="V2043" s="76"/>
      <c r="W2043" s="76"/>
      <c r="X2043" s="76"/>
    </row>
    <row r="2044" ht="18.0" customHeight="1">
      <c r="A2044" s="76"/>
      <c r="B2044" s="76"/>
      <c r="C2044" s="76"/>
      <c r="D2044" s="76"/>
      <c r="E2044" s="76"/>
      <c r="F2044" s="76"/>
      <c r="G2044" s="76"/>
      <c r="H2044" s="76"/>
      <c r="I2044" s="76"/>
      <c r="J2044" s="76"/>
      <c r="K2044" s="76"/>
      <c r="L2044" s="76"/>
      <c r="M2044" s="76"/>
      <c r="N2044" s="76"/>
      <c r="O2044" s="76"/>
      <c r="P2044" s="76"/>
      <c r="Q2044" s="76"/>
      <c r="R2044" s="76"/>
      <c r="S2044" s="76"/>
      <c r="T2044" s="76"/>
      <c r="U2044" s="76" t="s">
        <v>5730</v>
      </c>
      <c r="V2044" s="76"/>
      <c r="W2044" s="76"/>
      <c r="X2044" s="76"/>
    </row>
    <row r="2045" ht="18.0" customHeight="1">
      <c r="A2045" s="76"/>
      <c r="B2045" s="76"/>
      <c r="C2045" s="76"/>
      <c r="D2045" s="76"/>
      <c r="E2045" s="76"/>
      <c r="F2045" s="76"/>
      <c r="G2045" s="76"/>
      <c r="H2045" s="76"/>
      <c r="I2045" s="76"/>
      <c r="J2045" s="76"/>
      <c r="K2045" s="76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 t="s">
        <v>5731</v>
      </c>
      <c r="V2045" s="76"/>
      <c r="W2045" s="76"/>
      <c r="X2045" s="76"/>
    </row>
    <row r="2046" ht="18.0" customHeight="1">
      <c r="A2046" s="76"/>
      <c r="B2046" s="76"/>
      <c r="C2046" s="76"/>
      <c r="D2046" s="76"/>
      <c r="E2046" s="76"/>
      <c r="F2046" s="76"/>
      <c r="G2046" s="76"/>
      <c r="H2046" s="76"/>
      <c r="I2046" s="76"/>
      <c r="J2046" s="76"/>
      <c r="K2046" s="76"/>
      <c r="L2046" s="76"/>
      <c r="M2046" s="76"/>
      <c r="N2046" s="76"/>
      <c r="O2046" s="76"/>
      <c r="P2046" s="76"/>
      <c r="Q2046" s="76"/>
      <c r="R2046" s="76"/>
      <c r="S2046" s="76"/>
      <c r="T2046" s="76"/>
      <c r="U2046" s="76" t="s">
        <v>5732</v>
      </c>
      <c r="V2046" s="76"/>
      <c r="W2046" s="76"/>
      <c r="X2046" s="76"/>
    </row>
    <row r="2047" ht="18.0" customHeight="1">
      <c r="A2047" s="76"/>
      <c r="B2047" s="76"/>
      <c r="C2047" s="76"/>
      <c r="D2047" s="76"/>
      <c r="E2047" s="76"/>
      <c r="F2047" s="76"/>
      <c r="G2047" s="76"/>
      <c r="H2047" s="76"/>
      <c r="I2047" s="76"/>
      <c r="J2047" s="76"/>
      <c r="K2047" s="76"/>
      <c r="L2047" s="76"/>
      <c r="M2047" s="76"/>
      <c r="N2047" s="76"/>
      <c r="O2047" s="76"/>
      <c r="P2047" s="76"/>
      <c r="Q2047" s="76"/>
      <c r="R2047" s="76"/>
      <c r="S2047" s="76"/>
      <c r="T2047" s="76"/>
      <c r="U2047" s="76" t="s">
        <v>5733</v>
      </c>
      <c r="V2047" s="76"/>
      <c r="W2047" s="76"/>
      <c r="X2047" s="76"/>
    </row>
    <row r="2048" ht="18.0" customHeight="1">
      <c r="A2048" s="76"/>
      <c r="B2048" s="76"/>
      <c r="C2048" s="76"/>
      <c r="D2048" s="76"/>
      <c r="E2048" s="76"/>
      <c r="F2048" s="76"/>
      <c r="G2048" s="76"/>
      <c r="H2048" s="76"/>
      <c r="I2048" s="76"/>
      <c r="J2048" s="76"/>
      <c r="K2048" s="76"/>
      <c r="L2048" s="76"/>
      <c r="M2048" s="76"/>
      <c r="N2048" s="76"/>
      <c r="O2048" s="76"/>
      <c r="P2048" s="76"/>
      <c r="Q2048" s="76"/>
      <c r="R2048" s="76"/>
      <c r="S2048" s="76"/>
      <c r="T2048" s="76"/>
      <c r="U2048" s="76" t="s">
        <v>5734</v>
      </c>
      <c r="V2048" s="76"/>
      <c r="W2048" s="76"/>
      <c r="X2048" s="76"/>
    </row>
    <row r="2049" ht="18.0" customHeight="1">
      <c r="A2049" s="76"/>
      <c r="B2049" s="76"/>
      <c r="C2049" s="76"/>
      <c r="D2049" s="76"/>
      <c r="E2049" s="76"/>
      <c r="F2049" s="76"/>
      <c r="G2049" s="76"/>
      <c r="H2049" s="76"/>
      <c r="I2049" s="76"/>
      <c r="J2049" s="76"/>
      <c r="K2049" s="76"/>
      <c r="L2049" s="76"/>
      <c r="M2049" s="76"/>
      <c r="N2049" s="76"/>
      <c r="O2049" s="76"/>
      <c r="P2049" s="76"/>
      <c r="Q2049" s="76"/>
      <c r="R2049" s="76"/>
      <c r="S2049" s="76"/>
      <c r="T2049" s="76"/>
      <c r="U2049" s="76" t="s">
        <v>5735</v>
      </c>
      <c r="V2049" s="76"/>
      <c r="W2049" s="76"/>
      <c r="X2049" s="76"/>
    </row>
    <row r="2050" ht="18.0" customHeight="1">
      <c r="A2050" s="76"/>
      <c r="B2050" s="76"/>
      <c r="C2050" s="76"/>
      <c r="D2050" s="76"/>
      <c r="E2050" s="76"/>
      <c r="F2050" s="76"/>
      <c r="G2050" s="76"/>
      <c r="H2050" s="76"/>
      <c r="I2050" s="76"/>
      <c r="J2050" s="76"/>
      <c r="K2050" s="76"/>
      <c r="L2050" s="76"/>
      <c r="M2050" s="76"/>
      <c r="N2050" s="76"/>
      <c r="O2050" s="76"/>
      <c r="P2050" s="76"/>
      <c r="Q2050" s="76"/>
      <c r="R2050" s="76"/>
      <c r="S2050" s="76"/>
      <c r="T2050" s="76"/>
      <c r="U2050" s="76" t="s">
        <v>5736</v>
      </c>
      <c r="V2050" s="76"/>
      <c r="W2050" s="76"/>
      <c r="X2050" s="76"/>
    </row>
    <row r="2051" ht="18.0" customHeight="1">
      <c r="A2051" s="76"/>
      <c r="B2051" s="76"/>
      <c r="C2051" s="76"/>
      <c r="D2051" s="76"/>
      <c r="E2051" s="76"/>
      <c r="F2051" s="76"/>
      <c r="G2051" s="76"/>
      <c r="H2051" s="76"/>
      <c r="I2051" s="76"/>
      <c r="J2051" s="76"/>
      <c r="K2051" s="76"/>
      <c r="L2051" s="76"/>
      <c r="M2051" s="76"/>
      <c r="N2051" s="76"/>
      <c r="O2051" s="76"/>
      <c r="P2051" s="76"/>
      <c r="Q2051" s="76"/>
      <c r="R2051" s="76"/>
      <c r="S2051" s="76"/>
      <c r="T2051" s="76"/>
      <c r="U2051" s="76" t="s">
        <v>5737</v>
      </c>
      <c r="V2051" s="76"/>
      <c r="W2051" s="76"/>
      <c r="X2051" s="76"/>
    </row>
    <row r="2052" ht="18.0" customHeight="1">
      <c r="A2052" s="76"/>
      <c r="B2052" s="76"/>
      <c r="C2052" s="76"/>
      <c r="D2052" s="76"/>
      <c r="E2052" s="76"/>
      <c r="F2052" s="76"/>
      <c r="G2052" s="76"/>
      <c r="H2052" s="76"/>
      <c r="I2052" s="76"/>
      <c r="J2052" s="76"/>
      <c r="K2052" s="76"/>
      <c r="L2052" s="76"/>
      <c r="M2052" s="76"/>
      <c r="N2052" s="76"/>
      <c r="O2052" s="76"/>
      <c r="P2052" s="76"/>
      <c r="Q2052" s="76"/>
      <c r="R2052" s="76"/>
      <c r="S2052" s="76"/>
      <c r="T2052" s="76"/>
      <c r="U2052" s="76" t="s">
        <v>5738</v>
      </c>
      <c r="V2052" s="76"/>
      <c r="W2052" s="76"/>
      <c r="X2052" s="76"/>
    </row>
    <row r="2053" ht="18.0" customHeight="1">
      <c r="A2053" s="76"/>
      <c r="B2053" s="76"/>
      <c r="C2053" s="76"/>
      <c r="D2053" s="76"/>
      <c r="E2053" s="76"/>
      <c r="F2053" s="76"/>
      <c r="G2053" s="76"/>
      <c r="H2053" s="76"/>
      <c r="I2053" s="76"/>
      <c r="J2053" s="76"/>
      <c r="K2053" s="76"/>
      <c r="L2053" s="76"/>
      <c r="M2053" s="76"/>
      <c r="N2053" s="76"/>
      <c r="O2053" s="76"/>
      <c r="P2053" s="76"/>
      <c r="Q2053" s="76"/>
      <c r="R2053" s="76"/>
      <c r="S2053" s="76"/>
      <c r="T2053" s="76"/>
      <c r="U2053" s="76" t="s">
        <v>5739</v>
      </c>
      <c r="V2053" s="76"/>
      <c r="W2053" s="76"/>
      <c r="X2053" s="76"/>
    </row>
    <row r="2054" ht="18.0" customHeight="1">
      <c r="A2054" s="76"/>
      <c r="B2054" s="76"/>
      <c r="C2054" s="76"/>
      <c r="D2054" s="76"/>
      <c r="E2054" s="76"/>
      <c r="F2054" s="76"/>
      <c r="G2054" s="76"/>
      <c r="H2054" s="76"/>
      <c r="I2054" s="76"/>
      <c r="J2054" s="76"/>
      <c r="K2054" s="76"/>
      <c r="L2054" s="76"/>
      <c r="M2054" s="76"/>
      <c r="N2054" s="76"/>
      <c r="O2054" s="76"/>
      <c r="P2054" s="76"/>
      <c r="Q2054" s="76"/>
      <c r="R2054" s="76"/>
      <c r="S2054" s="76"/>
      <c r="T2054" s="76"/>
      <c r="U2054" s="76" t="s">
        <v>5740</v>
      </c>
      <c r="V2054" s="76"/>
      <c r="W2054" s="76"/>
      <c r="X2054" s="76"/>
    </row>
    <row r="2055" ht="18.0" customHeight="1">
      <c r="A2055" s="76"/>
      <c r="B2055" s="76"/>
      <c r="C2055" s="76"/>
      <c r="D2055" s="76"/>
      <c r="E2055" s="76"/>
      <c r="F2055" s="76"/>
      <c r="G2055" s="76"/>
      <c r="H2055" s="76"/>
      <c r="I2055" s="76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 t="s">
        <v>5741</v>
      </c>
      <c r="V2055" s="76"/>
      <c r="W2055" s="76"/>
      <c r="X2055" s="76"/>
    </row>
    <row r="2056" ht="18.0" customHeight="1">
      <c r="A2056" s="76"/>
      <c r="B2056" s="76"/>
      <c r="C2056" s="76"/>
      <c r="D2056" s="76"/>
      <c r="E2056" s="76"/>
      <c r="F2056" s="76"/>
      <c r="G2056" s="76"/>
      <c r="H2056" s="76"/>
      <c r="I2056" s="76"/>
      <c r="J2056" s="76"/>
      <c r="K2056" s="76"/>
      <c r="L2056" s="76"/>
      <c r="M2056" s="76"/>
      <c r="N2056" s="76"/>
      <c r="O2056" s="76"/>
      <c r="P2056" s="76"/>
      <c r="Q2056" s="76"/>
      <c r="R2056" s="76"/>
      <c r="S2056" s="76"/>
      <c r="T2056" s="76"/>
      <c r="U2056" s="76" t="s">
        <v>5742</v>
      </c>
      <c r="V2056" s="76"/>
      <c r="W2056" s="76"/>
      <c r="X2056" s="76"/>
    </row>
    <row r="2057" ht="18.0" customHeight="1">
      <c r="A2057" s="76"/>
      <c r="B2057" s="76"/>
      <c r="C2057" s="76"/>
      <c r="D2057" s="76"/>
      <c r="E2057" s="76"/>
      <c r="F2057" s="76"/>
      <c r="G2057" s="76"/>
      <c r="H2057" s="76"/>
      <c r="I2057" s="76"/>
      <c r="J2057" s="76"/>
      <c r="K2057" s="76"/>
      <c r="L2057" s="76"/>
      <c r="M2057" s="76"/>
      <c r="N2057" s="76"/>
      <c r="O2057" s="76"/>
      <c r="P2057" s="76"/>
      <c r="Q2057" s="76"/>
      <c r="R2057" s="76"/>
      <c r="S2057" s="76"/>
      <c r="T2057" s="76"/>
      <c r="U2057" s="76" t="s">
        <v>5743</v>
      </c>
      <c r="V2057" s="76"/>
      <c r="W2057" s="76"/>
      <c r="X2057" s="76"/>
    </row>
    <row r="2058" ht="18.0" customHeight="1">
      <c r="A2058" s="76"/>
      <c r="B2058" s="76"/>
      <c r="C2058" s="76"/>
      <c r="D2058" s="76"/>
      <c r="E2058" s="76"/>
      <c r="F2058" s="76"/>
      <c r="G2058" s="76"/>
      <c r="H2058" s="76"/>
      <c r="I2058" s="76"/>
      <c r="J2058" s="76"/>
      <c r="K2058" s="76"/>
      <c r="L2058" s="76"/>
      <c r="M2058" s="76"/>
      <c r="N2058" s="76"/>
      <c r="O2058" s="76"/>
      <c r="P2058" s="76"/>
      <c r="Q2058" s="76"/>
      <c r="R2058" s="76"/>
      <c r="S2058" s="76"/>
      <c r="T2058" s="76"/>
      <c r="U2058" s="76" t="s">
        <v>5744</v>
      </c>
      <c r="V2058" s="76"/>
      <c r="W2058" s="76"/>
      <c r="X2058" s="76"/>
    </row>
    <row r="2059" ht="18.0" customHeight="1">
      <c r="A2059" s="76"/>
      <c r="B2059" s="76"/>
      <c r="C2059" s="76"/>
      <c r="D2059" s="76"/>
      <c r="E2059" s="76"/>
      <c r="F2059" s="76"/>
      <c r="G2059" s="76"/>
      <c r="H2059" s="76"/>
      <c r="I2059" s="76"/>
      <c r="J2059" s="76"/>
      <c r="K2059" s="76"/>
      <c r="L2059" s="76"/>
      <c r="M2059" s="76"/>
      <c r="N2059" s="76"/>
      <c r="O2059" s="76"/>
      <c r="P2059" s="76"/>
      <c r="Q2059" s="76"/>
      <c r="R2059" s="76"/>
      <c r="S2059" s="76"/>
      <c r="T2059" s="76"/>
      <c r="U2059" s="76" t="s">
        <v>5745</v>
      </c>
      <c r="V2059" s="76"/>
      <c r="W2059" s="76"/>
      <c r="X2059" s="76"/>
    </row>
    <row r="2060" ht="18.0" customHeight="1">
      <c r="A2060" s="76"/>
      <c r="B2060" s="76"/>
      <c r="C2060" s="76"/>
      <c r="D2060" s="76"/>
      <c r="E2060" s="76"/>
      <c r="F2060" s="76"/>
      <c r="G2060" s="76"/>
      <c r="H2060" s="76"/>
      <c r="I2060" s="76"/>
      <c r="J2060" s="76"/>
      <c r="K2060" s="76"/>
      <c r="L2060" s="76"/>
      <c r="M2060" s="76"/>
      <c r="N2060" s="76"/>
      <c r="O2060" s="76"/>
      <c r="P2060" s="76"/>
      <c r="Q2060" s="76"/>
      <c r="R2060" s="76"/>
      <c r="S2060" s="76"/>
      <c r="T2060" s="76"/>
      <c r="U2060" s="76" t="s">
        <v>5746</v>
      </c>
      <c r="V2060" s="76"/>
      <c r="W2060" s="76"/>
      <c r="X2060" s="76"/>
    </row>
    <row r="2061" ht="18.0" customHeight="1">
      <c r="A2061" s="76"/>
      <c r="B2061" s="76"/>
      <c r="C2061" s="76"/>
      <c r="D2061" s="76"/>
      <c r="E2061" s="76"/>
      <c r="F2061" s="76"/>
      <c r="G2061" s="76"/>
      <c r="H2061" s="76"/>
      <c r="I2061" s="76"/>
      <c r="J2061" s="76"/>
      <c r="K2061" s="76"/>
      <c r="L2061" s="76"/>
      <c r="M2061" s="76"/>
      <c r="N2061" s="76"/>
      <c r="O2061" s="76"/>
      <c r="P2061" s="76"/>
      <c r="Q2061" s="76"/>
      <c r="R2061" s="76"/>
      <c r="S2061" s="76"/>
      <c r="T2061" s="76"/>
      <c r="U2061" s="76" t="s">
        <v>5747</v>
      </c>
      <c r="V2061" s="76"/>
      <c r="W2061" s="76"/>
      <c r="X2061" s="76"/>
    </row>
    <row r="2062" ht="18.0" customHeight="1">
      <c r="A2062" s="76"/>
      <c r="B2062" s="76"/>
      <c r="C2062" s="76"/>
      <c r="D2062" s="76"/>
      <c r="E2062" s="76"/>
      <c r="F2062" s="76"/>
      <c r="G2062" s="76"/>
      <c r="H2062" s="76"/>
      <c r="I2062" s="76"/>
      <c r="J2062" s="76"/>
      <c r="K2062" s="76"/>
      <c r="L2062" s="76"/>
      <c r="M2062" s="76"/>
      <c r="N2062" s="76"/>
      <c r="O2062" s="76"/>
      <c r="P2062" s="76"/>
      <c r="Q2062" s="76"/>
      <c r="R2062" s="76"/>
      <c r="S2062" s="76"/>
      <c r="T2062" s="76"/>
      <c r="U2062" s="76" t="s">
        <v>5748</v>
      </c>
      <c r="V2062" s="76"/>
      <c r="W2062" s="76"/>
      <c r="X2062" s="76"/>
    </row>
    <row r="2063" ht="18.0" customHeight="1">
      <c r="A2063" s="76"/>
      <c r="B2063" s="76"/>
      <c r="C2063" s="76"/>
      <c r="D2063" s="76"/>
      <c r="E2063" s="76"/>
      <c r="F2063" s="76"/>
      <c r="G2063" s="76"/>
      <c r="H2063" s="76"/>
      <c r="I2063" s="76"/>
      <c r="J2063" s="76"/>
      <c r="K2063" s="76"/>
      <c r="L2063" s="76"/>
      <c r="M2063" s="76"/>
      <c r="N2063" s="76"/>
      <c r="O2063" s="76"/>
      <c r="P2063" s="76"/>
      <c r="Q2063" s="76"/>
      <c r="R2063" s="76"/>
      <c r="S2063" s="76"/>
      <c r="T2063" s="76"/>
      <c r="U2063" s="76" t="s">
        <v>5749</v>
      </c>
      <c r="V2063" s="76"/>
      <c r="W2063" s="76"/>
      <c r="X2063" s="76"/>
    </row>
    <row r="2064" ht="18.0" customHeight="1">
      <c r="A2064" s="76"/>
      <c r="B2064" s="76"/>
      <c r="C2064" s="76"/>
      <c r="D2064" s="76"/>
      <c r="E2064" s="76"/>
      <c r="F2064" s="76"/>
      <c r="G2064" s="76"/>
      <c r="H2064" s="76"/>
      <c r="I2064" s="76"/>
      <c r="J2064" s="76"/>
      <c r="K2064" s="76"/>
      <c r="L2064" s="76"/>
      <c r="M2064" s="76"/>
      <c r="N2064" s="76"/>
      <c r="O2064" s="76"/>
      <c r="P2064" s="76"/>
      <c r="Q2064" s="76"/>
      <c r="R2064" s="76"/>
      <c r="S2064" s="76"/>
      <c r="T2064" s="76"/>
      <c r="U2064" s="76" t="s">
        <v>5750</v>
      </c>
      <c r="V2064" s="76"/>
      <c r="W2064" s="76"/>
      <c r="X2064" s="76"/>
    </row>
    <row r="2065" ht="18.0" customHeight="1">
      <c r="A2065" s="76"/>
      <c r="B2065" s="76"/>
      <c r="C2065" s="76"/>
      <c r="D2065" s="76"/>
      <c r="E2065" s="76"/>
      <c r="F2065" s="76"/>
      <c r="G2065" s="76"/>
      <c r="H2065" s="76"/>
      <c r="I2065" s="76"/>
      <c r="J2065" s="76"/>
      <c r="K2065" s="76"/>
      <c r="L2065" s="76"/>
      <c r="M2065" s="76"/>
      <c r="N2065" s="76"/>
      <c r="O2065" s="76"/>
      <c r="P2065" s="76"/>
      <c r="Q2065" s="76"/>
      <c r="R2065" s="76"/>
      <c r="S2065" s="76"/>
      <c r="T2065" s="76"/>
      <c r="U2065" s="76" t="s">
        <v>5751</v>
      </c>
      <c r="V2065" s="76"/>
      <c r="W2065" s="76"/>
      <c r="X2065" s="76"/>
    </row>
    <row r="2066" ht="18.0" customHeight="1">
      <c r="A2066" s="76"/>
      <c r="B2066" s="76"/>
      <c r="C2066" s="76"/>
      <c r="D2066" s="76"/>
      <c r="E2066" s="76"/>
      <c r="F2066" s="76"/>
      <c r="G2066" s="76"/>
      <c r="H2066" s="76"/>
      <c r="I2066" s="76"/>
      <c r="J2066" s="76"/>
      <c r="K2066" s="76"/>
      <c r="L2066" s="76"/>
      <c r="M2066" s="76"/>
      <c r="N2066" s="76"/>
      <c r="O2066" s="76"/>
      <c r="P2066" s="76"/>
      <c r="Q2066" s="76"/>
      <c r="R2066" s="76"/>
      <c r="S2066" s="76"/>
      <c r="T2066" s="76"/>
      <c r="U2066" s="76" t="s">
        <v>5752</v>
      </c>
      <c r="V2066" s="76"/>
      <c r="W2066" s="76"/>
      <c r="X2066" s="76"/>
    </row>
    <row r="2067" ht="18.0" customHeight="1">
      <c r="A2067" s="76"/>
      <c r="B2067" s="76"/>
      <c r="C2067" s="76"/>
      <c r="D2067" s="76"/>
      <c r="E2067" s="76"/>
      <c r="F2067" s="76"/>
      <c r="G2067" s="76"/>
      <c r="H2067" s="76"/>
      <c r="I2067" s="76"/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 t="s">
        <v>5753</v>
      </c>
      <c r="V2067" s="76"/>
      <c r="W2067" s="76"/>
      <c r="X2067" s="76"/>
    </row>
    <row r="2068" ht="18.0" customHeight="1">
      <c r="A2068" s="76"/>
      <c r="B2068" s="76"/>
      <c r="C2068" s="76"/>
      <c r="D2068" s="76"/>
      <c r="E2068" s="76"/>
      <c r="F2068" s="76"/>
      <c r="G2068" s="76"/>
      <c r="H2068" s="76"/>
      <c r="I2068" s="76"/>
      <c r="J2068" s="76"/>
      <c r="K2068" s="76"/>
      <c r="L2068" s="76"/>
      <c r="M2068" s="76"/>
      <c r="N2068" s="76"/>
      <c r="O2068" s="76"/>
      <c r="P2068" s="76"/>
      <c r="Q2068" s="76"/>
      <c r="R2068" s="76"/>
      <c r="S2068" s="76"/>
      <c r="T2068" s="76"/>
      <c r="U2068" s="76" t="s">
        <v>5754</v>
      </c>
      <c r="V2068" s="76"/>
      <c r="W2068" s="76"/>
      <c r="X2068" s="76"/>
    </row>
    <row r="2069" ht="18.0" customHeight="1">
      <c r="A2069" s="76"/>
      <c r="B2069" s="76"/>
      <c r="C2069" s="76"/>
      <c r="D2069" s="76"/>
      <c r="E2069" s="76"/>
      <c r="F2069" s="76"/>
      <c r="G2069" s="76"/>
      <c r="H2069" s="76"/>
      <c r="I2069" s="76"/>
      <c r="J2069" s="76"/>
      <c r="K2069" s="76"/>
      <c r="L2069" s="76"/>
      <c r="M2069" s="76"/>
      <c r="N2069" s="76"/>
      <c r="O2069" s="76"/>
      <c r="P2069" s="76"/>
      <c r="Q2069" s="76"/>
      <c r="R2069" s="76"/>
      <c r="S2069" s="76"/>
      <c r="T2069" s="76"/>
      <c r="U2069" s="76" t="s">
        <v>5755</v>
      </c>
      <c r="V2069" s="76"/>
      <c r="W2069" s="76"/>
      <c r="X2069" s="76"/>
    </row>
    <row r="2070" ht="18.0" customHeight="1">
      <c r="A2070" s="76"/>
      <c r="B2070" s="76"/>
      <c r="C2070" s="76"/>
      <c r="D2070" s="76"/>
      <c r="E2070" s="76"/>
      <c r="F2070" s="76"/>
      <c r="G2070" s="76"/>
      <c r="H2070" s="76"/>
      <c r="I2070" s="76"/>
      <c r="J2070" s="76"/>
      <c r="K2070" s="76"/>
      <c r="L2070" s="76"/>
      <c r="M2070" s="76"/>
      <c r="N2070" s="76"/>
      <c r="O2070" s="76"/>
      <c r="P2070" s="76"/>
      <c r="Q2070" s="76"/>
      <c r="R2070" s="76"/>
      <c r="S2070" s="76"/>
      <c r="T2070" s="76"/>
      <c r="U2070" s="76" t="s">
        <v>5756</v>
      </c>
      <c r="V2070" s="76"/>
      <c r="W2070" s="76"/>
      <c r="X2070" s="76"/>
    </row>
    <row r="2071" ht="18.0" customHeight="1">
      <c r="A2071" s="76"/>
      <c r="B2071" s="76"/>
      <c r="C2071" s="76"/>
      <c r="D2071" s="76"/>
      <c r="E2071" s="76"/>
      <c r="F2071" s="76"/>
      <c r="G2071" s="76"/>
      <c r="H2071" s="76"/>
      <c r="I2071" s="76"/>
      <c r="J2071" s="76"/>
      <c r="K2071" s="76"/>
      <c r="L2071" s="76"/>
      <c r="M2071" s="76"/>
      <c r="N2071" s="76"/>
      <c r="O2071" s="76"/>
      <c r="P2071" s="76"/>
      <c r="Q2071" s="76"/>
      <c r="R2071" s="76"/>
      <c r="S2071" s="76"/>
      <c r="T2071" s="76"/>
      <c r="U2071" s="76" t="s">
        <v>5757</v>
      </c>
      <c r="V2071" s="76"/>
      <c r="W2071" s="76"/>
      <c r="X2071" s="76"/>
    </row>
    <row r="2072" ht="18.0" customHeight="1">
      <c r="A2072" s="76"/>
      <c r="B2072" s="76"/>
      <c r="C2072" s="76"/>
      <c r="D2072" s="76"/>
      <c r="E2072" s="76"/>
      <c r="F2072" s="76"/>
      <c r="G2072" s="76"/>
      <c r="H2072" s="76"/>
      <c r="I2072" s="76"/>
      <c r="J2072" s="76"/>
      <c r="K2072" s="76"/>
      <c r="L2072" s="76"/>
      <c r="M2072" s="76"/>
      <c r="N2072" s="76"/>
      <c r="O2072" s="76"/>
      <c r="P2072" s="76"/>
      <c r="Q2072" s="76"/>
      <c r="R2072" s="76"/>
      <c r="S2072" s="76"/>
      <c r="T2072" s="76"/>
      <c r="U2072" s="76" t="s">
        <v>5758</v>
      </c>
      <c r="V2072" s="76"/>
      <c r="W2072" s="76"/>
      <c r="X2072" s="76"/>
    </row>
    <row r="2073" ht="18.0" customHeight="1">
      <c r="A2073" s="76"/>
      <c r="B2073" s="76"/>
      <c r="C2073" s="76"/>
      <c r="D2073" s="76"/>
      <c r="E2073" s="76"/>
      <c r="F2073" s="76"/>
      <c r="G2073" s="76"/>
      <c r="H2073" s="76"/>
      <c r="I2073" s="76"/>
      <c r="J2073" s="76"/>
      <c r="K2073" s="76"/>
      <c r="L2073" s="76"/>
      <c r="M2073" s="76"/>
      <c r="N2073" s="76"/>
      <c r="O2073" s="76"/>
      <c r="P2073" s="76"/>
      <c r="Q2073" s="76"/>
      <c r="R2073" s="76"/>
      <c r="S2073" s="76"/>
      <c r="T2073" s="76"/>
      <c r="U2073" s="76" t="s">
        <v>5759</v>
      </c>
      <c r="V2073" s="76"/>
      <c r="W2073" s="76"/>
      <c r="X2073" s="76"/>
    </row>
    <row r="2074" ht="18.0" customHeight="1">
      <c r="A2074" s="76"/>
      <c r="B2074" s="76"/>
      <c r="C2074" s="76"/>
      <c r="D2074" s="76"/>
      <c r="E2074" s="76"/>
      <c r="F2074" s="76"/>
      <c r="G2074" s="76"/>
      <c r="H2074" s="76"/>
      <c r="I2074" s="76"/>
      <c r="J2074" s="76"/>
      <c r="K2074" s="76"/>
      <c r="L2074" s="76"/>
      <c r="M2074" s="76"/>
      <c r="N2074" s="76"/>
      <c r="O2074" s="76"/>
      <c r="P2074" s="76"/>
      <c r="Q2074" s="76"/>
      <c r="R2074" s="76"/>
      <c r="S2074" s="76"/>
      <c r="T2074" s="76"/>
      <c r="U2074" s="76" t="s">
        <v>5760</v>
      </c>
      <c r="V2074" s="76"/>
      <c r="W2074" s="76"/>
      <c r="X2074" s="76"/>
    </row>
    <row r="2075" ht="18.0" customHeight="1">
      <c r="A2075" s="76"/>
      <c r="B2075" s="76"/>
      <c r="C2075" s="76"/>
      <c r="D2075" s="76"/>
      <c r="E2075" s="76"/>
      <c r="F2075" s="76"/>
      <c r="G2075" s="76"/>
      <c r="H2075" s="76"/>
      <c r="I2075" s="76"/>
      <c r="J2075" s="76"/>
      <c r="K2075" s="76"/>
      <c r="L2075" s="76"/>
      <c r="M2075" s="76"/>
      <c r="N2075" s="76"/>
      <c r="O2075" s="76"/>
      <c r="P2075" s="76"/>
      <c r="Q2075" s="76"/>
      <c r="R2075" s="76"/>
      <c r="S2075" s="76"/>
      <c r="T2075" s="76"/>
      <c r="U2075" s="76" t="s">
        <v>5761</v>
      </c>
      <c r="V2075" s="76"/>
      <c r="W2075" s="76"/>
      <c r="X2075" s="76"/>
    </row>
    <row r="2076" ht="18.0" customHeight="1">
      <c r="A2076" s="76"/>
      <c r="B2076" s="76"/>
      <c r="C2076" s="76"/>
      <c r="D2076" s="76"/>
      <c r="E2076" s="76"/>
      <c r="F2076" s="76"/>
      <c r="G2076" s="76"/>
      <c r="H2076" s="76"/>
      <c r="I2076" s="76"/>
      <c r="J2076" s="76"/>
      <c r="K2076" s="76"/>
      <c r="L2076" s="76"/>
      <c r="M2076" s="76"/>
      <c r="N2076" s="76"/>
      <c r="O2076" s="76"/>
      <c r="P2076" s="76"/>
      <c r="Q2076" s="76"/>
      <c r="R2076" s="76"/>
      <c r="S2076" s="76"/>
      <c r="T2076" s="76"/>
      <c r="U2076" s="76" t="s">
        <v>5762</v>
      </c>
      <c r="V2076" s="76"/>
      <c r="W2076" s="76"/>
      <c r="X2076" s="76"/>
    </row>
    <row r="2077" ht="18.0" customHeight="1">
      <c r="A2077" s="76"/>
      <c r="B2077" s="76"/>
      <c r="C2077" s="76"/>
      <c r="D2077" s="76"/>
      <c r="E2077" s="76"/>
      <c r="F2077" s="76"/>
      <c r="G2077" s="76"/>
      <c r="H2077" s="76"/>
      <c r="I2077" s="76"/>
      <c r="J2077" s="76"/>
      <c r="K2077" s="76"/>
      <c r="L2077" s="76"/>
      <c r="M2077" s="76"/>
      <c r="N2077" s="76"/>
      <c r="O2077" s="76"/>
      <c r="P2077" s="76"/>
      <c r="Q2077" s="76"/>
      <c r="R2077" s="76"/>
      <c r="S2077" s="76"/>
      <c r="T2077" s="76"/>
      <c r="U2077" s="76" t="s">
        <v>5763</v>
      </c>
      <c r="V2077" s="76"/>
      <c r="W2077" s="76"/>
      <c r="X2077" s="76"/>
    </row>
    <row r="2078" ht="18.0" customHeight="1">
      <c r="A2078" s="76"/>
      <c r="B2078" s="76"/>
      <c r="C2078" s="76"/>
      <c r="D2078" s="76"/>
      <c r="E2078" s="76"/>
      <c r="F2078" s="76"/>
      <c r="G2078" s="76"/>
      <c r="H2078" s="76"/>
      <c r="I2078" s="76"/>
      <c r="J2078" s="76"/>
      <c r="K2078" s="76"/>
      <c r="L2078" s="76"/>
      <c r="M2078" s="76"/>
      <c r="N2078" s="76"/>
      <c r="O2078" s="76"/>
      <c r="P2078" s="76"/>
      <c r="Q2078" s="76"/>
      <c r="R2078" s="76"/>
      <c r="S2078" s="76"/>
      <c r="T2078" s="76"/>
      <c r="U2078" s="76" t="s">
        <v>5764</v>
      </c>
      <c r="V2078" s="76"/>
      <c r="W2078" s="76"/>
      <c r="X2078" s="76"/>
    </row>
    <row r="2079" ht="18.0" customHeight="1">
      <c r="A2079" s="76"/>
      <c r="B2079" s="76"/>
      <c r="C2079" s="76"/>
      <c r="D2079" s="76"/>
      <c r="E2079" s="76"/>
      <c r="F2079" s="76"/>
      <c r="G2079" s="76"/>
      <c r="H2079" s="76"/>
      <c r="I2079" s="76"/>
      <c r="J2079" s="76"/>
      <c r="K2079" s="76"/>
      <c r="L2079" s="76"/>
      <c r="M2079" s="76"/>
      <c r="N2079" s="76"/>
      <c r="O2079" s="76"/>
      <c r="P2079" s="76"/>
      <c r="Q2079" s="76"/>
      <c r="R2079" s="76"/>
      <c r="S2079" s="76"/>
      <c r="T2079" s="76"/>
      <c r="U2079" s="76" t="s">
        <v>5765</v>
      </c>
      <c r="V2079" s="76"/>
      <c r="W2079" s="76"/>
      <c r="X2079" s="76"/>
    </row>
    <row r="2080" ht="18.0" customHeight="1">
      <c r="A2080" s="76"/>
      <c r="B2080" s="76"/>
      <c r="C2080" s="76"/>
      <c r="D2080" s="76"/>
      <c r="E2080" s="76"/>
      <c r="F2080" s="76"/>
      <c r="G2080" s="76"/>
      <c r="H2080" s="76"/>
      <c r="I2080" s="76"/>
      <c r="J2080" s="76"/>
      <c r="K2080" s="76"/>
      <c r="L2080" s="76"/>
      <c r="M2080" s="76"/>
      <c r="N2080" s="76"/>
      <c r="O2080" s="76"/>
      <c r="P2080" s="76"/>
      <c r="Q2080" s="76"/>
      <c r="R2080" s="76"/>
      <c r="S2080" s="76"/>
      <c r="T2080" s="76"/>
      <c r="U2080" s="76" t="s">
        <v>5766</v>
      </c>
      <c r="V2080" s="76"/>
      <c r="W2080" s="76"/>
      <c r="X2080" s="76"/>
    </row>
    <row r="2081" ht="18.0" customHeight="1">
      <c r="A2081" s="76"/>
      <c r="B2081" s="76"/>
      <c r="C2081" s="76"/>
      <c r="D2081" s="76"/>
      <c r="E2081" s="76"/>
      <c r="F2081" s="76"/>
      <c r="G2081" s="76"/>
      <c r="H2081" s="76"/>
      <c r="I2081" s="76"/>
      <c r="J2081" s="76"/>
      <c r="K2081" s="76"/>
      <c r="L2081" s="76"/>
      <c r="M2081" s="76"/>
      <c r="N2081" s="76"/>
      <c r="O2081" s="76"/>
      <c r="P2081" s="76"/>
      <c r="Q2081" s="76"/>
      <c r="R2081" s="76"/>
      <c r="S2081" s="76"/>
      <c r="T2081" s="76"/>
      <c r="U2081" s="76" t="s">
        <v>5767</v>
      </c>
      <c r="V2081" s="76"/>
      <c r="W2081" s="76"/>
      <c r="X2081" s="76"/>
    </row>
    <row r="2082" ht="18.0" customHeight="1">
      <c r="A2082" s="76"/>
      <c r="B2082" s="76"/>
      <c r="C2082" s="76"/>
      <c r="D2082" s="76"/>
      <c r="E2082" s="76"/>
      <c r="F2082" s="76"/>
      <c r="G2082" s="76"/>
      <c r="H2082" s="76"/>
      <c r="I2082" s="76"/>
      <c r="J2082" s="76"/>
      <c r="K2082" s="76"/>
      <c r="L2082" s="76"/>
      <c r="M2082" s="76"/>
      <c r="N2082" s="76"/>
      <c r="O2082" s="76"/>
      <c r="P2082" s="76"/>
      <c r="Q2082" s="76"/>
      <c r="R2082" s="76"/>
      <c r="S2082" s="76"/>
      <c r="T2082" s="76"/>
      <c r="U2082" s="76" t="s">
        <v>5768</v>
      </c>
      <c r="V2082" s="76"/>
      <c r="W2082" s="76"/>
      <c r="X2082" s="76"/>
    </row>
    <row r="2083" ht="18.0" customHeight="1">
      <c r="A2083" s="76"/>
      <c r="B2083" s="76"/>
      <c r="C2083" s="76"/>
      <c r="D2083" s="76"/>
      <c r="E2083" s="76"/>
      <c r="F2083" s="76"/>
      <c r="G2083" s="76"/>
      <c r="H2083" s="76"/>
      <c r="I2083" s="76"/>
      <c r="J2083" s="76"/>
      <c r="K2083" s="76"/>
      <c r="L2083" s="76"/>
      <c r="M2083" s="76"/>
      <c r="N2083" s="76"/>
      <c r="O2083" s="76"/>
      <c r="P2083" s="76"/>
      <c r="Q2083" s="76"/>
      <c r="R2083" s="76"/>
      <c r="S2083" s="76"/>
      <c r="T2083" s="76"/>
      <c r="U2083" s="76" t="s">
        <v>5769</v>
      </c>
      <c r="V2083" s="76"/>
      <c r="W2083" s="76"/>
      <c r="X2083" s="76"/>
    </row>
    <row r="2084" ht="18.0" customHeight="1">
      <c r="A2084" s="76"/>
      <c r="B2084" s="76"/>
      <c r="C2084" s="76"/>
      <c r="D2084" s="76"/>
      <c r="E2084" s="76"/>
      <c r="F2084" s="76"/>
      <c r="G2084" s="76"/>
      <c r="H2084" s="76"/>
      <c r="I2084" s="76"/>
      <c r="J2084" s="76"/>
      <c r="K2084" s="76"/>
      <c r="L2084" s="76"/>
      <c r="M2084" s="76"/>
      <c r="N2084" s="76"/>
      <c r="O2084" s="76"/>
      <c r="P2084" s="76"/>
      <c r="Q2084" s="76"/>
      <c r="R2084" s="76"/>
      <c r="S2084" s="76"/>
      <c r="T2084" s="76"/>
      <c r="U2084" s="76" t="s">
        <v>5770</v>
      </c>
      <c r="V2084" s="76"/>
      <c r="W2084" s="76"/>
      <c r="X2084" s="76"/>
    </row>
    <row r="2085" ht="18.0" customHeight="1">
      <c r="A2085" s="76"/>
      <c r="B2085" s="76"/>
      <c r="C2085" s="76"/>
      <c r="D2085" s="76"/>
      <c r="E2085" s="76"/>
      <c r="F2085" s="76"/>
      <c r="G2085" s="76"/>
      <c r="H2085" s="76"/>
      <c r="I2085" s="76"/>
      <c r="J2085" s="76"/>
      <c r="K2085" s="76"/>
      <c r="L2085" s="76"/>
      <c r="M2085" s="76"/>
      <c r="N2085" s="76"/>
      <c r="O2085" s="76"/>
      <c r="P2085" s="76"/>
      <c r="Q2085" s="76"/>
      <c r="R2085" s="76"/>
      <c r="S2085" s="76"/>
      <c r="T2085" s="76"/>
      <c r="U2085" s="76" t="s">
        <v>5771</v>
      </c>
      <c r="V2085" s="76"/>
      <c r="W2085" s="76"/>
      <c r="X2085" s="76"/>
    </row>
    <row r="2086" ht="18.0" customHeight="1">
      <c r="A2086" s="76"/>
      <c r="B2086" s="76"/>
      <c r="C2086" s="76"/>
      <c r="D2086" s="76"/>
      <c r="E2086" s="76"/>
      <c r="F2086" s="76"/>
      <c r="G2086" s="76"/>
      <c r="H2086" s="76"/>
      <c r="I2086" s="76"/>
      <c r="J2086" s="76"/>
      <c r="K2086" s="76"/>
      <c r="L2086" s="76"/>
      <c r="M2086" s="76"/>
      <c r="N2086" s="76"/>
      <c r="O2086" s="76"/>
      <c r="P2086" s="76"/>
      <c r="Q2086" s="76"/>
      <c r="R2086" s="76"/>
      <c r="S2086" s="76"/>
      <c r="T2086" s="76"/>
      <c r="U2086" s="76" t="s">
        <v>5772</v>
      </c>
      <c r="V2086" s="76"/>
      <c r="W2086" s="76"/>
      <c r="X2086" s="76"/>
    </row>
    <row r="2087" ht="18.0" customHeight="1">
      <c r="A2087" s="76"/>
      <c r="B2087" s="76"/>
      <c r="C2087" s="76"/>
      <c r="D2087" s="76"/>
      <c r="E2087" s="76"/>
      <c r="F2087" s="76"/>
      <c r="G2087" s="76"/>
      <c r="H2087" s="76"/>
      <c r="I2087" s="76"/>
      <c r="J2087" s="76"/>
      <c r="K2087" s="76"/>
      <c r="L2087" s="76"/>
      <c r="M2087" s="76"/>
      <c r="N2087" s="76"/>
      <c r="O2087" s="76"/>
      <c r="P2087" s="76"/>
      <c r="Q2087" s="76"/>
      <c r="R2087" s="76"/>
      <c r="S2087" s="76"/>
      <c r="T2087" s="76"/>
      <c r="U2087" s="76" t="s">
        <v>5773</v>
      </c>
      <c r="V2087" s="76"/>
      <c r="W2087" s="76"/>
      <c r="X2087" s="76"/>
    </row>
    <row r="2088" ht="18.0" customHeight="1">
      <c r="A2088" s="76"/>
      <c r="B2088" s="76"/>
      <c r="C2088" s="76"/>
      <c r="D2088" s="76"/>
      <c r="E2088" s="76"/>
      <c r="F2088" s="76"/>
      <c r="G2088" s="76"/>
      <c r="H2088" s="76"/>
      <c r="I2088" s="76"/>
      <c r="J2088" s="76"/>
      <c r="K2088" s="76"/>
      <c r="L2088" s="76"/>
      <c r="M2088" s="76"/>
      <c r="N2088" s="76"/>
      <c r="O2088" s="76"/>
      <c r="P2088" s="76"/>
      <c r="Q2088" s="76"/>
      <c r="R2088" s="76"/>
      <c r="S2088" s="76"/>
      <c r="T2088" s="76"/>
      <c r="U2088" s="76" t="s">
        <v>5774</v>
      </c>
      <c r="V2088" s="76"/>
      <c r="W2088" s="76"/>
      <c r="X2088" s="76"/>
    </row>
    <row r="2089" ht="18.0" customHeight="1">
      <c r="A2089" s="76"/>
      <c r="B2089" s="76"/>
      <c r="C2089" s="76"/>
      <c r="D2089" s="76"/>
      <c r="E2089" s="76"/>
      <c r="F2089" s="76"/>
      <c r="G2089" s="76"/>
      <c r="H2089" s="76"/>
      <c r="I2089" s="76"/>
      <c r="J2089" s="76"/>
      <c r="K2089" s="76"/>
      <c r="L2089" s="76"/>
      <c r="M2089" s="76"/>
      <c r="N2089" s="76"/>
      <c r="O2089" s="76"/>
      <c r="P2089" s="76"/>
      <c r="Q2089" s="76"/>
      <c r="R2089" s="76"/>
      <c r="S2089" s="76"/>
      <c r="T2089" s="76"/>
      <c r="U2089" s="76" t="s">
        <v>5775</v>
      </c>
      <c r="V2089" s="76"/>
      <c r="W2089" s="76"/>
      <c r="X2089" s="76"/>
    </row>
    <row r="2090" ht="18.0" customHeight="1">
      <c r="A2090" s="76"/>
      <c r="B2090" s="76"/>
      <c r="C2090" s="76"/>
      <c r="D2090" s="76"/>
      <c r="E2090" s="76"/>
      <c r="F2090" s="76"/>
      <c r="G2090" s="76"/>
      <c r="H2090" s="76"/>
      <c r="I2090" s="76"/>
      <c r="J2090" s="76"/>
      <c r="K2090" s="76"/>
      <c r="L2090" s="76"/>
      <c r="M2090" s="76"/>
      <c r="N2090" s="76"/>
      <c r="O2090" s="76"/>
      <c r="P2090" s="76"/>
      <c r="Q2090" s="76"/>
      <c r="R2090" s="76"/>
      <c r="S2090" s="76"/>
      <c r="T2090" s="76"/>
      <c r="U2090" s="76" t="s">
        <v>5776</v>
      </c>
      <c r="V2090" s="76"/>
      <c r="W2090" s="76"/>
      <c r="X2090" s="76"/>
    </row>
    <row r="2091" ht="18.0" customHeight="1">
      <c r="A2091" s="76"/>
      <c r="B2091" s="76"/>
      <c r="C2091" s="76"/>
      <c r="D2091" s="76"/>
      <c r="E2091" s="76"/>
      <c r="F2091" s="76"/>
      <c r="G2091" s="76"/>
      <c r="H2091" s="76"/>
      <c r="I2091" s="76"/>
      <c r="J2091" s="76"/>
      <c r="K2091" s="76"/>
      <c r="L2091" s="76"/>
      <c r="M2091" s="76"/>
      <c r="N2091" s="76"/>
      <c r="O2091" s="76"/>
      <c r="P2091" s="76"/>
      <c r="Q2091" s="76"/>
      <c r="R2091" s="76"/>
      <c r="S2091" s="76"/>
      <c r="T2091" s="76"/>
      <c r="U2091" s="76" t="s">
        <v>5777</v>
      </c>
      <c r="V2091" s="76"/>
      <c r="W2091" s="76"/>
      <c r="X2091" s="76"/>
    </row>
    <row r="2092" ht="18.0" customHeight="1">
      <c r="A2092" s="76"/>
      <c r="B2092" s="76"/>
      <c r="C2092" s="76"/>
      <c r="D2092" s="76"/>
      <c r="E2092" s="76"/>
      <c r="F2092" s="76"/>
      <c r="G2092" s="76"/>
      <c r="H2092" s="76"/>
      <c r="I2092" s="76"/>
      <c r="J2092" s="76"/>
      <c r="K2092" s="76"/>
      <c r="L2092" s="76"/>
      <c r="M2092" s="76"/>
      <c r="N2092" s="76"/>
      <c r="O2092" s="76"/>
      <c r="P2092" s="76"/>
      <c r="Q2092" s="76"/>
      <c r="R2092" s="76"/>
      <c r="S2092" s="76"/>
      <c r="T2092" s="76"/>
      <c r="U2092" s="76" t="s">
        <v>5778</v>
      </c>
      <c r="V2092" s="76"/>
      <c r="W2092" s="76"/>
      <c r="X2092" s="76"/>
    </row>
    <row r="2093" ht="18.0" customHeight="1">
      <c r="A2093" s="76"/>
      <c r="B2093" s="76"/>
      <c r="C2093" s="76"/>
      <c r="D2093" s="76"/>
      <c r="E2093" s="76"/>
      <c r="F2093" s="76"/>
      <c r="G2093" s="76"/>
      <c r="H2093" s="76"/>
      <c r="I2093" s="76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 t="s">
        <v>5779</v>
      </c>
      <c r="V2093" s="76"/>
      <c r="W2093" s="76"/>
      <c r="X2093" s="76"/>
    </row>
    <row r="2094" ht="18.0" customHeight="1">
      <c r="A2094" s="76"/>
      <c r="B2094" s="76"/>
      <c r="C2094" s="76"/>
      <c r="D2094" s="76"/>
      <c r="E2094" s="76"/>
      <c r="F2094" s="76"/>
      <c r="G2094" s="76"/>
      <c r="H2094" s="76"/>
      <c r="I2094" s="76"/>
      <c r="J2094" s="76"/>
      <c r="K2094" s="76"/>
      <c r="L2094" s="76"/>
      <c r="M2094" s="76"/>
      <c r="N2094" s="76"/>
      <c r="O2094" s="76"/>
      <c r="P2094" s="76"/>
      <c r="Q2094" s="76"/>
      <c r="R2094" s="76"/>
      <c r="S2094" s="76"/>
      <c r="T2094" s="76"/>
      <c r="U2094" s="76" t="s">
        <v>5780</v>
      </c>
      <c r="V2094" s="76"/>
      <c r="W2094" s="76"/>
      <c r="X2094" s="76"/>
    </row>
    <row r="2095" ht="18.0" customHeight="1">
      <c r="A2095" s="76"/>
      <c r="B2095" s="76"/>
      <c r="C2095" s="76"/>
      <c r="D2095" s="76"/>
      <c r="E2095" s="76"/>
      <c r="F2095" s="76"/>
      <c r="G2095" s="76"/>
      <c r="H2095" s="76"/>
      <c r="I2095" s="76"/>
      <c r="J2095" s="76"/>
      <c r="K2095" s="76"/>
      <c r="L2095" s="76"/>
      <c r="M2095" s="76"/>
      <c r="N2095" s="76"/>
      <c r="O2095" s="76"/>
      <c r="P2095" s="76"/>
      <c r="Q2095" s="76"/>
      <c r="R2095" s="76"/>
      <c r="S2095" s="76"/>
      <c r="T2095" s="76"/>
      <c r="U2095" s="76" t="s">
        <v>5781</v>
      </c>
      <c r="V2095" s="76"/>
      <c r="W2095" s="76"/>
      <c r="X2095" s="76"/>
    </row>
    <row r="2096" ht="18.0" customHeight="1">
      <c r="A2096" s="76"/>
      <c r="B2096" s="76"/>
      <c r="C2096" s="76"/>
      <c r="D2096" s="76"/>
      <c r="E2096" s="76"/>
      <c r="F2096" s="76"/>
      <c r="G2096" s="76"/>
      <c r="H2096" s="76"/>
      <c r="I2096" s="76"/>
      <c r="J2096" s="76"/>
      <c r="K2096" s="76"/>
      <c r="L2096" s="76"/>
      <c r="M2096" s="76"/>
      <c r="N2096" s="76"/>
      <c r="O2096" s="76"/>
      <c r="P2096" s="76"/>
      <c r="Q2096" s="76"/>
      <c r="R2096" s="76"/>
      <c r="S2096" s="76"/>
      <c r="T2096" s="76"/>
      <c r="U2096" s="76" t="s">
        <v>5782</v>
      </c>
      <c r="V2096" s="76"/>
      <c r="W2096" s="76"/>
      <c r="X2096" s="76"/>
    </row>
    <row r="2097" ht="18.0" customHeight="1">
      <c r="A2097" s="76"/>
      <c r="B2097" s="76"/>
      <c r="C2097" s="76"/>
      <c r="D2097" s="76"/>
      <c r="E2097" s="76"/>
      <c r="F2097" s="76"/>
      <c r="G2097" s="76"/>
      <c r="H2097" s="76"/>
      <c r="I2097" s="76"/>
      <c r="J2097" s="76"/>
      <c r="K2097" s="76"/>
      <c r="L2097" s="76"/>
      <c r="M2097" s="76"/>
      <c r="N2097" s="76"/>
      <c r="O2097" s="76"/>
      <c r="P2097" s="76"/>
      <c r="Q2097" s="76"/>
      <c r="R2097" s="76"/>
      <c r="S2097" s="76"/>
      <c r="T2097" s="76"/>
      <c r="U2097" s="76" t="s">
        <v>5783</v>
      </c>
      <c r="V2097" s="76"/>
      <c r="W2097" s="76"/>
      <c r="X2097" s="76"/>
    </row>
    <row r="2098" ht="18.0" customHeight="1">
      <c r="A2098" s="76"/>
      <c r="B2098" s="76"/>
      <c r="C2098" s="76"/>
      <c r="D2098" s="76"/>
      <c r="E2098" s="76"/>
      <c r="F2098" s="76"/>
      <c r="G2098" s="76"/>
      <c r="H2098" s="76"/>
      <c r="I2098" s="76"/>
      <c r="J2098" s="76"/>
      <c r="K2098" s="76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 t="s">
        <v>5784</v>
      </c>
      <c r="V2098" s="76"/>
      <c r="W2098" s="76"/>
      <c r="X2098" s="76"/>
    </row>
    <row r="2099" ht="18.0" customHeight="1">
      <c r="A2099" s="76"/>
      <c r="B2099" s="76"/>
      <c r="C2099" s="76"/>
      <c r="D2099" s="76"/>
      <c r="E2099" s="76"/>
      <c r="F2099" s="76"/>
      <c r="G2099" s="76"/>
      <c r="H2099" s="76"/>
      <c r="I2099" s="76"/>
      <c r="J2099" s="76"/>
      <c r="K2099" s="76"/>
      <c r="L2099" s="76"/>
      <c r="M2099" s="76"/>
      <c r="N2099" s="76"/>
      <c r="O2099" s="76"/>
      <c r="P2099" s="76"/>
      <c r="Q2099" s="76"/>
      <c r="R2099" s="76"/>
      <c r="S2099" s="76"/>
      <c r="T2099" s="76"/>
      <c r="U2099" s="76" t="s">
        <v>5785</v>
      </c>
      <c r="V2099" s="76"/>
      <c r="W2099" s="76"/>
      <c r="X2099" s="76"/>
    </row>
    <row r="2100" ht="18.0" customHeight="1">
      <c r="A2100" s="76"/>
      <c r="B2100" s="76"/>
      <c r="C2100" s="76"/>
      <c r="D2100" s="76"/>
      <c r="E2100" s="76"/>
      <c r="F2100" s="76"/>
      <c r="G2100" s="76"/>
      <c r="H2100" s="76"/>
      <c r="I2100" s="76"/>
      <c r="J2100" s="76"/>
      <c r="K2100" s="76"/>
      <c r="L2100" s="76"/>
      <c r="M2100" s="76"/>
      <c r="N2100" s="76"/>
      <c r="O2100" s="76"/>
      <c r="P2100" s="76"/>
      <c r="Q2100" s="76"/>
      <c r="R2100" s="76"/>
      <c r="S2100" s="76"/>
      <c r="T2100" s="76"/>
      <c r="U2100" s="76" t="s">
        <v>15</v>
      </c>
      <c r="V2100" s="76"/>
      <c r="W2100" s="76"/>
      <c r="X2100" s="76"/>
    </row>
    <row r="2101" ht="18.0" customHeight="1">
      <c r="A2101" s="76"/>
      <c r="B2101" s="76"/>
      <c r="C2101" s="76"/>
      <c r="D2101" s="76"/>
      <c r="E2101" s="76"/>
      <c r="F2101" s="76"/>
      <c r="G2101" s="76"/>
      <c r="H2101" s="76"/>
      <c r="I2101" s="76"/>
      <c r="J2101" s="76"/>
      <c r="K2101" s="76"/>
      <c r="L2101" s="76"/>
      <c r="M2101" s="76"/>
      <c r="N2101" s="76"/>
      <c r="O2101" s="76"/>
      <c r="P2101" s="76"/>
      <c r="Q2101" s="76"/>
      <c r="R2101" s="76"/>
      <c r="S2101" s="76"/>
      <c r="T2101" s="76"/>
      <c r="U2101" s="76" t="s">
        <v>5786</v>
      </c>
      <c r="V2101" s="76"/>
      <c r="W2101" s="76"/>
      <c r="X2101" s="76"/>
    </row>
    <row r="2102" ht="18.0" customHeight="1">
      <c r="A2102" s="76"/>
      <c r="B2102" s="76"/>
      <c r="C2102" s="76"/>
      <c r="D2102" s="76"/>
      <c r="E2102" s="76"/>
      <c r="F2102" s="76"/>
      <c r="G2102" s="76"/>
      <c r="H2102" s="76"/>
      <c r="I2102" s="76"/>
      <c r="J2102" s="76"/>
      <c r="K2102" s="76"/>
      <c r="L2102" s="76"/>
      <c r="M2102" s="76"/>
      <c r="N2102" s="76"/>
      <c r="O2102" s="76"/>
      <c r="P2102" s="76"/>
      <c r="Q2102" s="76"/>
      <c r="R2102" s="76"/>
      <c r="S2102" s="76"/>
      <c r="T2102" s="76"/>
      <c r="U2102" s="76" t="s">
        <v>5787</v>
      </c>
      <c r="V2102" s="76"/>
      <c r="W2102" s="76"/>
      <c r="X2102" s="76"/>
    </row>
    <row r="2103" ht="18.0" customHeight="1">
      <c r="A2103" s="76"/>
      <c r="B2103" s="76"/>
      <c r="C2103" s="76"/>
      <c r="D2103" s="76"/>
      <c r="E2103" s="76"/>
      <c r="F2103" s="76"/>
      <c r="G2103" s="76"/>
      <c r="H2103" s="76"/>
      <c r="I2103" s="76"/>
      <c r="J2103" s="76"/>
      <c r="K2103" s="76"/>
      <c r="L2103" s="76"/>
      <c r="M2103" s="76"/>
      <c r="N2103" s="76"/>
      <c r="O2103" s="76"/>
      <c r="P2103" s="76"/>
      <c r="Q2103" s="76"/>
      <c r="R2103" s="76"/>
      <c r="S2103" s="76"/>
      <c r="T2103" s="76"/>
      <c r="U2103" s="76"/>
      <c r="V2103" s="76"/>
      <c r="W2103" s="76"/>
      <c r="X2103" s="76"/>
    </row>
    <row r="2104" ht="18.0" customHeight="1">
      <c r="A2104" s="76"/>
      <c r="B2104" s="76"/>
      <c r="C2104" s="76"/>
      <c r="D2104" s="76"/>
      <c r="E2104" s="76"/>
      <c r="F2104" s="76"/>
      <c r="G2104" s="76"/>
      <c r="H2104" s="76"/>
      <c r="I2104" s="76"/>
      <c r="J2104" s="76"/>
      <c r="K2104" s="76"/>
      <c r="L2104" s="76"/>
      <c r="M2104" s="76"/>
      <c r="N2104" s="76"/>
      <c r="O2104" s="76"/>
      <c r="P2104" s="76"/>
      <c r="Q2104" s="76"/>
      <c r="R2104" s="76"/>
      <c r="S2104" s="76"/>
      <c r="T2104" s="76"/>
      <c r="U2104" s="76"/>
      <c r="V2104" s="76"/>
      <c r="W2104" s="76"/>
      <c r="X2104" s="76"/>
    </row>
    <row r="2105" ht="18.0" customHeight="1">
      <c r="A2105" s="76"/>
      <c r="B2105" s="76"/>
      <c r="C2105" s="76"/>
      <c r="D2105" s="76"/>
      <c r="E2105" s="76"/>
      <c r="F2105" s="76"/>
      <c r="G2105" s="76"/>
      <c r="H2105" s="76"/>
      <c r="I2105" s="76"/>
      <c r="J2105" s="76"/>
      <c r="K2105" s="76"/>
      <c r="L2105" s="76"/>
      <c r="M2105" s="76"/>
      <c r="N2105" s="76"/>
      <c r="O2105" s="76"/>
      <c r="P2105" s="76"/>
      <c r="Q2105" s="76"/>
      <c r="R2105" s="76"/>
      <c r="S2105" s="76"/>
      <c r="T2105" s="76"/>
      <c r="U2105" s="76"/>
      <c r="V2105" s="76"/>
      <c r="W2105" s="76"/>
      <c r="X2105" s="76"/>
    </row>
    <row r="2106" ht="18.0" customHeight="1">
      <c r="A2106" s="76"/>
      <c r="B2106" s="76"/>
      <c r="C2106" s="76"/>
      <c r="D2106" s="76"/>
      <c r="E2106" s="76"/>
      <c r="F2106" s="76"/>
      <c r="G2106" s="76"/>
      <c r="H2106" s="76"/>
      <c r="I2106" s="76"/>
      <c r="J2106" s="76"/>
      <c r="K2106" s="76"/>
      <c r="L2106" s="76"/>
      <c r="M2106" s="76"/>
      <c r="N2106" s="76"/>
      <c r="O2106" s="76"/>
      <c r="P2106" s="76"/>
      <c r="Q2106" s="76"/>
      <c r="R2106" s="76"/>
      <c r="S2106" s="76"/>
      <c r="T2106" s="76"/>
      <c r="U2106" s="76"/>
      <c r="V2106" s="76"/>
      <c r="W2106" s="76"/>
      <c r="X2106" s="76"/>
    </row>
    <row r="2107" ht="18.0" customHeight="1">
      <c r="A2107" s="76"/>
      <c r="B2107" s="76"/>
      <c r="C2107" s="76"/>
      <c r="D2107" s="76"/>
      <c r="E2107" s="76"/>
      <c r="F2107" s="76"/>
      <c r="G2107" s="76"/>
      <c r="H2107" s="76"/>
      <c r="I2107" s="76"/>
      <c r="J2107" s="76"/>
      <c r="K2107" s="76"/>
      <c r="L2107" s="76"/>
      <c r="M2107" s="76"/>
      <c r="N2107" s="76"/>
      <c r="O2107" s="76"/>
      <c r="P2107" s="76"/>
      <c r="Q2107" s="76"/>
      <c r="R2107" s="76"/>
      <c r="S2107" s="76"/>
      <c r="T2107" s="76"/>
      <c r="U2107" s="76"/>
      <c r="V2107" s="76"/>
      <c r="W2107" s="76"/>
      <c r="X2107" s="76"/>
    </row>
    <row r="2108" ht="18.0" customHeight="1">
      <c r="A2108" s="76"/>
      <c r="B2108" s="76"/>
      <c r="C2108" s="76"/>
      <c r="D2108" s="76"/>
      <c r="E2108" s="76"/>
      <c r="F2108" s="76"/>
      <c r="G2108" s="76"/>
      <c r="H2108" s="76"/>
      <c r="I2108" s="76"/>
      <c r="J2108" s="76"/>
      <c r="K2108" s="76"/>
      <c r="L2108" s="76"/>
      <c r="M2108" s="76"/>
      <c r="N2108" s="76"/>
      <c r="O2108" s="76"/>
      <c r="P2108" s="76"/>
      <c r="Q2108" s="76"/>
      <c r="R2108" s="76"/>
      <c r="S2108" s="76"/>
      <c r="T2108" s="76"/>
      <c r="U2108" s="76"/>
      <c r="V2108" s="76"/>
      <c r="W2108" s="76"/>
      <c r="X2108" s="76"/>
    </row>
    <row r="2109" ht="18.0" customHeight="1">
      <c r="A2109" s="76"/>
      <c r="B2109" s="76"/>
      <c r="C2109" s="76"/>
      <c r="D2109" s="76"/>
      <c r="E2109" s="76"/>
      <c r="F2109" s="76"/>
      <c r="G2109" s="76"/>
      <c r="H2109" s="76"/>
      <c r="I2109" s="76"/>
      <c r="J2109" s="76"/>
      <c r="K2109" s="76"/>
      <c r="L2109" s="76"/>
      <c r="M2109" s="76"/>
      <c r="N2109" s="76"/>
      <c r="O2109" s="76"/>
      <c r="P2109" s="76"/>
      <c r="Q2109" s="76"/>
      <c r="R2109" s="76"/>
      <c r="S2109" s="76"/>
      <c r="T2109" s="76"/>
      <c r="U2109" s="76"/>
      <c r="V2109" s="76"/>
      <c r="W2109" s="76"/>
      <c r="X2109" s="76"/>
    </row>
    <row r="2110" ht="18.0" customHeight="1">
      <c r="A2110" s="76"/>
      <c r="B2110" s="76"/>
      <c r="C2110" s="76"/>
      <c r="D2110" s="76"/>
      <c r="E2110" s="76"/>
      <c r="F2110" s="76"/>
      <c r="G2110" s="76"/>
      <c r="H2110" s="76"/>
      <c r="I2110" s="76"/>
      <c r="J2110" s="76"/>
      <c r="K2110" s="76"/>
      <c r="L2110" s="76"/>
      <c r="M2110" s="76"/>
      <c r="N2110" s="76"/>
      <c r="O2110" s="76"/>
      <c r="P2110" s="76"/>
      <c r="Q2110" s="76"/>
      <c r="R2110" s="76"/>
      <c r="S2110" s="76"/>
      <c r="T2110" s="76"/>
      <c r="U2110" s="76"/>
      <c r="V2110" s="76"/>
      <c r="W2110" s="76"/>
      <c r="X2110" s="76"/>
    </row>
    <row r="2111" ht="18.0" customHeight="1">
      <c r="A2111" s="76"/>
      <c r="B2111" s="76"/>
      <c r="C2111" s="76"/>
      <c r="D2111" s="76"/>
      <c r="E2111" s="76"/>
      <c r="F2111" s="76"/>
      <c r="G2111" s="76"/>
      <c r="H2111" s="76"/>
      <c r="I2111" s="76"/>
      <c r="J2111" s="76"/>
      <c r="K2111" s="76"/>
      <c r="L2111" s="76"/>
      <c r="M2111" s="76"/>
      <c r="N2111" s="76"/>
      <c r="O2111" s="76"/>
      <c r="P2111" s="76"/>
      <c r="Q2111" s="76"/>
      <c r="R2111" s="76"/>
      <c r="S2111" s="76"/>
      <c r="T2111" s="76"/>
      <c r="U2111" s="76"/>
      <c r="V2111" s="76"/>
      <c r="W2111" s="76"/>
      <c r="X2111" s="76"/>
    </row>
    <row r="2112" ht="18.0" customHeight="1">
      <c r="A2112" s="76"/>
      <c r="B2112" s="76"/>
      <c r="C2112" s="76"/>
      <c r="D2112" s="76"/>
      <c r="E2112" s="76"/>
      <c r="F2112" s="76"/>
      <c r="G2112" s="76"/>
      <c r="H2112" s="76"/>
      <c r="I2112" s="76"/>
      <c r="J2112" s="76"/>
      <c r="K2112" s="76"/>
      <c r="L2112" s="76"/>
      <c r="M2112" s="76"/>
      <c r="N2112" s="76"/>
      <c r="O2112" s="76"/>
      <c r="P2112" s="76"/>
      <c r="Q2112" s="76"/>
      <c r="R2112" s="76"/>
      <c r="S2112" s="76"/>
      <c r="T2112" s="76"/>
      <c r="U2112" s="76"/>
      <c r="V2112" s="76"/>
      <c r="W2112" s="76"/>
      <c r="X2112" s="76"/>
    </row>
    <row r="2113" ht="18.0" customHeight="1">
      <c r="A2113" s="76"/>
      <c r="B2113" s="76"/>
      <c r="C2113" s="76"/>
      <c r="D2113" s="76"/>
      <c r="E2113" s="76"/>
      <c r="F2113" s="76"/>
      <c r="G2113" s="76"/>
      <c r="H2113" s="76"/>
      <c r="I2113" s="76"/>
      <c r="J2113" s="76"/>
      <c r="K2113" s="76"/>
      <c r="L2113" s="76"/>
      <c r="M2113" s="76"/>
      <c r="N2113" s="76"/>
      <c r="O2113" s="76"/>
      <c r="P2113" s="76"/>
      <c r="Q2113" s="76"/>
      <c r="R2113" s="76"/>
      <c r="S2113" s="76"/>
      <c r="T2113" s="76"/>
      <c r="U2113" s="76"/>
      <c r="V2113" s="76"/>
      <c r="W2113" s="76"/>
      <c r="X2113" s="76"/>
    </row>
    <row r="2114" ht="18.0" customHeight="1">
      <c r="A2114" s="76"/>
      <c r="B2114" s="76"/>
      <c r="C2114" s="76"/>
      <c r="D2114" s="76"/>
      <c r="E2114" s="76"/>
      <c r="F2114" s="76"/>
      <c r="G2114" s="76"/>
      <c r="H2114" s="76"/>
      <c r="I2114" s="76"/>
      <c r="J2114" s="76"/>
      <c r="K2114" s="76"/>
      <c r="L2114" s="76"/>
      <c r="M2114" s="76"/>
      <c r="N2114" s="76"/>
      <c r="O2114" s="76"/>
      <c r="P2114" s="76"/>
      <c r="Q2114" s="76"/>
      <c r="R2114" s="76"/>
      <c r="S2114" s="76"/>
      <c r="T2114" s="76"/>
      <c r="U2114" s="76"/>
      <c r="V2114" s="76"/>
      <c r="W2114" s="76"/>
      <c r="X2114" s="76"/>
    </row>
    <row r="2115" ht="18.0" customHeight="1">
      <c r="A2115" s="76"/>
      <c r="B2115" s="76"/>
      <c r="C2115" s="76"/>
      <c r="D2115" s="76"/>
      <c r="E2115" s="76"/>
      <c r="F2115" s="76"/>
      <c r="G2115" s="76"/>
      <c r="H2115" s="76"/>
      <c r="I2115" s="76"/>
      <c r="J2115" s="76"/>
      <c r="K2115" s="76"/>
      <c r="L2115" s="76"/>
      <c r="M2115" s="76"/>
      <c r="N2115" s="76"/>
      <c r="O2115" s="76"/>
      <c r="P2115" s="76"/>
      <c r="Q2115" s="76"/>
      <c r="R2115" s="76"/>
      <c r="S2115" s="76"/>
      <c r="T2115" s="76"/>
      <c r="U2115" s="76"/>
      <c r="V2115" s="76"/>
      <c r="W2115" s="76"/>
      <c r="X2115" s="76"/>
    </row>
    <row r="2116" ht="18.0" customHeight="1">
      <c r="A2116" s="76"/>
      <c r="B2116" s="76"/>
      <c r="C2116" s="76"/>
      <c r="D2116" s="76"/>
      <c r="E2116" s="76"/>
      <c r="F2116" s="76"/>
      <c r="G2116" s="76"/>
      <c r="H2116" s="76"/>
      <c r="I2116" s="76"/>
      <c r="J2116" s="76"/>
      <c r="K2116" s="76"/>
      <c r="L2116" s="76"/>
      <c r="M2116" s="76"/>
      <c r="N2116" s="76"/>
      <c r="O2116" s="76"/>
      <c r="P2116" s="76"/>
      <c r="Q2116" s="76"/>
      <c r="R2116" s="76"/>
      <c r="S2116" s="76"/>
      <c r="T2116" s="76"/>
      <c r="U2116" s="76"/>
      <c r="V2116" s="76"/>
      <c r="W2116" s="76"/>
      <c r="X2116" s="76"/>
    </row>
    <row r="2117" ht="18.0" customHeight="1">
      <c r="A2117" s="76"/>
      <c r="B2117" s="76"/>
      <c r="C2117" s="76"/>
      <c r="D2117" s="76"/>
      <c r="E2117" s="76"/>
      <c r="F2117" s="76"/>
      <c r="G2117" s="76"/>
      <c r="H2117" s="76"/>
      <c r="I2117" s="76"/>
      <c r="J2117" s="76"/>
      <c r="K2117" s="76"/>
      <c r="L2117" s="76"/>
      <c r="M2117" s="76"/>
      <c r="N2117" s="76"/>
      <c r="O2117" s="76"/>
      <c r="P2117" s="76"/>
      <c r="Q2117" s="76"/>
      <c r="R2117" s="76"/>
      <c r="S2117" s="76"/>
      <c r="T2117" s="76"/>
      <c r="U2117" s="76"/>
      <c r="V2117" s="76"/>
      <c r="W2117" s="76"/>
      <c r="X2117" s="76"/>
    </row>
    <row r="2118" ht="18.0" customHeight="1">
      <c r="A2118" s="76"/>
      <c r="B2118" s="76"/>
      <c r="C2118" s="76"/>
      <c r="D2118" s="76"/>
      <c r="E2118" s="76"/>
      <c r="F2118" s="76"/>
      <c r="G2118" s="76"/>
      <c r="H2118" s="76"/>
      <c r="I2118" s="76"/>
      <c r="J2118" s="76"/>
      <c r="K2118" s="76"/>
      <c r="L2118" s="76"/>
      <c r="M2118" s="76"/>
      <c r="N2118" s="76"/>
      <c r="O2118" s="76"/>
      <c r="P2118" s="76"/>
      <c r="Q2118" s="76"/>
      <c r="R2118" s="76"/>
      <c r="S2118" s="76"/>
      <c r="T2118" s="76"/>
      <c r="U2118" s="76"/>
      <c r="V2118" s="76"/>
      <c r="W2118" s="76"/>
      <c r="X2118" s="76"/>
    </row>
    <row r="2119" ht="18.0" customHeight="1">
      <c r="A2119" s="76"/>
      <c r="B2119" s="76"/>
      <c r="C2119" s="76"/>
      <c r="D2119" s="76"/>
      <c r="E2119" s="76"/>
      <c r="F2119" s="76"/>
      <c r="G2119" s="76"/>
      <c r="H2119" s="76"/>
      <c r="I2119" s="76"/>
      <c r="J2119" s="76"/>
      <c r="K2119" s="76"/>
      <c r="L2119" s="76"/>
      <c r="M2119" s="76"/>
      <c r="N2119" s="76"/>
      <c r="O2119" s="76"/>
      <c r="P2119" s="76"/>
      <c r="Q2119" s="76"/>
      <c r="R2119" s="76"/>
      <c r="S2119" s="76"/>
      <c r="T2119" s="76"/>
      <c r="U2119" s="76"/>
      <c r="V2119" s="76"/>
      <c r="W2119" s="76"/>
      <c r="X2119" s="76"/>
    </row>
    <row r="2120" ht="18.0" customHeight="1">
      <c r="A2120" s="76"/>
      <c r="B2120" s="76"/>
      <c r="C2120" s="76"/>
      <c r="D2120" s="76"/>
      <c r="E2120" s="76"/>
      <c r="F2120" s="76"/>
      <c r="G2120" s="76"/>
      <c r="H2120" s="76"/>
      <c r="I2120" s="76"/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</row>
    <row r="2121" ht="18.0" customHeight="1">
      <c r="A2121" s="76"/>
      <c r="B2121" s="76"/>
      <c r="C2121" s="76"/>
      <c r="D2121" s="76"/>
      <c r="E2121" s="76"/>
      <c r="F2121" s="76"/>
      <c r="G2121" s="76"/>
      <c r="H2121" s="76"/>
      <c r="I2121" s="76"/>
      <c r="J2121" s="76"/>
      <c r="K2121" s="76"/>
      <c r="L2121" s="76"/>
      <c r="M2121" s="76"/>
      <c r="N2121" s="76"/>
      <c r="O2121" s="76"/>
      <c r="P2121" s="76"/>
      <c r="Q2121" s="76"/>
      <c r="R2121" s="76"/>
      <c r="S2121" s="76"/>
      <c r="T2121" s="76"/>
      <c r="U2121" s="76"/>
      <c r="V2121" s="76"/>
      <c r="W2121" s="76"/>
      <c r="X2121" s="76"/>
    </row>
    <row r="2122" ht="18.0" customHeight="1">
      <c r="A2122" s="76"/>
      <c r="B2122" s="76"/>
      <c r="C2122" s="76"/>
      <c r="D2122" s="76"/>
      <c r="E2122" s="76"/>
      <c r="F2122" s="76"/>
      <c r="G2122" s="76"/>
      <c r="H2122" s="76"/>
      <c r="I2122" s="76"/>
      <c r="J2122" s="76"/>
      <c r="K2122" s="76"/>
      <c r="L2122" s="76"/>
      <c r="M2122" s="76"/>
      <c r="N2122" s="76"/>
      <c r="O2122" s="76"/>
      <c r="P2122" s="76"/>
      <c r="Q2122" s="76"/>
      <c r="R2122" s="76"/>
      <c r="S2122" s="76"/>
      <c r="T2122" s="76"/>
      <c r="U2122" s="76"/>
      <c r="V2122" s="76"/>
      <c r="W2122" s="76"/>
      <c r="X2122" s="76"/>
    </row>
    <row r="2123" ht="18.0" customHeight="1">
      <c r="A2123" s="76"/>
      <c r="B2123" s="76"/>
      <c r="C2123" s="76"/>
      <c r="D2123" s="76"/>
      <c r="E2123" s="76"/>
      <c r="F2123" s="76"/>
      <c r="G2123" s="76"/>
      <c r="H2123" s="76"/>
      <c r="I2123" s="76"/>
      <c r="J2123" s="76"/>
      <c r="K2123" s="76"/>
      <c r="L2123" s="76"/>
      <c r="M2123" s="76"/>
      <c r="N2123" s="76"/>
      <c r="O2123" s="76"/>
      <c r="P2123" s="76"/>
      <c r="Q2123" s="76"/>
      <c r="R2123" s="76"/>
      <c r="S2123" s="76"/>
      <c r="T2123" s="76"/>
      <c r="U2123" s="76"/>
      <c r="V2123" s="76"/>
      <c r="W2123" s="76"/>
      <c r="X2123" s="76"/>
    </row>
    <row r="2124" ht="18.0" customHeight="1">
      <c r="A2124" s="76"/>
      <c r="B2124" s="76"/>
      <c r="C2124" s="76"/>
      <c r="D2124" s="76"/>
      <c r="E2124" s="76"/>
      <c r="F2124" s="76"/>
      <c r="G2124" s="76"/>
      <c r="H2124" s="76"/>
      <c r="I2124" s="76"/>
      <c r="J2124" s="76"/>
      <c r="K2124" s="76"/>
      <c r="L2124" s="76"/>
      <c r="M2124" s="76"/>
      <c r="N2124" s="76"/>
      <c r="O2124" s="76"/>
      <c r="P2124" s="76"/>
      <c r="Q2124" s="76"/>
      <c r="R2124" s="76"/>
      <c r="S2124" s="76"/>
      <c r="T2124" s="76"/>
      <c r="U2124" s="76"/>
      <c r="V2124" s="76"/>
      <c r="W2124" s="76"/>
      <c r="X2124" s="76"/>
    </row>
    <row r="2125" ht="18.0" customHeight="1">
      <c r="A2125" s="76"/>
      <c r="B2125" s="76"/>
      <c r="C2125" s="76"/>
      <c r="D2125" s="76"/>
      <c r="E2125" s="76"/>
      <c r="F2125" s="76"/>
      <c r="G2125" s="76"/>
      <c r="H2125" s="76"/>
      <c r="I2125" s="76"/>
      <c r="J2125" s="76"/>
      <c r="K2125" s="76"/>
      <c r="L2125" s="76"/>
      <c r="M2125" s="76"/>
      <c r="N2125" s="76"/>
      <c r="O2125" s="76"/>
      <c r="P2125" s="76"/>
      <c r="Q2125" s="76"/>
      <c r="R2125" s="76"/>
      <c r="S2125" s="76"/>
      <c r="T2125" s="76"/>
      <c r="U2125" s="76"/>
      <c r="V2125" s="76"/>
      <c r="W2125" s="76"/>
      <c r="X2125" s="76"/>
    </row>
    <row r="2126" ht="18.0" customHeight="1">
      <c r="A2126" s="76"/>
      <c r="B2126" s="76"/>
      <c r="C2126" s="76"/>
      <c r="D2126" s="76"/>
      <c r="E2126" s="76"/>
      <c r="F2126" s="76"/>
      <c r="G2126" s="76"/>
      <c r="H2126" s="76"/>
      <c r="I2126" s="76"/>
      <c r="J2126" s="76"/>
      <c r="K2126" s="76"/>
      <c r="L2126" s="76"/>
      <c r="M2126" s="76"/>
      <c r="N2126" s="76"/>
      <c r="O2126" s="76"/>
      <c r="P2126" s="76"/>
      <c r="Q2126" s="76"/>
      <c r="R2126" s="76"/>
      <c r="S2126" s="76"/>
      <c r="T2126" s="76"/>
      <c r="U2126" s="76"/>
      <c r="V2126" s="76"/>
      <c r="W2126" s="76"/>
      <c r="X2126" s="76"/>
    </row>
    <row r="2127" ht="18.0" customHeight="1">
      <c r="A2127" s="76"/>
      <c r="B2127" s="76"/>
      <c r="C2127" s="76"/>
      <c r="D2127" s="76"/>
      <c r="E2127" s="76"/>
      <c r="F2127" s="76"/>
      <c r="G2127" s="76"/>
      <c r="H2127" s="76"/>
      <c r="I2127" s="76"/>
      <c r="J2127" s="76"/>
      <c r="K2127" s="76"/>
      <c r="L2127" s="76"/>
      <c r="M2127" s="76"/>
      <c r="N2127" s="76"/>
      <c r="O2127" s="76"/>
      <c r="P2127" s="76"/>
      <c r="Q2127" s="76"/>
      <c r="R2127" s="76"/>
      <c r="S2127" s="76"/>
      <c r="T2127" s="76"/>
      <c r="U2127" s="76"/>
      <c r="V2127" s="76"/>
      <c r="W2127" s="76"/>
      <c r="X2127" s="76"/>
    </row>
    <row r="2128" ht="18.0" customHeight="1">
      <c r="A2128" s="76"/>
      <c r="B2128" s="76"/>
      <c r="C2128" s="76"/>
      <c r="D2128" s="76"/>
      <c r="E2128" s="76"/>
      <c r="F2128" s="76"/>
      <c r="G2128" s="76"/>
      <c r="H2128" s="76"/>
      <c r="I2128" s="76"/>
      <c r="J2128" s="76"/>
      <c r="K2128" s="76"/>
      <c r="L2128" s="76"/>
      <c r="M2128" s="76"/>
      <c r="N2128" s="76"/>
      <c r="O2128" s="76"/>
      <c r="P2128" s="76"/>
      <c r="Q2128" s="76"/>
      <c r="R2128" s="76"/>
      <c r="S2128" s="76"/>
      <c r="T2128" s="76"/>
      <c r="U2128" s="76"/>
      <c r="V2128" s="76"/>
      <c r="W2128" s="76"/>
      <c r="X2128" s="76"/>
    </row>
    <row r="2129" ht="18.0" customHeight="1">
      <c r="A2129" s="76"/>
      <c r="B2129" s="76"/>
      <c r="C2129" s="76"/>
      <c r="D2129" s="76"/>
      <c r="E2129" s="76"/>
      <c r="F2129" s="76"/>
      <c r="G2129" s="76"/>
      <c r="H2129" s="76"/>
      <c r="I2129" s="76"/>
      <c r="J2129" s="76"/>
      <c r="K2129" s="76"/>
      <c r="L2129" s="76"/>
      <c r="M2129" s="76"/>
      <c r="N2129" s="76"/>
      <c r="O2129" s="76"/>
      <c r="P2129" s="76"/>
      <c r="Q2129" s="76"/>
      <c r="R2129" s="76"/>
      <c r="S2129" s="76"/>
      <c r="T2129" s="76"/>
      <c r="U2129" s="76"/>
      <c r="V2129" s="76"/>
      <c r="W2129" s="76"/>
      <c r="X2129" s="76"/>
    </row>
    <row r="2130" ht="18.0" customHeight="1">
      <c r="A2130" s="76"/>
      <c r="B2130" s="76"/>
      <c r="C2130" s="76"/>
      <c r="D2130" s="76"/>
      <c r="E2130" s="76"/>
      <c r="F2130" s="76"/>
      <c r="G2130" s="76"/>
      <c r="H2130" s="76"/>
      <c r="I2130" s="76"/>
      <c r="J2130" s="76"/>
      <c r="K2130" s="76"/>
      <c r="L2130" s="76"/>
      <c r="M2130" s="76"/>
      <c r="N2130" s="76"/>
      <c r="O2130" s="76"/>
      <c r="P2130" s="76"/>
      <c r="Q2130" s="76"/>
      <c r="R2130" s="76"/>
      <c r="S2130" s="76"/>
      <c r="T2130" s="76"/>
      <c r="U2130" s="76"/>
      <c r="V2130" s="76"/>
      <c r="W2130" s="76"/>
      <c r="X2130" s="76"/>
    </row>
    <row r="2131" ht="18.0" customHeight="1">
      <c r="A2131" s="76"/>
      <c r="B2131" s="76"/>
      <c r="C2131" s="76"/>
      <c r="D2131" s="76"/>
      <c r="E2131" s="76"/>
      <c r="F2131" s="76"/>
      <c r="G2131" s="76"/>
      <c r="H2131" s="76"/>
      <c r="I2131" s="76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</row>
    <row r="2132" ht="18.0" customHeight="1">
      <c r="A2132" s="76"/>
      <c r="B2132" s="76"/>
      <c r="C2132" s="76"/>
      <c r="D2132" s="76"/>
      <c r="E2132" s="76"/>
      <c r="F2132" s="76"/>
      <c r="G2132" s="76"/>
      <c r="H2132" s="76"/>
      <c r="I2132" s="76"/>
      <c r="J2132" s="76"/>
      <c r="K2132" s="76"/>
      <c r="L2132" s="76"/>
      <c r="M2132" s="76"/>
      <c r="N2132" s="76"/>
      <c r="O2132" s="76"/>
      <c r="P2132" s="76"/>
      <c r="Q2132" s="76"/>
      <c r="R2132" s="76"/>
      <c r="S2132" s="76"/>
      <c r="T2132" s="76"/>
      <c r="U2132" s="76"/>
      <c r="V2132" s="76"/>
      <c r="W2132" s="76"/>
      <c r="X2132" s="76"/>
    </row>
    <row r="2133" ht="18.0" customHeight="1">
      <c r="A2133" s="76"/>
      <c r="B2133" s="76"/>
      <c r="C2133" s="76"/>
      <c r="D2133" s="76"/>
      <c r="E2133" s="76"/>
      <c r="F2133" s="76"/>
      <c r="G2133" s="76"/>
      <c r="H2133" s="76"/>
      <c r="I2133" s="76"/>
      <c r="J2133" s="76"/>
      <c r="K2133" s="76"/>
      <c r="L2133" s="76"/>
      <c r="M2133" s="76"/>
      <c r="N2133" s="76"/>
      <c r="O2133" s="76"/>
      <c r="P2133" s="76"/>
      <c r="Q2133" s="76"/>
      <c r="R2133" s="76"/>
      <c r="S2133" s="76"/>
      <c r="T2133" s="76"/>
      <c r="U2133" s="76"/>
      <c r="V2133" s="76"/>
      <c r="W2133" s="76"/>
      <c r="X2133" s="76"/>
    </row>
    <row r="2134" ht="18.0" customHeight="1">
      <c r="A2134" s="76"/>
      <c r="B2134" s="76"/>
      <c r="C2134" s="76"/>
      <c r="D2134" s="76"/>
      <c r="E2134" s="76"/>
      <c r="F2134" s="76"/>
      <c r="G2134" s="76"/>
      <c r="H2134" s="76"/>
      <c r="I2134" s="76"/>
      <c r="J2134" s="76"/>
      <c r="K2134" s="76"/>
      <c r="L2134" s="76"/>
      <c r="M2134" s="76"/>
      <c r="N2134" s="76"/>
      <c r="O2134" s="76"/>
      <c r="P2134" s="76"/>
      <c r="Q2134" s="76"/>
      <c r="R2134" s="76"/>
      <c r="S2134" s="76"/>
      <c r="T2134" s="76"/>
      <c r="U2134" s="76"/>
      <c r="V2134" s="76"/>
      <c r="W2134" s="76"/>
      <c r="X2134" s="76"/>
    </row>
    <row r="2135" ht="18.0" customHeight="1">
      <c r="A2135" s="76"/>
      <c r="B2135" s="76"/>
      <c r="C2135" s="76"/>
      <c r="D2135" s="76"/>
      <c r="E2135" s="76"/>
      <c r="F2135" s="76"/>
      <c r="G2135" s="76"/>
      <c r="H2135" s="76"/>
      <c r="I2135" s="76"/>
      <c r="J2135" s="76"/>
      <c r="K2135" s="76"/>
      <c r="L2135" s="76"/>
      <c r="M2135" s="76"/>
      <c r="N2135" s="76"/>
      <c r="O2135" s="76"/>
      <c r="P2135" s="76"/>
      <c r="Q2135" s="76"/>
      <c r="R2135" s="76"/>
      <c r="S2135" s="76"/>
      <c r="T2135" s="76"/>
      <c r="U2135" s="76"/>
      <c r="V2135" s="76"/>
      <c r="W2135" s="76"/>
      <c r="X2135" s="76"/>
    </row>
    <row r="2136" ht="18.0" customHeight="1">
      <c r="A2136" s="76"/>
      <c r="B2136" s="76"/>
      <c r="C2136" s="76"/>
      <c r="D2136" s="76"/>
      <c r="E2136" s="76"/>
      <c r="F2136" s="76"/>
      <c r="G2136" s="76"/>
      <c r="H2136" s="76"/>
      <c r="I2136" s="76"/>
      <c r="J2136" s="76"/>
      <c r="K2136" s="76"/>
      <c r="L2136" s="76"/>
      <c r="M2136" s="76"/>
      <c r="N2136" s="76"/>
      <c r="O2136" s="76"/>
      <c r="P2136" s="76"/>
      <c r="Q2136" s="76"/>
      <c r="R2136" s="76"/>
      <c r="S2136" s="76"/>
      <c r="T2136" s="76"/>
      <c r="U2136" s="76"/>
      <c r="V2136" s="76"/>
      <c r="W2136" s="76"/>
      <c r="X2136" s="76"/>
    </row>
    <row r="2137" ht="18.0" customHeight="1">
      <c r="A2137" s="76"/>
      <c r="B2137" s="76"/>
      <c r="C2137" s="76"/>
      <c r="D2137" s="76"/>
      <c r="E2137" s="76"/>
      <c r="F2137" s="76"/>
      <c r="G2137" s="76"/>
      <c r="H2137" s="76"/>
      <c r="I2137" s="76"/>
      <c r="J2137" s="76"/>
      <c r="K2137" s="76"/>
      <c r="L2137" s="76"/>
      <c r="M2137" s="76"/>
      <c r="N2137" s="76"/>
      <c r="O2137" s="76"/>
      <c r="P2137" s="76"/>
      <c r="Q2137" s="76"/>
      <c r="R2137" s="76"/>
      <c r="S2137" s="76"/>
      <c r="T2137" s="76"/>
      <c r="U2137" s="76"/>
      <c r="V2137" s="76"/>
      <c r="W2137" s="76"/>
      <c r="X2137" s="76"/>
    </row>
    <row r="2138" ht="18.0" customHeight="1">
      <c r="A2138" s="76"/>
      <c r="B2138" s="76"/>
      <c r="C2138" s="76"/>
      <c r="D2138" s="76"/>
      <c r="E2138" s="76"/>
      <c r="F2138" s="76"/>
      <c r="G2138" s="76"/>
      <c r="H2138" s="76"/>
      <c r="I2138" s="76"/>
      <c r="J2138" s="76"/>
      <c r="K2138" s="76"/>
      <c r="L2138" s="76"/>
      <c r="M2138" s="76"/>
      <c r="N2138" s="76"/>
      <c r="O2138" s="76"/>
      <c r="P2138" s="76"/>
      <c r="Q2138" s="76"/>
      <c r="R2138" s="76"/>
      <c r="S2138" s="76"/>
      <c r="T2138" s="76"/>
      <c r="U2138" s="76"/>
      <c r="V2138" s="76"/>
      <c r="W2138" s="76"/>
      <c r="X2138" s="76"/>
    </row>
    <row r="2139" ht="18.0" customHeight="1">
      <c r="A2139" s="76"/>
      <c r="B2139" s="76"/>
      <c r="C2139" s="76"/>
      <c r="D2139" s="76"/>
      <c r="E2139" s="76"/>
      <c r="F2139" s="76"/>
      <c r="G2139" s="76"/>
      <c r="H2139" s="76"/>
      <c r="I2139" s="76"/>
      <c r="J2139" s="76"/>
      <c r="K2139" s="76"/>
      <c r="L2139" s="76"/>
      <c r="M2139" s="76"/>
      <c r="N2139" s="76"/>
      <c r="O2139" s="76"/>
      <c r="P2139" s="76"/>
      <c r="Q2139" s="76"/>
      <c r="R2139" s="76"/>
      <c r="S2139" s="76"/>
      <c r="T2139" s="76"/>
      <c r="U2139" s="76"/>
      <c r="V2139" s="76"/>
      <c r="W2139" s="76"/>
      <c r="X2139" s="76"/>
    </row>
    <row r="2140" ht="18.0" customHeight="1">
      <c r="A2140" s="76"/>
      <c r="B2140" s="76"/>
      <c r="C2140" s="76"/>
      <c r="D2140" s="76"/>
      <c r="E2140" s="76"/>
      <c r="F2140" s="76"/>
      <c r="G2140" s="76"/>
      <c r="H2140" s="76"/>
      <c r="I2140" s="76"/>
      <c r="J2140" s="76"/>
      <c r="K2140" s="76"/>
      <c r="L2140" s="76"/>
      <c r="M2140" s="76"/>
      <c r="N2140" s="76"/>
      <c r="O2140" s="76"/>
      <c r="P2140" s="76"/>
      <c r="Q2140" s="76"/>
      <c r="R2140" s="76"/>
      <c r="S2140" s="76"/>
      <c r="T2140" s="76"/>
      <c r="U2140" s="76"/>
      <c r="V2140" s="76"/>
      <c r="W2140" s="76"/>
      <c r="X2140" s="76"/>
    </row>
    <row r="2141" ht="18.0" customHeight="1">
      <c r="A2141" s="76"/>
      <c r="B2141" s="76"/>
      <c r="C2141" s="76"/>
      <c r="D2141" s="76"/>
      <c r="E2141" s="76"/>
      <c r="F2141" s="76"/>
      <c r="G2141" s="76"/>
      <c r="H2141" s="76"/>
      <c r="I2141" s="76"/>
      <c r="J2141" s="76"/>
      <c r="K2141" s="76"/>
      <c r="L2141" s="76"/>
      <c r="M2141" s="76"/>
      <c r="N2141" s="76"/>
      <c r="O2141" s="76"/>
      <c r="P2141" s="76"/>
      <c r="Q2141" s="76"/>
      <c r="R2141" s="76"/>
      <c r="S2141" s="76"/>
      <c r="T2141" s="76"/>
      <c r="U2141" s="76"/>
      <c r="V2141" s="76"/>
      <c r="W2141" s="76"/>
      <c r="X2141" s="76"/>
    </row>
    <row r="2142" ht="18.0" customHeight="1">
      <c r="A2142" s="76"/>
      <c r="B2142" s="76"/>
      <c r="C2142" s="76"/>
      <c r="D2142" s="76"/>
      <c r="E2142" s="76"/>
      <c r="F2142" s="76"/>
      <c r="G2142" s="76"/>
      <c r="H2142" s="76"/>
      <c r="I2142" s="76"/>
      <c r="J2142" s="76"/>
      <c r="K2142" s="76"/>
      <c r="L2142" s="76"/>
      <c r="M2142" s="76"/>
      <c r="N2142" s="76"/>
      <c r="O2142" s="76"/>
      <c r="P2142" s="76"/>
      <c r="Q2142" s="76"/>
      <c r="R2142" s="76"/>
      <c r="S2142" s="76"/>
      <c r="T2142" s="76"/>
      <c r="U2142" s="76"/>
      <c r="V2142" s="76"/>
      <c r="W2142" s="76"/>
      <c r="X2142" s="76"/>
    </row>
    <row r="2143" ht="18.0" customHeight="1">
      <c r="A2143" s="76"/>
      <c r="B2143" s="76"/>
      <c r="C2143" s="76"/>
      <c r="D2143" s="76"/>
      <c r="E2143" s="76"/>
      <c r="F2143" s="76"/>
      <c r="G2143" s="76"/>
      <c r="H2143" s="76"/>
      <c r="I2143" s="76"/>
      <c r="J2143" s="76"/>
      <c r="K2143" s="76"/>
      <c r="L2143" s="76"/>
      <c r="M2143" s="76"/>
      <c r="N2143" s="76"/>
      <c r="O2143" s="76"/>
      <c r="P2143" s="76"/>
      <c r="Q2143" s="76"/>
      <c r="R2143" s="76"/>
      <c r="S2143" s="76"/>
      <c r="T2143" s="76"/>
      <c r="U2143" s="76"/>
      <c r="V2143" s="76"/>
      <c r="W2143" s="76"/>
      <c r="X2143" s="76"/>
    </row>
    <row r="2144" ht="18.0" customHeight="1">
      <c r="A2144" s="76"/>
      <c r="B2144" s="76"/>
      <c r="C2144" s="76"/>
      <c r="D2144" s="76"/>
      <c r="E2144" s="76"/>
      <c r="F2144" s="76"/>
      <c r="G2144" s="76"/>
      <c r="H2144" s="76"/>
      <c r="I2144" s="76"/>
      <c r="J2144" s="76"/>
      <c r="K2144" s="76"/>
      <c r="L2144" s="76"/>
      <c r="M2144" s="76"/>
      <c r="N2144" s="76"/>
      <c r="O2144" s="76"/>
      <c r="P2144" s="76"/>
      <c r="Q2144" s="76"/>
      <c r="R2144" s="76"/>
      <c r="S2144" s="76"/>
      <c r="T2144" s="76"/>
      <c r="U2144" s="76"/>
      <c r="V2144" s="76"/>
      <c r="W2144" s="76"/>
      <c r="X2144" s="76"/>
    </row>
    <row r="2145" ht="18.0" customHeight="1">
      <c r="A2145" s="76"/>
      <c r="B2145" s="76"/>
      <c r="C2145" s="76"/>
      <c r="D2145" s="76"/>
      <c r="E2145" s="76"/>
      <c r="F2145" s="76"/>
      <c r="G2145" s="76"/>
      <c r="H2145" s="76"/>
      <c r="I2145" s="76"/>
      <c r="J2145" s="76"/>
      <c r="K2145" s="76"/>
      <c r="L2145" s="76"/>
      <c r="M2145" s="76"/>
      <c r="N2145" s="76"/>
      <c r="O2145" s="76"/>
      <c r="P2145" s="76"/>
      <c r="Q2145" s="76"/>
      <c r="R2145" s="76"/>
      <c r="S2145" s="76"/>
      <c r="T2145" s="76"/>
      <c r="U2145" s="76"/>
      <c r="V2145" s="76"/>
      <c r="W2145" s="76"/>
      <c r="X2145" s="76"/>
    </row>
    <row r="2146" ht="18.0" customHeight="1">
      <c r="A2146" s="76"/>
      <c r="B2146" s="76"/>
      <c r="C2146" s="76"/>
      <c r="D2146" s="76"/>
      <c r="E2146" s="76"/>
      <c r="F2146" s="76"/>
      <c r="G2146" s="76"/>
      <c r="H2146" s="76"/>
      <c r="I2146" s="76"/>
      <c r="J2146" s="76"/>
      <c r="K2146" s="76"/>
      <c r="L2146" s="76"/>
      <c r="M2146" s="76"/>
      <c r="N2146" s="76"/>
      <c r="O2146" s="76"/>
      <c r="P2146" s="76"/>
      <c r="Q2146" s="76"/>
      <c r="R2146" s="76"/>
      <c r="S2146" s="76"/>
      <c r="T2146" s="76"/>
      <c r="U2146" s="76"/>
      <c r="V2146" s="76"/>
      <c r="W2146" s="76"/>
      <c r="X2146" s="76"/>
    </row>
    <row r="2147" ht="18.0" customHeight="1">
      <c r="A2147" s="76"/>
      <c r="B2147" s="76"/>
      <c r="C2147" s="76"/>
      <c r="D2147" s="76"/>
      <c r="E2147" s="76"/>
      <c r="F2147" s="76"/>
      <c r="G2147" s="76"/>
      <c r="H2147" s="76"/>
      <c r="I2147" s="76"/>
      <c r="J2147" s="76"/>
      <c r="K2147" s="76"/>
      <c r="L2147" s="76"/>
      <c r="M2147" s="76"/>
      <c r="N2147" s="76"/>
      <c r="O2147" s="76"/>
      <c r="P2147" s="76"/>
      <c r="Q2147" s="76"/>
      <c r="R2147" s="76"/>
      <c r="S2147" s="76"/>
      <c r="T2147" s="76"/>
      <c r="U2147" s="76"/>
      <c r="V2147" s="76"/>
      <c r="W2147" s="76"/>
      <c r="X2147" s="76"/>
    </row>
    <row r="2148" ht="18.0" customHeight="1">
      <c r="A2148" s="76"/>
      <c r="B2148" s="76"/>
      <c r="C2148" s="76"/>
      <c r="D2148" s="76"/>
      <c r="E2148" s="76"/>
      <c r="F2148" s="76"/>
      <c r="G2148" s="76"/>
      <c r="H2148" s="76"/>
      <c r="I2148" s="76"/>
      <c r="J2148" s="76"/>
      <c r="K2148" s="76"/>
      <c r="L2148" s="76"/>
      <c r="M2148" s="76"/>
      <c r="N2148" s="76"/>
      <c r="O2148" s="76"/>
      <c r="P2148" s="76"/>
      <c r="Q2148" s="76"/>
      <c r="R2148" s="76"/>
      <c r="S2148" s="76"/>
      <c r="T2148" s="76"/>
      <c r="U2148" s="76"/>
      <c r="V2148" s="76"/>
      <c r="W2148" s="76"/>
      <c r="X2148" s="76"/>
    </row>
    <row r="2149" ht="18.0" customHeight="1">
      <c r="A2149" s="76"/>
      <c r="B2149" s="76"/>
      <c r="C2149" s="76"/>
      <c r="D2149" s="76"/>
      <c r="E2149" s="76"/>
      <c r="F2149" s="76"/>
      <c r="G2149" s="76"/>
      <c r="H2149" s="76"/>
      <c r="I2149" s="76"/>
      <c r="J2149" s="76"/>
      <c r="K2149" s="76"/>
      <c r="L2149" s="76"/>
      <c r="M2149" s="76"/>
      <c r="N2149" s="76"/>
      <c r="O2149" s="76"/>
      <c r="P2149" s="76"/>
      <c r="Q2149" s="76"/>
      <c r="R2149" s="76"/>
      <c r="S2149" s="76"/>
      <c r="T2149" s="76"/>
      <c r="U2149" s="76"/>
      <c r="V2149" s="76"/>
      <c r="W2149" s="76"/>
      <c r="X2149" s="76"/>
    </row>
    <row r="2150" ht="18.0" customHeight="1">
      <c r="A2150" s="76"/>
      <c r="B2150" s="76"/>
      <c r="C2150" s="76"/>
      <c r="D2150" s="76"/>
      <c r="E2150" s="76"/>
      <c r="F2150" s="76"/>
      <c r="G2150" s="76"/>
      <c r="H2150" s="76"/>
      <c r="I2150" s="76"/>
      <c r="J2150" s="76"/>
      <c r="K2150" s="76"/>
      <c r="L2150" s="76"/>
      <c r="M2150" s="76"/>
      <c r="N2150" s="76"/>
      <c r="O2150" s="76"/>
      <c r="P2150" s="76"/>
      <c r="Q2150" s="76"/>
      <c r="R2150" s="76"/>
      <c r="S2150" s="76"/>
      <c r="T2150" s="76"/>
      <c r="U2150" s="76"/>
      <c r="V2150" s="76"/>
      <c r="W2150" s="76"/>
      <c r="X2150" s="76"/>
    </row>
    <row r="2151" ht="18.0" customHeight="1">
      <c r="A2151" s="76"/>
      <c r="B2151" s="76"/>
      <c r="C2151" s="76"/>
      <c r="D2151" s="76"/>
      <c r="E2151" s="76"/>
      <c r="F2151" s="76"/>
      <c r="G2151" s="76"/>
      <c r="H2151" s="76"/>
      <c r="I2151" s="76"/>
      <c r="J2151" s="76"/>
      <c r="K2151" s="76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</row>
    <row r="2152" ht="18.0" customHeight="1">
      <c r="A2152" s="76"/>
      <c r="B2152" s="76"/>
      <c r="C2152" s="76"/>
      <c r="D2152" s="76"/>
      <c r="E2152" s="76"/>
      <c r="F2152" s="76"/>
      <c r="G2152" s="76"/>
      <c r="H2152" s="76"/>
      <c r="I2152" s="76"/>
      <c r="J2152" s="76"/>
      <c r="K2152" s="76"/>
      <c r="L2152" s="76"/>
      <c r="M2152" s="76"/>
      <c r="N2152" s="76"/>
      <c r="O2152" s="76"/>
      <c r="P2152" s="76"/>
      <c r="Q2152" s="76"/>
      <c r="R2152" s="76"/>
      <c r="S2152" s="76"/>
      <c r="T2152" s="76"/>
      <c r="U2152" s="76"/>
      <c r="V2152" s="76"/>
      <c r="W2152" s="76"/>
      <c r="X2152" s="76"/>
    </row>
    <row r="2153" ht="18.0" customHeight="1">
      <c r="A2153" s="76"/>
      <c r="B2153" s="76"/>
      <c r="C2153" s="76"/>
      <c r="D2153" s="76"/>
      <c r="E2153" s="76"/>
      <c r="F2153" s="76"/>
      <c r="G2153" s="76"/>
      <c r="H2153" s="76"/>
      <c r="I2153" s="76"/>
      <c r="J2153" s="76"/>
      <c r="K2153" s="76"/>
      <c r="L2153" s="76"/>
      <c r="M2153" s="76"/>
      <c r="N2153" s="76"/>
      <c r="O2153" s="76"/>
      <c r="P2153" s="76"/>
      <c r="Q2153" s="76"/>
      <c r="R2153" s="76"/>
      <c r="S2153" s="76"/>
      <c r="T2153" s="76"/>
      <c r="U2153" s="76"/>
      <c r="V2153" s="76"/>
      <c r="W2153" s="76"/>
      <c r="X2153" s="76"/>
    </row>
    <row r="2154" ht="18.0" customHeight="1">
      <c r="A2154" s="76"/>
      <c r="B2154" s="76"/>
      <c r="C2154" s="76"/>
      <c r="D2154" s="76"/>
      <c r="E2154" s="76"/>
      <c r="F2154" s="76"/>
      <c r="G2154" s="76"/>
      <c r="H2154" s="76"/>
      <c r="I2154" s="76"/>
      <c r="J2154" s="76"/>
      <c r="K2154" s="76"/>
      <c r="L2154" s="76"/>
      <c r="M2154" s="76"/>
      <c r="N2154" s="76"/>
      <c r="O2154" s="76"/>
      <c r="P2154" s="76"/>
      <c r="Q2154" s="76"/>
      <c r="R2154" s="76"/>
      <c r="S2154" s="76"/>
      <c r="T2154" s="76"/>
      <c r="U2154" s="76"/>
      <c r="V2154" s="76"/>
      <c r="W2154" s="76"/>
      <c r="X2154" s="76"/>
    </row>
    <row r="2155" ht="18.0" customHeight="1">
      <c r="A2155" s="76"/>
      <c r="B2155" s="76"/>
      <c r="C2155" s="76"/>
      <c r="D2155" s="76"/>
      <c r="E2155" s="76"/>
      <c r="F2155" s="76"/>
      <c r="G2155" s="76"/>
      <c r="H2155" s="76"/>
      <c r="I2155" s="76"/>
      <c r="J2155" s="76"/>
      <c r="K2155" s="76"/>
      <c r="L2155" s="76"/>
      <c r="M2155" s="76"/>
      <c r="N2155" s="76"/>
      <c r="O2155" s="76"/>
      <c r="P2155" s="76"/>
      <c r="Q2155" s="76"/>
      <c r="R2155" s="76"/>
      <c r="S2155" s="76"/>
      <c r="T2155" s="76"/>
      <c r="U2155" s="76"/>
      <c r="V2155" s="76"/>
      <c r="W2155" s="76"/>
      <c r="X2155" s="76"/>
    </row>
    <row r="2156" ht="18.0" customHeight="1">
      <c r="A2156" s="76"/>
      <c r="B2156" s="76"/>
      <c r="C2156" s="76"/>
      <c r="D2156" s="76"/>
      <c r="E2156" s="76"/>
      <c r="F2156" s="76"/>
      <c r="G2156" s="76"/>
      <c r="H2156" s="76"/>
      <c r="I2156" s="76"/>
      <c r="J2156" s="76"/>
      <c r="K2156" s="76"/>
      <c r="L2156" s="76"/>
      <c r="M2156" s="76"/>
      <c r="N2156" s="76"/>
      <c r="O2156" s="76"/>
      <c r="P2156" s="76"/>
      <c r="Q2156" s="76"/>
      <c r="R2156" s="76"/>
      <c r="S2156" s="76"/>
      <c r="T2156" s="76"/>
      <c r="U2156" s="76"/>
      <c r="V2156" s="76"/>
      <c r="W2156" s="76"/>
      <c r="X2156" s="76"/>
    </row>
    <row r="2157" ht="18.0" customHeight="1">
      <c r="A2157" s="76"/>
      <c r="B2157" s="76"/>
      <c r="C2157" s="76"/>
      <c r="D2157" s="76"/>
      <c r="E2157" s="76"/>
      <c r="F2157" s="76"/>
      <c r="G2157" s="76"/>
      <c r="H2157" s="76"/>
      <c r="I2157" s="76"/>
      <c r="J2157" s="76"/>
      <c r="K2157" s="76"/>
      <c r="L2157" s="76"/>
      <c r="M2157" s="76"/>
      <c r="N2157" s="76"/>
      <c r="O2157" s="76"/>
      <c r="P2157" s="76"/>
      <c r="Q2157" s="76"/>
      <c r="R2157" s="76"/>
      <c r="S2157" s="76"/>
      <c r="T2157" s="76"/>
      <c r="U2157" s="76"/>
      <c r="V2157" s="76"/>
      <c r="W2157" s="76"/>
      <c r="X2157" s="76"/>
    </row>
    <row r="2158" ht="18.0" customHeight="1">
      <c r="A2158" s="76"/>
      <c r="B2158" s="76"/>
      <c r="C2158" s="76"/>
      <c r="D2158" s="76"/>
      <c r="E2158" s="76"/>
      <c r="F2158" s="76"/>
      <c r="G2158" s="76"/>
      <c r="H2158" s="76"/>
      <c r="I2158" s="76"/>
      <c r="J2158" s="76"/>
      <c r="K2158" s="76"/>
      <c r="L2158" s="76"/>
      <c r="M2158" s="76"/>
      <c r="N2158" s="76"/>
      <c r="O2158" s="76"/>
      <c r="P2158" s="76"/>
      <c r="Q2158" s="76"/>
      <c r="R2158" s="76"/>
      <c r="S2158" s="76"/>
      <c r="T2158" s="76"/>
      <c r="U2158" s="76"/>
      <c r="V2158" s="76"/>
      <c r="W2158" s="76"/>
      <c r="X2158" s="76"/>
    </row>
    <row r="2159" ht="18.0" customHeight="1">
      <c r="A2159" s="76"/>
      <c r="B2159" s="76"/>
      <c r="C2159" s="76"/>
      <c r="D2159" s="76"/>
      <c r="E2159" s="76"/>
      <c r="F2159" s="76"/>
      <c r="G2159" s="76"/>
      <c r="H2159" s="76"/>
      <c r="I2159" s="76"/>
      <c r="J2159" s="76"/>
      <c r="K2159" s="76"/>
      <c r="L2159" s="76"/>
      <c r="M2159" s="76"/>
      <c r="N2159" s="76"/>
      <c r="O2159" s="76"/>
      <c r="P2159" s="76"/>
      <c r="Q2159" s="76"/>
      <c r="R2159" s="76"/>
      <c r="S2159" s="76"/>
      <c r="T2159" s="76"/>
      <c r="U2159" s="76"/>
      <c r="V2159" s="76"/>
      <c r="W2159" s="76"/>
      <c r="X2159" s="76"/>
    </row>
    <row r="2160" ht="18.0" customHeight="1">
      <c r="A2160" s="76"/>
      <c r="B2160" s="76"/>
      <c r="C2160" s="76"/>
      <c r="D2160" s="76"/>
      <c r="E2160" s="76"/>
      <c r="F2160" s="76"/>
      <c r="G2160" s="76"/>
      <c r="H2160" s="76"/>
      <c r="I2160" s="76"/>
      <c r="J2160" s="76"/>
      <c r="K2160" s="76"/>
      <c r="L2160" s="76"/>
      <c r="M2160" s="76"/>
      <c r="N2160" s="76"/>
      <c r="O2160" s="76"/>
      <c r="P2160" s="76"/>
      <c r="Q2160" s="76"/>
      <c r="R2160" s="76"/>
      <c r="S2160" s="76"/>
      <c r="T2160" s="76"/>
      <c r="U2160" s="76"/>
      <c r="V2160" s="76"/>
      <c r="W2160" s="76"/>
      <c r="X2160" s="76"/>
    </row>
    <row r="2161" ht="18.0" customHeight="1">
      <c r="A2161" s="76"/>
      <c r="B2161" s="76"/>
      <c r="C2161" s="76"/>
      <c r="D2161" s="76"/>
      <c r="E2161" s="76"/>
      <c r="F2161" s="76"/>
      <c r="G2161" s="76"/>
      <c r="H2161" s="76"/>
      <c r="I2161" s="76"/>
      <c r="J2161" s="76"/>
      <c r="K2161" s="76"/>
      <c r="L2161" s="76"/>
      <c r="M2161" s="76"/>
      <c r="N2161" s="76"/>
      <c r="O2161" s="76"/>
      <c r="P2161" s="76"/>
      <c r="Q2161" s="76"/>
      <c r="R2161" s="76"/>
      <c r="S2161" s="76"/>
      <c r="T2161" s="76"/>
      <c r="U2161" s="76"/>
      <c r="V2161" s="76"/>
      <c r="W2161" s="76"/>
      <c r="X2161" s="76"/>
    </row>
    <row r="2162" ht="18.0" customHeight="1">
      <c r="A2162" s="76"/>
      <c r="B2162" s="76"/>
      <c r="C2162" s="76"/>
      <c r="D2162" s="76"/>
      <c r="E2162" s="76"/>
      <c r="F2162" s="76"/>
      <c r="G2162" s="76"/>
      <c r="H2162" s="76"/>
      <c r="I2162" s="76"/>
      <c r="J2162" s="76"/>
      <c r="K2162" s="76"/>
      <c r="L2162" s="76"/>
      <c r="M2162" s="76"/>
      <c r="N2162" s="76"/>
      <c r="O2162" s="76"/>
      <c r="P2162" s="76"/>
      <c r="Q2162" s="76"/>
      <c r="R2162" s="76"/>
      <c r="S2162" s="76"/>
      <c r="T2162" s="76"/>
      <c r="U2162" s="76"/>
      <c r="V2162" s="76"/>
      <c r="W2162" s="76"/>
      <c r="X2162" s="76"/>
    </row>
    <row r="2163" ht="18.0" customHeight="1">
      <c r="A2163" s="76"/>
      <c r="B2163" s="76"/>
      <c r="C2163" s="76"/>
      <c r="D2163" s="76"/>
      <c r="E2163" s="76"/>
      <c r="F2163" s="76"/>
      <c r="G2163" s="76"/>
      <c r="H2163" s="76"/>
      <c r="I2163" s="76"/>
      <c r="J2163" s="76"/>
      <c r="K2163" s="76"/>
      <c r="L2163" s="76"/>
      <c r="M2163" s="76"/>
      <c r="N2163" s="76"/>
      <c r="O2163" s="76"/>
      <c r="P2163" s="76"/>
      <c r="Q2163" s="76"/>
      <c r="R2163" s="76"/>
      <c r="S2163" s="76"/>
      <c r="T2163" s="76"/>
      <c r="U2163" s="76"/>
      <c r="V2163" s="76"/>
      <c r="W2163" s="76"/>
      <c r="X2163" s="76"/>
    </row>
    <row r="2164" ht="18.0" customHeight="1">
      <c r="A2164" s="76"/>
      <c r="B2164" s="76"/>
      <c r="C2164" s="76"/>
      <c r="D2164" s="76"/>
      <c r="E2164" s="76"/>
      <c r="F2164" s="76"/>
      <c r="G2164" s="76"/>
      <c r="H2164" s="76"/>
      <c r="I2164" s="76"/>
      <c r="J2164" s="76"/>
      <c r="K2164" s="76"/>
      <c r="L2164" s="76"/>
      <c r="M2164" s="76"/>
      <c r="N2164" s="76"/>
      <c r="O2164" s="76"/>
      <c r="P2164" s="76"/>
      <c r="Q2164" s="76"/>
      <c r="R2164" s="76"/>
      <c r="S2164" s="76"/>
      <c r="T2164" s="76"/>
      <c r="U2164" s="76"/>
      <c r="V2164" s="76"/>
      <c r="W2164" s="76"/>
      <c r="X2164" s="76"/>
    </row>
    <row r="2165" ht="18.0" customHeight="1">
      <c r="A2165" s="76"/>
      <c r="B2165" s="76"/>
      <c r="C2165" s="76"/>
      <c r="D2165" s="76"/>
      <c r="E2165" s="76"/>
      <c r="F2165" s="76"/>
      <c r="G2165" s="76"/>
      <c r="H2165" s="76"/>
      <c r="I2165" s="76"/>
      <c r="J2165" s="76"/>
      <c r="K2165" s="76"/>
      <c r="L2165" s="76"/>
      <c r="M2165" s="76"/>
      <c r="N2165" s="76"/>
      <c r="O2165" s="76"/>
      <c r="P2165" s="76"/>
      <c r="Q2165" s="76"/>
      <c r="R2165" s="76"/>
      <c r="S2165" s="76"/>
      <c r="T2165" s="76"/>
      <c r="U2165" s="76"/>
      <c r="V2165" s="76"/>
      <c r="W2165" s="76"/>
      <c r="X2165" s="76"/>
    </row>
    <row r="2166" ht="18.0" customHeight="1">
      <c r="A2166" s="76"/>
      <c r="B2166" s="76"/>
      <c r="C2166" s="76"/>
      <c r="D2166" s="76"/>
      <c r="E2166" s="76"/>
      <c r="F2166" s="76"/>
      <c r="G2166" s="76"/>
      <c r="H2166" s="76"/>
      <c r="I2166" s="76"/>
      <c r="J2166" s="76"/>
      <c r="K2166" s="76"/>
      <c r="L2166" s="76"/>
      <c r="M2166" s="76"/>
      <c r="N2166" s="76"/>
      <c r="O2166" s="76"/>
      <c r="P2166" s="76"/>
      <c r="Q2166" s="76"/>
      <c r="R2166" s="76"/>
      <c r="S2166" s="76"/>
      <c r="T2166" s="76"/>
      <c r="U2166" s="76"/>
      <c r="V2166" s="76"/>
      <c r="W2166" s="76"/>
      <c r="X2166" s="76"/>
    </row>
    <row r="2167" ht="18.0" customHeight="1">
      <c r="A2167" s="76"/>
      <c r="B2167" s="76"/>
      <c r="C2167" s="76"/>
      <c r="D2167" s="76"/>
      <c r="E2167" s="76"/>
      <c r="F2167" s="76"/>
      <c r="G2167" s="76"/>
      <c r="H2167" s="76"/>
      <c r="I2167" s="76"/>
      <c r="J2167" s="76"/>
      <c r="K2167" s="76"/>
      <c r="L2167" s="76"/>
      <c r="M2167" s="76"/>
      <c r="N2167" s="76"/>
      <c r="O2167" s="76"/>
      <c r="P2167" s="76"/>
      <c r="Q2167" s="76"/>
      <c r="R2167" s="76"/>
      <c r="S2167" s="76"/>
      <c r="T2167" s="76"/>
      <c r="U2167" s="76"/>
      <c r="V2167" s="76"/>
      <c r="W2167" s="76"/>
      <c r="X2167" s="76"/>
    </row>
    <row r="2168" ht="18.0" customHeight="1">
      <c r="A2168" s="76"/>
      <c r="B2168" s="76"/>
      <c r="C2168" s="76"/>
      <c r="D2168" s="76"/>
      <c r="E2168" s="76"/>
      <c r="F2168" s="76"/>
      <c r="G2168" s="76"/>
      <c r="H2168" s="76"/>
      <c r="I2168" s="76"/>
      <c r="J2168" s="76"/>
      <c r="K2168" s="76"/>
      <c r="L2168" s="76"/>
      <c r="M2168" s="76"/>
      <c r="N2168" s="76"/>
      <c r="O2168" s="76"/>
      <c r="P2168" s="76"/>
      <c r="Q2168" s="76"/>
      <c r="R2168" s="76"/>
      <c r="S2168" s="76"/>
      <c r="T2168" s="76"/>
      <c r="U2168" s="76"/>
      <c r="V2168" s="76"/>
      <c r="W2168" s="76"/>
      <c r="X2168" s="76"/>
    </row>
    <row r="2169" ht="18.0" customHeight="1">
      <c r="A2169" s="76"/>
      <c r="B2169" s="76"/>
      <c r="C2169" s="76"/>
      <c r="D2169" s="76"/>
      <c r="E2169" s="76"/>
      <c r="F2169" s="76"/>
      <c r="G2169" s="76"/>
      <c r="H2169" s="76"/>
      <c r="I2169" s="76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/>
      <c r="W2169" s="76"/>
      <c r="X2169" s="76"/>
    </row>
    <row r="2170" ht="18.0" customHeight="1">
      <c r="A2170" s="76"/>
      <c r="B2170" s="76"/>
      <c r="C2170" s="76"/>
      <c r="D2170" s="76"/>
      <c r="E2170" s="76"/>
      <c r="F2170" s="76"/>
      <c r="G2170" s="76"/>
      <c r="H2170" s="76"/>
      <c r="I2170" s="76"/>
      <c r="J2170" s="76"/>
      <c r="K2170" s="76"/>
      <c r="L2170" s="76"/>
      <c r="M2170" s="76"/>
      <c r="N2170" s="76"/>
      <c r="O2170" s="76"/>
      <c r="P2170" s="76"/>
      <c r="Q2170" s="76"/>
      <c r="R2170" s="76"/>
      <c r="S2170" s="76"/>
      <c r="T2170" s="76"/>
      <c r="U2170" s="76"/>
      <c r="V2170" s="76"/>
      <c r="W2170" s="76"/>
      <c r="X2170" s="76"/>
    </row>
    <row r="2171" ht="18.0" customHeight="1">
      <c r="A2171" s="76"/>
      <c r="B2171" s="76"/>
      <c r="C2171" s="76"/>
      <c r="D2171" s="76"/>
      <c r="E2171" s="76"/>
      <c r="F2171" s="76"/>
      <c r="G2171" s="76"/>
      <c r="H2171" s="76"/>
      <c r="I2171" s="76"/>
      <c r="J2171" s="76"/>
      <c r="K2171" s="76"/>
      <c r="L2171" s="76"/>
      <c r="M2171" s="76"/>
      <c r="N2171" s="76"/>
      <c r="O2171" s="76"/>
      <c r="P2171" s="76"/>
      <c r="Q2171" s="76"/>
      <c r="R2171" s="76"/>
      <c r="S2171" s="76"/>
      <c r="T2171" s="76"/>
      <c r="U2171" s="76"/>
      <c r="V2171" s="76"/>
      <c r="W2171" s="76"/>
      <c r="X2171" s="76"/>
    </row>
    <row r="2172" ht="18.0" customHeight="1">
      <c r="A2172" s="76"/>
      <c r="B2172" s="76"/>
      <c r="C2172" s="76"/>
      <c r="D2172" s="76"/>
      <c r="E2172" s="76"/>
      <c r="F2172" s="76"/>
      <c r="G2172" s="76"/>
      <c r="H2172" s="76"/>
      <c r="I2172" s="76"/>
      <c r="J2172" s="76"/>
      <c r="K2172" s="76"/>
      <c r="L2172" s="76"/>
      <c r="M2172" s="76"/>
      <c r="N2172" s="76"/>
      <c r="O2172" s="76"/>
      <c r="P2172" s="76"/>
      <c r="Q2172" s="76"/>
      <c r="R2172" s="76"/>
      <c r="S2172" s="76"/>
      <c r="T2172" s="76"/>
      <c r="U2172" s="76"/>
      <c r="V2172" s="76"/>
      <c r="W2172" s="76"/>
      <c r="X2172" s="76"/>
    </row>
    <row r="2173" ht="18.0" customHeight="1">
      <c r="A2173" s="76"/>
      <c r="B2173" s="76"/>
      <c r="C2173" s="76"/>
      <c r="D2173" s="76"/>
      <c r="E2173" s="76"/>
      <c r="F2173" s="76"/>
      <c r="G2173" s="76"/>
      <c r="H2173" s="76"/>
      <c r="I2173" s="76"/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</row>
    <row r="2174" ht="18.0" customHeight="1">
      <c r="A2174" s="76"/>
      <c r="B2174" s="76"/>
      <c r="C2174" s="76"/>
      <c r="D2174" s="76"/>
      <c r="E2174" s="76"/>
      <c r="F2174" s="76"/>
      <c r="G2174" s="76"/>
      <c r="H2174" s="76"/>
      <c r="I2174" s="76"/>
      <c r="J2174" s="76"/>
      <c r="K2174" s="76"/>
      <c r="L2174" s="76"/>
      <c r="M2174" s="76"/>
      <c r="N2174" s="76"/>
      <c r="O2174" s="76"/>
      <c r="P2174" s="76"/>
      <c r="Q2174" s="76"/>
      <c r="R2174" s="76"/>
      <c r="S2174" s="76"/>
      <c r="T2174" s="76"/>
      <c r="U2174" s="76"/>
      <c r="V2174" s="76"/>
      <c r="W2174" s="76"/>
      <c r="X2174" s="76"/>
    </row>
    <row r="2175" ht="18.0" customHeight="1">
      <c r="A2175" s="76"/>
      <c r="B2175" s="76"/>
      <c r="C2175" s="76"/>
      <c r="D2175" s="76"/>
      <c r="E2175" s="76"/>
      <c r="F2175" s="76"/>
      <c r="G2175" s="76"/>
      <c r="H2175" s="76"/>
      <c r="I2175" s="76"/>
      <c r="J2175" s="76"/>
      <c r="K2175" s="76"/>
      <c r="L2175" s="76"/>
      <c r="M2175" s="76"/>
      <c r="N2175" s="76"/>
      <c r="O2175" s="76"/>
      <c r="P2175" s="76"/>
      <c r="Q2175" s="76"/>
      <c r="R2175" s="76"/>
      <c r="S2175" s="76"/>
      <c r="T2175" s="76"/>
      <c r="U2175" s="76"/>
      <c r="V2175" s="76"/>
      <c r="W2175" s="76"/>
      <c r="X2175" s="76"/>
    </row>
    <row r="2176" ht="18.0" customHeight="1">
      <c r="A2176" s="76"/>
      <c r="B2176" s="76"/>
      <c r="C2176" s="76"/>
      <c r="D2176" s="76"/>
      <c r="E2176" s="76"/>
      <c r="F2176" s="76"/>
      <c r="G2176" s="76"/>
      <c r="H2176" s="76"/>
      <c r="I2176" s="76"/>
      <c r="J2176" s="76"/>
      <c r="K2176" s="76"/>
      <c r="L2176" s="76"/>
      <c r="M2176" s="76"/>
      <c r="N2176" s="76"/>
      <c r="O2176" s="76"/>
      <c r="P2176" s="76"/>
      <c r="Q2176" s="76"/>
      <c r="R2176" s="76"/>
      <c r="S2176" s="76"/>
      <c r="T2176" s="76"/>
      <c r="U2176" s="76"/>
      <c r="V2176" s="76"/>
      <c r="W2176" s="76"/>
      <c r="X2176" s="76"/>
    </row>
    <row r="2177" ht="18.0" customHeight="1">
      <c r="A2177" s="76"/>
      <c r="B2177" s="76"/>
      <c r="C2177" s="76"/>
      <c r="D2177" s="76"/>
      <c r="E2177" s="76"/>
      <c r="F2177" s="76"/>
      <c r="G2177" s="76"/>
      <c r="H2177" s="76"/>
      <c r="I2177" s="76"/>
      <c r="J2177" s="76"/>
      <c r="K2177" s="76"/>
      <c r="L2177" s="76"/>
      <c r="M2177" s="76"/>
      <c r="N2177" s="76"/>
      <c r="O2177" s="76"/>
      <c r="P2177" s="76"/>
      <c r="Q2177" s="76"/>
      <c r="R2177" s="76"/>
      <c r="S2177" s="76"/>
      <c r="T2177" s="76"/>
      <c r="U2177" s="76"/>
      <c r="V2177" s="76"/>
      <c r="W2177" s="76"/>
      <c r="X2177" s="76"/>
    </row>
    <row r="2178" ht="18.0" customHeight="1">
      <c r="A2178" s="76"/>
      <c r="B2178" s="76"/>
      <c r="C2178" s="76"/>
      <c r="D2178" s="76"/>
      <c r="E2178" s="76"/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  <c r="Q2178" s="76"/>
      <c r="R2178" s="76"/>
      <c r="S2178" s="76"/>
      <c r="T2178" s="76"/>
      <c r="U2178" s="76"/>
      <c r="V2178" s="76"/>
      <c r="W2178" s="76"/>
      <c r="X2178" s="76"/>
    </row>
    <row r="2179" ht="18.0" customHeight="1">
      <c r="A2179" s="76"/>
      <c r="B2179" s="76"/>
      <c r="C2179" s="76"/>
      <c r="D2179" s="76"/>
      <c r="E2179" s="76"/>
      <c r="F2179" s="76"/>
      <c r="G2179" s="76"/>
      <c r="H2179" s="76"/>
      <c r="I2179" s="76"/>
      <c r="J2179" s="76"/>
      <c r="K2179" s="76"/>
      <c r="L2179" s="76"/>
      <c r="M2179" s="76"/>
      <c r="N2179" s="76"/>
      <c r="O2179" s="76"/>
      <c r="P2179" s="76"/>
      <c r="Q2179" s="76"/>
      <c r="R2179" s="76"/>
      <c r="S2179" s="76"/>
      <c r="T2179" s="76"/>
      <c r="U2179" s="76"/>
      <c r="V2179" s="76"/>
      <c r="W2179" s="76"/>
      <c r="X2179" s="76"/>
    </row>
    <row r="2180" ht="18.0" customHeight="1">
      <c r="A2180" s="76"/>
      <c r="B2180" s="76"/>
      <c r="C2180" s="76"/>
      <c r="D2180" s="76"/>
      <c r="E2180" s="76"/>
      <c r="F2180" s="76"/>
      <c r="G2180" s="76"/>
      <c r="H2180" s="76"/>
      <c r="I2180" s="76"/>
      <c r="J2180" s="76"/>
      <c r="K2180" s="76"/>
      <c r="L2180" s="76"/>
      <c r="M2180" s="76"/>
      <c r="N2180" s="76"/>
      <c r="O2180" s="76"/>
      <c r="P2180" s="76"/>
      <c r="Q2180" s="76"/>
      <c r="R2180" s="76"/>
      <c r="S2180" s="76"/>
      <c r="T2180" s="76"/>
      <c r="U2180" s="76"/>
      <c r="V2180" s="76"/>
      <c r="W2180" s="76"/>
      <c r="X2180" s="76"/>
    </row>
    <row r="2181" ht="18.0" customHeight="1">
      <c r="A2181" s="76"/>
      <c r="B2181" s="76"/>
      <c r="C2181" s="76"/>
      <c r="D2181" s="76"/>
      <c r="E2181" s="76"/>
      <c r="F2181" s="76"/>
      <c r="G2181" s="76"/>
      <c r="H2181" s="76"/>
      <c r="I2181" s="76"/>
      <c r="J2181" s="76"/>
      <c r="K2181" s="76"/>
      <c r="L2181" s="76"/>
      <c r="M2181" s="76"/>
      <c r="N2181" s="76"/>
      <c r="O2181" s="76"/>
      <c r="P2181" s="76"/>
      <c r="Q2181" s="76"/>
      <c r="R2181" s="76"/>
      <c r="S2181" s="76"/>
      <c r="T2181" s="76"/>
      <c r="U2181" s="76"/>
      <c r="V2181" s="76"/>
      <c r="W2181" s="76"/>
      <c r="X2181" s="76"/>
    </row>
    <row r="2182" ht="18.0" customHeight="1">
      <c r="A2182" s="76"/>
      <c r="B2182" s="76"/>
      <c r="C2182" s="76"/>
      <c r="D2182" s="76"/>
      <c r="E2182" s="76"/>
      <c r="F2182" s="76"/>
      <c r="G2182" s="76"/>
      <c r="H2182" s="76"/>
      <c r="I2182" s="76"/>
      <c r="J2182" s="76"/>
      <c r="K2182" s="76"/>
      <c r="L2182" s="76"/>
      <c r="M2182" s="76"/>
      <c r="N2182" s="76"/>
      <c r="O2182" s="76"/>
      <c r="P2182" s="76"/>
      <c r="Q2182" s="76"/>
      <c r="R2182" s="76"/>
      <c r="S2182" s="76"/>
      <c r="T2182" s="76"/>
      <c r="U2182" s="76"/>
      <c r="V2182" s="76"/>
      <c r="W2182" s="76"/>
      <c r="X2182" s="76"/>
    </row>
    <row r="2183" ht="18.0" customHeight="1">
      <c r="A2183" s="76"/>
      <c r="B2183" s="76"/>
      <c r="C2183" s="76"/>
      <c r="D2183" s="76"/>
      <c r="E2183" s="76"/>
      <c r="F2183" s="76"/>
      <c r="G2183" s="76"/>
      <c r="H2183" s="76"/>
      <c r="I2183" s="76"/>
      <c r="J2183" s="76"/>
      <c r="K2183" s="76"/>
      <c r="L2183" s="76"/>
      <c r="M2183" s="76"/>
      <c r="N2183" s="76"/>
      <c r="O2183" s="76"/>
      <c r="P2183" s="76"/>
      <c r="Q2183" s="76"/>
      <c r="R2183" s="76"/>
      <c r="S2183" s="76"/>
      <c r="T2183" s="76"/>
      <c r="U2183" s="76"/>
      <c r="V2183" s="76"/>
      <c r="W2183" s="76"/>
      <c r="X2183" s="76"/>
    </row>
    <row r="2184" ht="18.0" customHeight="1">
      <c r="A2184" s="76"/>
      <c r="B2184" s="76"/>
      <c r="C2184" s="76"/>
      <c r="D2184" s="76"/>
      <c r="E2184" s="76"/>
      <c r="F2184" s="76"/>
      <c r="G2184" s="76"/>
      <c r="H2184" s="76"/>
      <c r="I2184" s="76"/>
      <c r="J2184" s="76"/>
      <c r="K2184" s="76"/>
      <c r="L2184" s="76"/>
      <c r="M2184" s="76"/>
      <c r="N2184" s="76"/>
      <c r="O2184" s="76"/>
      <c r="P2184" s="76"/>
      <c r="Q2184" s="76"/>
      <c r="R2184" s="76"/>
      <c r="S2184" s="76"/>
      <c r="T2184" s="76"/>
      <c r="U2184" s="76"/>
      <c r="V2184" s="76"/>
      <c r="W2184" s="76"/>
      <c r="X2184" s="76"/>
    </row>
    <row r="2185" ht="18.0" customHeight="1">
      <c r="A2185" s="76"/>
      <c r="B2185" s="76"/>
      <c r="C2185" s="76"/>
      <c r="D2185" s="76"/>
      <c r="E2185" s="76"/>
      <c r="F2185" s="76"/>
      <c r="G2185" s="76"/>
      <c r="H2185" s="76"/>
      <c r="I2185" s="76"/>
      <c r="J2185" s="76"/>
      <c r="K2185" s="76"/>
      <c r="L2185" s="76"/>
      <c r="M2185" s="76"/>
      <c r="N2185" s="76"/>
      <c r="O2185" s="76"/>
      <c r="P2185" s="76"/>
      <c r="Q2185" s="76"/>
      <c r="R2185" s="76"/>
      <c r="S2185" s="76"/>
      <c r="T2185" s="76"/>
      <c r="U2185" s="76"/>
      <c r="V2185" s="76"/>
      <c r="W2185" s="76"/>
      <c r="X2185" s="76"/>
    </row>
    <row r="2186" ht="18.0" customHeight="1">
      <c r="A2186" s="76"/>
      <c r="B2186" s="76"/>
      <c r="C2186" s="76"/>
      <c r="D2186" s="76"/>
      <c r="E2186" s="76"/>
      <c r="F2186" s="76"/>
      <c r="G2186" s="76"/>
      <c r="H2186" s="76"/>
      <c r="I2186" s="76"/>
      <c r="J2186" s="76"/>
      <c r="K2186" s="76"/>
      <c r="L2186" s="76"/>
      <c r="M2186" s="76"/>
      <c r="N2186" s="76"/>
      <c r="O2186" s="76"/>
      <c r="P2186" s="76"/>
      <c r="Q2186" s="76"/>
      <c r="R2186" s="76"/>
      <c r="S2186" s="76"/>
      <c r="T2186" s="76"/>
      <c r="U2186" s="76"/>
      <c r="V2186" s="76"/>
      <c r="W2186" s="76"/>
      <c r="X2186" s="76"/>
    </row>
    <row r="2187" ht="18.0" customHeight="1">
      <c r="A2187" s="76"/>
      <c r="B2187" s="76"/>
      <c r="C2187" s="76"/>
      <c r="D2187" s="76"/>
      <c r="E2187" s="76"/>
      <c r="F2187" s="76"/>
      <c r="G2187" s="76"/>
      <c r="H2187" s="76"/>
      <c r="I2187" s="76"/>
      <c r="J2187" s="76"/>
      <c r="K2187" s="76"/>
      <c r="L2187" s="76"/>
      <c r="M2187" s="76"/>
      <c r="N2187" s="76"/>
      <c r="O2187" s="76"/>
      <c r="P2187" s="76"/>
      <c r="Q2187" s="76"/>
      <c r="R2187" s="76"/>
      <c r="S2187" s="76"/>
      <c r="T2187" s="76"/>
      <c r="U2187" s="76"/>
      <c r="V2187" s="76"/>
      <c r="W2187" s="76"/>
      <c r="X2187" s="76"/>
    </row>
    <row r="2188" ht="18.0" customHeight="1">
      <c r="A2188" s="76"/>
      <c r="B2188" s="76"/>
      <c r="C2188" s="76"/>
      <c r="D2188" s="76"/>
      <c r="E2188" s="76"/>
      <c r="F2188" s="76"/>
      <c r="G2188" s="76"/>
      <c r="H2188" s="76"/>
      <c r="I2188" s="76"/>
      <c r="J2188" s="76"/>
      <c r="K2188" s="76"/>
      <c r="L2188" s="76"/>
      <c r="M2188" s="76"/>
      <c r="N2188" s="76"/>
      <c r="O2188" s="76"/>
      <c r="P2188" s="76"/>
      <c r="Q2188" s="76"/>
      <c r="R2188" s="76"/>
      <c r="S2188" s="76"/>
      <c r="T2188" s="76"/>
      <c r="U2188" s="76"/>
      <c r="V2188" s="76"/>
      <c r="W2188" s="76"/>
      <c r="X2188" s="76"/>
    </row>
    <row r="2189" ht="18.0" customHeight="1">
      <c r="A2189" s="76"/>
      <c r="B2189" s="76"/>
      <c r="C2189" s="76"/>
      <c r="D2189" s="76"/>
      <c r="E2189" s="76"/>
      <c r="F2189" s="76"/>
      <c r="G2189" s="76"/>
      <c r="H2189" s="76"/>
      <c r="I2189" s="76"/>
      <c r="J2189" s="76"/>
      <c r="K2189" s="76"/>
      <c r="L2189" s="76"/>
      <c r="M2189" s="76"/>
      <c r="N2189" s="76"/>
      <c r="O2189" s="76"/>
      <c r="P2189" s="76"/>
      <c r="Q2189" s="76"/>
      <c r="R2189" s="76"/>
      <c r="S2189" s="76"/>
      <c r="T2189" s="76"/>
      <c r="U2189" s="76"/>
      <c r="V2189" s="76"/>
      <c r="W2189" s="76"/>
      <c r="X2189" s="76"/>
    </row>
    <row r="2190" ht="18.0" customHeight="1">
      <c r="A2190" s="76"/>
      <c r="B2190" s="76"/>
      <c r="C2190" s="76"/>
      <c r="D2190" s="76"/>
      <c r="E2190" s="76"/>
      <c r="F2190" s="76"/>
      <c r="G2190" s="76"/>
      <c r="H2190" s="76"/>
      <c r="I2190" s="76"/>
      <c r="J2190" s="76"/>
      <c r="K2190" s="76"/>
      <c r="L2190" s="76"/>
      <c r="M2190" s="76"/>
      <c r="N2190" s="76"/>
      <c r="O2190" s="76"/>
      <c r="P2190" s="76"/>
      <c r="Q2190" s="76"/>
      <c r="R2190" s="76"/>
      <c r="S2190" s="76"/>
      <c r="T2190" s="76"/>
      <c r="U2190" s="76"/>
      <c r="V2190" s="76"/>
      <c r="W2190" s="76"/>
      <c r="X2190" s="76"/>
    </row>
    <row r="2191" ht="18.0" customHeight="1">
      <c r="A2191" s="76"/>
      <c r="B2191" s="76"/>
      <c r="C2191" s="76"/>
      <c r="D2191" s="76"/>
      <c r="E2191" s="76"/>
      <c r="F2191" s="76"/>
      <c r="G2191" s="76"/>
      <c r="H2191" s="76"/>
      <c r="I2191" s="76"/>
      <c r="J2191" s="76"/>
      <c r="K2191" s="76"/>
      <c r="L2191" s="76"/>
      <c r="M2191" s="76"/>
      <c r="N2191" s="76"/>
      <c r="O2191" s="76"/>
      <c r="P2191" s="76"/>
      <c r="Q2191" s="76"/>
      <c r="R2191" s="76"/>
      <c r="S2191" s="76"/>
      <c r="T2191" s="76"/>
      <c r="U2191" s="76"/>
      <c r="V2191" s="76"/>
      <c r="W2191" s="76"/>
      <c r="X2191" s="76"/>
    </row>
    <row r="2192" ht="18.0" customHeight="1">
      <c r="A2192" s="76"/>
      <c r="B2192" s="76"/>
      <c r="C2192" s="76"/>
      <c r="D2192" s="76"/>
      <c r="E2192" s="76"/>
      <c r="F2192" s="76"/>
      <c r="G2192" s="76"/>
      <c r="H2192" s="76"/>
      <c r="I2192" s="76"/>
      <c r="J2192" s="76"/>
      <c r="K2192" s="76"/>
      <c r="L2192" s="76"/>
      <c r="M2192" s="76"/>
      <c r="N2192" s="76"/>
      <c r="O2192" s="76"/>
      <c r="P2192" s="76"/>
      <c r="Q2192" s="76"/>
      <c r="R2192" s="76"/>
      <c r="S2192" s="76"/>
      <c r="T2192" s="76"/>
      <c r="U2192" s="76"/>
      <c r="V2192" s="76"/>
      <c r="W2192" s="76"/>
      <c r="X2192" s="76"/>
    </row>
    <row r="2193" ht="18.0" customHeight="1">
      <c r="A2193" s="76"/>
      <c r="B2193" s="76"/>
      <c r="C2193" s="76"/>
      <c r="D2193" s="76"/>
      <c r="E2193" s="76"/>
      <c r="F2193" s="76"/>
      <c r="G2193" s="76"/>
      <c r="H2193" s="76"/>
      <c r="I2193" s="76"/>
      <c r="J2193" s="76"/>
      <c r="K2193" s="76"/>
      <c r="L2193" s="76"/>
      <c r="M2193" s="76"/>
      <c r="N2193" s="76"/>
      <c r="O2193" s="76"/>
      <c r="P2193" s="76"/>
      <c r="Q2193" s="76"/>
      <c r="R2193" s="76"/>
      <c r="S2193" s="76"/>
      <c r="T2193" s="76"/>
      <c r="U2193" s="76"/>
      <c r="V2193" s="76"/>
      <c r="W2193" s="76"/>
      <c r="X2193" s="76"/>
    </row>
    <row r="2194" ht="18.0" customHeight="1">
      <c r="A2194" s="76"/>
      <c r="B2194" s="76"/>
      <c r="C2194" s="76"/>
      <c r="D2194" s="76"/>
      <c r="E2194" s="76"/>
      <c r="F2194" s="76"/>
      <c r="G2194" s="76"/>
      <c r="H2194" s="76"/>
      <c r="I2194" s="76"/>
      <c r="J2194" s="76"/>
      <c r="K2194" s="76"/>
      <c r="L2194" s="76"/>
      <c r="M2194" s="76"/>
      <c r="N2194" s="76"/>
      <c r="O2194" s="76"/>
      <c r="P2194" s="76"/>
      <c r="Q2194" s="76"/>
      <c r="R2194" s="76"/>
      <c r="S2194" s="76"/>
      <c r="T2194" s="76"/>
      <c r="U2194" s="76"/>
      <c r="V2194" s="76"/>
      <c r="W2194" s="76"/>
      <c r="X2194" s="76"/>
    </row>
    <row r="2195" ht="18.0" customHeight="1">
      <c r="A2195" s="76"/>
      <c r="B2195" s="76"/>
      <c r="C2195" s="76"/>
      <c r="D2195" s="76"/>
      <c r="E2195" s="76"/>
      <c r="F2195" s="76"/>
      <c r="G2195" s="76"/>
      <c r="H2195" s="76"/>
      <c r="I2195" s="76"/>
      <c r="J2195" s="76"/>
      <c r="K2195" s="76"/>
      <c r="L2195" s="76"/>
      <c r="M2195" s="76"/>
      <c r="N2195" s="76"/>
      <c r="O2195" s="76"/>
      <c r="P2195" s="76"/>
      <c r="Q2195" s="76"/>
      <c r="R2195" s="76"/>
      <c r="S2195" s="76"/>
      <c r="T2195" s="76"/>
      <c r="U2195" s="76"/>
      <c r="V2195" s="76"/>
      <c r="W2195" s="76"/>
      <c r="X2195" s="76"/>
    </row>
    <row r="2196" ht="18.0" customHeight="1">
      <c r="A2196" s="76"/>
      <c r="B2196" s="76"/>
      <c r="C2196" s="76"/>
      <c r="D2196" s="76"/>
      <c r="E2196" s="76"/>
      <c r="F2196" s="76"/>
      <c r="G2196" s="76"/>
      <c r="H2196" s="76"/>
      <c r="I2196" s="76"/>
      <c r="J2196" s="76"/>
      <c r="K2196" s="76"/>
      <c r="L2196" s="76"/>
      <c r="M2196" s="76"/>
      <c r="N2196" s="76"/>
      <c r="O2196" s="76"/>
      <c r="P2196" s="76"/>
      <c r="Q2196" s="76"/>
      <c r="R2196" s="76"/>
      <c r="S2196" s="76"/>
      <c r="T2196" s="76"/>
      <c r="U2196" s="76"/>
      <c r="V2196" s="76"/>
      <c r="W2196" s="76"/>
      <c r="X2196" s="76"/>
    </row>
    <row r="2197" ht="18.0" customHeight="1">
      <c r="A2197" s="76"/>
      <c r="B2197" s="76"/>
      <c r="C2197" s="76"/>
      <c r="D2197" s="76"/>
      <c r="E2197" s="76"/>
      <c r="F2197" s="76"/>
      <c r="G2197" s="76"/>
      <c r="H2197" s="76"/>
      <c r="I2197" s="76"/>
      <c r="J2197" s="76"/>
      <c r="K2197" s="76"/>
      <c r="L2197" s="76"/>
      <c r="M2197" s="76"/>
      <c r="N2197" s="76"/>
      <c r="O2197" s="76"/>
      <c r="P2197" s="76"/>
      <c r="Q2197" s="76"/>
      <c r="R2197" s="76"/>
      <c r="S2197" s="76"/>
      <c r="T2197" s="76"/>
      <c r="U2197" s="76"/>
      <c r="V2197" s="76"/>
      <c r="W2197" s="76"/>
      <c r="X2197" s="76"/>
    </row>
    <row r="2198" ht="18.0" customHeight="1">
      <c r="A2198" s="76"/>
      <c r="B2198" s="76"/>
      <c r="C2198" s="76"/>
      <c r="D2198" s="76"/>
      <c r="E2198" s="76"/>
      <c r="F2198" s="76"/>
      <c r="G2198" s="76"/>
      <c r="H2198" s="76"/>
      <c r="I2198" s="76"/>
      <c r="J2198" s="76"/>
      <c r="K2198" s="76"/>
      <c r="L2198" s="76"/>
      <c r="M2198" s="76"/>
      <c r="N2198" s="76"/>
      <c r="O2198" s="76"/>
      <c r="P2198" s="76"/>
      <c r="Q2198" s="76"/>
      <c r="R2198" s="76"/>
      <c r="S2198" s="76"/>
      <c r="T2198" s="76"/>
      <c r="U2198" s="76"/>
      <c r="V2198" s="76"/>
      <c r="W2198" s="76"/>
      <c r="X2198" s="76"/>
    </row>
    <row r="2199" ht="18.0" customHeight="1">
      <c r="A2199" s="76"/>
      <c r="B2199" s="76"/>
      <c r="C2199" s="76"/>
      <c r="D2199" s="76"/>
      <c r="E2199" s="76"/>
      <c r="F2199" s="76"/>
      <c r="G2199" s="76"/>
      <c r="H2199" s="76"/>
      <c r="I2199" s="76"/>
      <c r="J2199" s="76"/>
      <c r="K2199" s="76"/>
      <c r="L2199" s="76"/>
      <c r="M2199" s="76"/>
      <c r="N2199" s="76"/>
      <c r="O2199" s="76"/>
      <c r="P2199" s="76"/>
      <c r="Q2199" s="76"/>
      <c r="R2199" s="76"/>
      <c r="S2199" s="76"/>
      <c r="T2199" s="76"/>
      <c r="U2199" s="76"/>
      <c r="V2199" s="76"/>
      <c r="W2199" s="76"/>
      <c r="X2199" s="76"/>
    </row>
    <row r="2200" ht="18.0" customHeight="1">
      <c r="A2200" s="76"/>
      <c r="B2200" s="76"/>
      <c r="C2200" s="76"/>
      <c r="D2200" s="76"/>
      <c r="E2200" s="76"/>
      <c r="F2200" s="76"/>
      <c r="G2200" s="76"/>
      <c r="H2200" s="76"/>
      <c r="I2200" s="76"/>
      <c r="J2200" s="76"/>
      <c r="K2200" s="76"/>
      <c r="L2200" s="76"/>
      <c r="M2200" s="76"/>
      <c r="N2200" s="76"/>
      <c r="O2200" s="76"/>
      <c r="P2200" s="76"/>
      <c r="Q2200" s="76"/>
      <c r="R2200" s="76"/>
      <c r="S2200" s="76"/>
      <c r="T2200" s="76"/>
      <c r="U2200" s="76"/>
      <c r="V2200" s="76"/>
      <c r="W2200" s="76"/>
      <c r="X2200" s="76"/>
    </row>
    <row r="2201" ht="18.0" customHeight="1">
      <c r="A2201" s="76"/>
      <c r="B2201" s="76"/>
      <c r="C2201" s="76"/>
      <c r="D2201" s="76"/>
      <c r="E2201" s="76"/>
      <c r="F2201" s="76"/>
      <c r="G2201" s="76"/>
      <c r="H2201" s="76"/>
      <c r="I2201" s="76"/>
      <c r="J2201" s="76"/>
      <c r="K2201" s="76"/>
      <c r="L2201" s="76"/>
      <c r="M2201" s="76"/>
      <c r="N2201" s="76"/>
      <c r="O2201" s="76"/>
      <c r="P2201" s="76"/>
      <c r="Q2201" s="76"/>
      <c r="R2201" s="76"/>
      <c r="S2201" s="76"/>
      <c r="T2201" s="76"/>
      <c r="U2201" s="76"/>
      <c r="V2201" s="76"/>
      <c r="W2201" s="76"/>
      <c r="X2201" s="76"/>
    </row>
    <row r="2202" ht="18.0" customHeight="1">
      <c r="A2202" s="76"/>
      <c r="B2202" s="76"/>
      <c r="C2202" s="76"/>
      <c r="D2202" s="76"/>
      <c r="E2202" s="76"/>
      <c r="F2202" s="76"/>
      <c r="G2202" s="76"/>
      <c r="H2202" s="76"/>
      <c r="I2202" s="76"/>
      <c r="J2202" s="76"/>
      <c r="K2202" s="76"/>
      <c r="L2202" s="76"/>
      <c r="M2202" s="76"/>
      <c r="N2202" s="76"/>
      <c r="O2202" s="76"/>
      <c r="P2202" s="76"/>
      <c r="Q2202" s="76"/>
      <c r="R2202" s="76"/>
      <c r="S2202" s="76"/>
      <c r="T2202" s="76"/>
      <c r="U2202" s="76"/>
      <c r="V2202" s="76"/>
      <c r="W2202" s="76"/>
      <c r="X2202" s="76"/>
    </row>
    <row r="2203" ht="18.0" customHeight="1">
      <c r="A2203" s="76"/>
      <c r="B2203" s="76"/>
      <c r="C2203" s="76"/>
      <c r="D2203" s="76"/>
      <c r="E2203" s="76"/>
      <c r="F2203" s="76"/>
      <c r="G2203" s="76"/>
      <c r="H2203" s="76"/>
      <c r="I2203" s="76"/>
      <c r="J2203" s="76"/>
      <c r="K2203" s="76"/>
      <c r="L2203" s="76"/>
      <c r="M2203" s="76"/>
      <c r="N2203" s="76"/>
      <c r="O2203" s="76"/>
      <c r="P2203" s="76"/>
      <c r="Q2203" s="76"/>
      <c r="R2203" s="76"/>
      <c r="S2203" s="76"/>
      <c r="T2203" s="76"/>
      <c r="U2203" s="76"/>
      <c r="V2203" s="76"/>
      <c r="W2203" s="76"/>
      <c r="X2203" s="76"/>
    </row>
    <row r="2204" ht="18.0" customHeight="1">
      <c r="A2204" s="76"/>
      <c r="B2204" s="76"/>
      <c r="C2204" s="76"/>
      <c r="D2204" s="76"/>
      <c r="E2204" s="76"/>
      <c r="F2204" s="76"/>
      <c r="G2204" s="76"/>
      <c r="H2204" s="76"/>
      <c r="I2204" s="76"/>
      <c r="J2204" s="76"/>
      <c r="K2204" s="76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</row>
    <row r="2205" ht="18.0" customHeight="1">
      <c r="A2205" s="76"/>
      <c r="B2205" s="76"/>
      <c r="C2205" s="76"/>
      <c r="D2205" s="76"/>
      <c r="E2205" s="76"/>
      <c r="F2205" s="76"/>
      <c r="G2205" s="76"/>
      <c r="H2205" s="76"/>
      <c r="I2205" s="76"/>
      <c r="J2205" s="76"/>
      <c r="K2205" s="76"/>
      <c r="L2205" s="76"/>
      <c r="M2205" s="76"/>
      <c r="N2205" s="76"/>
      <c r="O2205" s="76"/>
      <c r="P2205" s="76"/>
      <c r="Q2205" s="76"/>
      <c r="R2205" s="76"/>
      <c r="S2205" s="76"/>
      <c r="T2205" s="76"/>
      <c r="U2205" s="76"/>
      <c r="V2205" s="76"/>
      <c r="W2205" s="76"/>
      <c r="X2205" s="76"/>
    </row>
    <row r="2206" ht="18.0" customHeight="1">
      <c r="A2206" s="76"/>
      <c r="B2206" s="76"/>
      <c r="C2206" s="76"/>
      <c r="D2206" s="76"/>
      <c r="E2206" s="76"/>
      <c r="F2206" s="76"/>
      <c r="G2206" s="76"/>
      <c r="H2206" s="76"/>
      <c r="I2206" s="76"/>
      <c r="J2206" s="76"/>
      <c r="K2206" s="76"/>
      <c r="L2206" s="76"/>
      <c r="M2206" s="76"/>
      <c r="N2206" s="76"/>
      <c r="O2206" s="76"/>
      <c r="P2206" s="76"/>
      <c r="Q2206" s="76"/>
      <c r="R2206" s="76"/>
      <c r="S2206" s="76"/>
      <c r="T2206" s="76"/>
      <c r="U2206" s="76"/>
      <c r="V2206" s="76"/>
      <c r="W2206" s="76"/>
      <c r="X2206" s="76"/>
    </row>
    <row r="2207" ht="18.0" customHeight="1">
      <c r="A2207" s="76"/>
      <c r="B2207" s="76"/>
      <c r="C2207" s="76"/>
      <c r="D2207" s="76"/>
      <c r="E2207" s="76"/>
      <c r="F2207" s="76"/>
      <c r="G2207" s="76"/>
      <c r="H2207" s="76"/>
      <c r="I2207" s="76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</row>
    <row r="2208" ht="18.0" customHeight="1">
      <c r="A2208" s="76"/>
      <c r="B2208" s="76"/>
      <c r="C2208" s="76"/>
      <c r="D2208" s="76"/>
      <c r="E2208" s="76"/>
      <c r="F2208" s="76"/>
      <c r="G2208" s="76"/>
      <c r="H2208" s="76"/>
      <c r="I2208" s="76"/>
      <c r="J2208" s="76"/>
      <c r="K2208" s="76"/>
      <c r="L2208" s="76"/>
      <c r="M2208" s="76"/>
      <c r="N2208" s="76"/>
      <c r="O2208" s="76"/>
      <c r="P2208" s="76"/>
      <c r="Q2208" s="76"/>
      <c r="R2208" s="76"/>
      <c r="S2208" s="76"/>
      <c r="T2208" s="76"/>
      <c r="U2208" s="76"/>
      <c r="V2208" s="76"/>
      <c r="W2208" s="76"/>
      <c r="X2208" s="76"/>
    </row>
    <row r="2209" ht="18.0" customHeight="1">
      <c r="A2209" s="76"/>
      <c r="B2209" s="76"/>
      <c r="C2209" s="76"/>
      <c r="D2209" s="76"/>
      <c r="E2209" s="76"/>
      <c r="F2209" s="76"/>
      <c r="G2209" s="76"/>
      <c r="H2209" s="76"/>
      <c r="I2209" s="76"/>
      <c r="J2209" s="76"/>
      <c r="K2209" s="76"/>
      <c r="L2209" s="76"/>
      <c r="M2209" s="76"/>
      <c r="N2209" s="76"/>
      <c r="O2209" s="76"/>
      <c r="P2209" s="76"/>
      <c r="Q2209" s="76"/>
      <c r="R2209" s="76"/>
      <c r="S2209" s="76"/>
      <c r="T2209" s="76"/>
      <c r="U2209" s="76"/>
      <c r="V2209" s="76"/>
      <c r="W2209" s="76"/>
      <c r="X2209" s="76"/>
    </row>
    <row r="2210" ht="18.0" customHeight="1">
      <c r="A2210" s="76"/>
      <c r="B2210" s="76"/>
      <c r="C2210" s="76"/>
      <c r="D2210" s="76"/>
      <c r="E2210" s="76"/>
      <c r="F2210" s="76"/>
      <c r="G2210" s="76"/>
      <c r="H2210" s="76"/>
      <c r="I2210" s="76"/>
      <c r="J2210" s="76"/>
      <c r="K2210" s="76"/>
      <c r="L2210" s="76"/>
      <c r="M2210" s="76"/>
      <c r="N2210" s="76"/>
      <c r="O2210" s="76"/>
      <c r="P2210" s="76"/>
      <c r="Q2210" s="76"/>
      <c r="R2210" s="76"/>
      <c r="S2210" s="76"/>
      <c r="T2210" s="76"/>
      <c r="U2210" s="76"/>
      <c r="V2210" s="76"/>
      <c r="W2210" s="76"/>
      <c r="X2210" s="76"/>
    </row>
    <row r="2211" ht="18.0" customHeight="1">
      <c r="A2211" s="76"/>
      <c r="B2211" s="76"/>
      <c r="C2211" s="76"/>
      <c r="D2211" s="76"/>
      <c r="E2211" s="76"/>
      <c r="F2211" s="76"/>
      <c r="G2211" s="76"/>
      <c r="H2211" s="76"/>
      <c r="I2211" s="76"/>
      <c r="J2211" s="76"/>
      <c r="K2211" s="76"/>
      <c r="L2211" s="76"/>
      <c r="M2211" s="76"/>
      <c r="N2211" s="76"/>
      <c r="O2211" s="76"/>
      <c r="P2211" s="76"/>
      <c r="Q2211" s="76"/>
      <c r="R2211" s="76"/>
      <c r="S2211" s="76"/>
      <c r="T2211" s="76"/>
      <c r="U2211" s="76"/>
      <c r="V2211" s="76"/>
      <c r="W2211" s="76"/>
      <c r="X2211" s="76"/>
    </row>
    <row r="2212" ht="18.0" customHeight="1">
      <c r="A2212" s="76"/>
      <c r="B2212" s="76"/>
      <c r="C2212" s="76"/>
      <c r="D2212" s="76"/>
      <c r="E2212" s="76"/>
      <c r="F2212" s="76"/>
      <c r="G2212" s="76"/>
      <c r="H2212" s="76"/>
      <c r="I2212" s="76"/>
      <c r="J2212" s="76"/>
      <c r="K2212" s="76"/>
      <c r="L2212" s="76"/>
      <c r="M2212" s="76"/>
      <c r="N2212" s="76"/>
      <c r="O2212" s="76"/>
      <c r="P2212" s="76"/>
      <c r="Q2212" s="76"/>
      <c r="R2212" s="76"/>
      <c r="S2212" s="76"/>
      <c r="T2212" s="76"/>
      <c r="U2212" s="76"/>
      <c r="V2212" s="76"/>
      <c r="W2212" s="76"/>
      <c r="X2212" s="76"/>
    </row>
    <row r="2213" ht="18.0" customHeight="1">
      <c r="A2213" s="76"/>
      <c r="B2213" s="76"/>
      <c r="C2213" s="76"/>
      <c r="D2213" s="76"/>
      <c r="E2213" s="76"/>
      <c r="F2213" s="76"/>
      <c r="G2213" s="76"/>
      <c r="H2213" s="76"/>
      <c r="I2213" s="76"/>
      <c r="J2213" s="76"/>
      <c r="K2213" s="76"/>
      <c r="L2213" s="76"/>
      <c r="M2213" s="76"/>
      <c r="N2213" s="76"/>
      <c r="O2213" s="76"/>
      <c r="P2213" s="76"/>
      <c r="Q2213" s="76"/>
      <c r="R2213" s="76"/>
      <c r="S2213" s="76"/>
      <c r="T2213" s="76"/>
      <c r="U2213" s="76"/>
      <c r="V2213" s="76"/>
      <c r="W2213" s="76"/>
      <c r="X2213" s="76"/>
    </row>
    <row r="2214" ht="18.0" customHeight="1">
      <c r="A2214" s="76"/>
      <c r="B2214" s="76"/>
      <c r="C2214" s="76"/>
      <c r="D2214" s="76"/>
      <c r="E2214" s="76"/>
      <c r="F2214" s="76"/>
      <c r="G2214" s="76"/>
      <c r="H2214" s="76"/>
      <c r="I2214" s="76"/>
      <c r="J2214" s="76"/>
      <c r="K2214" s="76"/>
      <c r="L2214" s="76"/>
      <c r="M2214" s="76"/>
      <c r="N2214" s="76"/>
      <c r="O2214" s="76"/>
      <c r="P2214" s="76"/>
      <c r="Q2214" s="76"/>
      <c r="R2214" s="76"/>
      <c r="S2214" s="76"/>
      <c r="T2214" s="76"/>
      <c r="U2214" s="76"/>
      <c r="V2214" s="76"/>
      <c r="W2214" s="76"/>
      <c r="X2214" s="76"/>
    </row>
    <row r="2215" ht="18.0" customHeight="1">
      <c r="A2215" s="76"/>
      <c r="B2215" s="76"/>
      <c r="C2215" s="76"/>
      <c r="D2215" s="76"/>
      <c r="E2215" s="76"/>
      <c r="F2215" s="76"/>
      <c r="G2215" s="76"/>
      <c r="H2215" s="76"/>
      <c r="I2215" s="76"/>
      <c r="J2215" s="76"/>
      <c r="K2215" s="76"/>
      <c r="L2215" s="76"/>
      <c r="M2215" s="76"/>
      <c r="N2215" s="76"/>
      <c r="O2215" s="76"/>
      <c r="P2215" s="76"/>
      <c r="Q2215" s="76"/>
      <c r="R2215" s="76"/>
      <c r="S2215" s="76"/>
      <c r="T2215" s="76"/>
      <c r="U2215" s="76"/>
      <c r="V2215" s="76"/>
      <c r="W2215" s="76"/>
      <c r="X2215" s="76"/>
    </row>
    <row r="2216" ht="18.0" customHeight="1">
      <c r="A2216" s="76"/>
      <c r="B2216" s="76"/>
      <c r="C2216" s="76"/>
      <c r="D2216" s="76"/>
      <c r="E2216" s="76"/>
      <c r="F2216" s="76"/>
      <c r="G2216" s="76"/>
      <c r="H2216" s="76"/>
      <c r="I2216" s="76"/>
      <c r="J2216" s="76"/>
      <c r="K2216" s="76"/>
      <c r="L2216" s="76"/>
      <c r="M2216" s="76"/>
      <c r="N2216" s="76"/>
      <c r="O2216" s="76"/>
      <c r="P2216" s="76"/>
      <c r="Q2216" s="76"/>
      <c r="R2216" s="76"/>
      <c r="S2216" s="76"/>
      <c r="T2216" s="76"/>
      <c r="U2216" s="76"/>
      <c r="V2216" s="76"/>
      <c r="W2216" s="76"/>
      <c r="X2216" s="76"/>
    </row>
    <row r="2217" ht="18.0" customHeight="1">
      <c r="A2217" s="76"/>
      <c r="B2217" s="76"/>
      <c r="C2217" s="76"/>
      <c r="D2217" s="76"/>
      <c r="E2217" s="76"/>
      <c r="F2217" s="76"/>
      <c r="G2217" s="76"/>
      <c r="H2217" s="76"/>
      <c r="I2217" s="76"/>
      <c r="J2217" s="76"/>
      <c r="K2217" s="76"/>
      <c r="L2217" s="76"/>
      <c r="M2217" s="76"/>
      <c r="N2217" s="76"/>
      <c r="O2217" s="76"/>
      <c r="P2217" s="76"/>
      <c r="Q2217" s="76"/>
      <c r="R2217" s="76"/>
      <c r="S2217" s="76"/>
      <c r="T2217" s="76"/>
      <c r="U2217" s="76"/>
      <c r="V2217" s="76"/>
      <c r="W2217" s="76"/>
      <c r="X2217" s="76"/>
    </row>
    <row r="2218" ht="18.0" customHeight="1">
      <c r="A2218" s="76"/>
      <c r="B2218" s="76"/>
      <c r="C2218" s="76"/>
      <c r="D2218" s="76"/>
      <c r="E2218" s="76"/>
      <c r="F2218" s="76"/>
      <c r="G2218" s="76"/>
      <c r="H2218" s="76"/>
      <c r="I2218" s="76"/>
      <c r="J2218" s="76"/>
      <c r="K2218" s="76"/>
      <c r="L2218" s="76"/>
      <c r="M2218" s="76"/>
      <c r="N2218" s="76"/>
      <c r="O2218" s="76"/>
      <c r="P2218" s="76"/>
      <c r="Q2218" s="76"/>
      <c r="R2218" s="76"/>
      <c r="S2218" s="76"/>
      <c r="T2218" s="76"/>
      <c r="U2218" s="76"/>
      <c r="V2218" s="76"/>
      <c r="W2218" s="76"/>
      <c r="X2218" s="76"/>
    </row>
    <row r="2219" ht="18.0" customHeight="1">
      <c r="A2219" s="76"/>
      <c r="B2219" s="76"/>
      <c r="C2219" s="76"/>
      <c r="D2219" s="76"/>
      <c r="E2219" s="76"/>
      <c r="F2219" s="76"/>
      <c r="G2219" s="76"/>
      <c r="H2219" s="76"/>
      <c r="I2219" s="76"/>
      <c r="J2219" s="76"/>
      <c r="K2219" s="76"/>
      <c r="L2219" s="76"/>
      <c r="M2219" s="76"/>
      <c r="N2219" s="76"/>
      <c r="O2219" s="76"/>
      <c r="P2219" s="76"/>
      <c r="Q2219" s="76"/>
      <c r="R2219" s="76"/>
      <c r="S2219" s="76"/>
      <c r="T2219" s="76"/>
      <c r="U2219" s="76"/>
      <c r="V2219" s="76"/>
      <c r="W2219" s="76"/>
      <c r="X2219" s="76"/>
    </row>
    <row r="2220" ht="18.0" customHeight="1">
      <c r="A2220" s="76"/>
      <c r="B2220" s="76"/>
      <c r="C2220" s="76"/>
      <c r="D2220" s="76"/>
      <c r="E2220" s="76"/>
      <c r="F2220" s="76"/>
      <c r="G2220" s="76"/>
      <c r="H2220" s="76"/>
      <c r="I2220" s="76"/>
      <c r="J2220" s="76"/>
      <c r="K2220" s="76"/>
      <c r="L2220" s="76"/>
      <c r="M2220" s="76"/>
      <c r="N2220" s="76"/>
      <c r="O2220" s="76"/>
      <c r="P2220" s="76"/>
      <c r="Q2220" s="76"/>
      <c r="R2220" s="76"/>
      <c r="S2220" s="76"/>
      <c r="T2220" s="76"/>
      <c r="U2220" s="76"/>
      <c r="V2220" s="76"/>
      <c r="W2220" s="76"/>
      <c r="X2220" s="76"/>
    </row>
    <row r="2221" ht="18.0" customHeight="1">
      <c r="A2221" s="76"/>
      <c r="B2221" s="76"/>
      <c r="C2221" s="76"/>
      <c r="D2221" s="76"/>
      <c r="E2221" s="76"/>
      <c r="F2221" s="76"/>
      <c r="G2221" s="76"/>
      <c r="H2221" s="76"/>
      <c r="I2221" s="76"/>
      <c r="J2221" s="76"/>
      <c r="K2221" s="76"/>
      <c r="L2221" s="76"/>
      <c r="M2221" s="76"/>
      <c r="N2221" s="76"/>
      <c r="O2221" s="76"/>
      <c r="P2221" s="76"/>
      <c r="Q2221" s="76"/>
      <c r="R2221" s="76"/>
      <c r="S2221" s="76"/>
      <c r="T2221" s="76"/>
      <c r="U2221" s="76"/>
      <c r="V2221" s="76"/>
      <c r="W2221" s="76"/>
      <c r="X2221" s="76"/>
    </row>
    <row r="2222" ht="18.0" customHeight="1">
      <c r="A2222" s="76"/>
      <c r="B2222" s="76"/>
      <c r="C2222" s="76"/>
      <c r="D2222" s="76"/>
      <c r="E2222" s="76"/>
      <c r="F2222" s="76"/>
      <c r="G2222" s="76"/>
      <c r="H2222" s="76"/>
      <c r="I2222" s="76"/>
      <c r="J2222" s="76"/>
      <c r="K2222" s="76"/>
      <c r="L2222" s="76"/>
      <c r="M2222" s="76"/>
      <c r="N2222" s="76"/>
      <c r="O2222" s="76"/>
      <c r="P2222" s="76"/>
      <c r="Q2222" s="76"/>
      <c r="R2222" s="76"/>
      <c r="S2222" s="76"/>
      <c r="T2222" s="76"/>
      <c r="U2222" s="76"/>
      <c r="V2222" s="76"/>
      <c r="W2222" s="76"/>
      <c r="X2222" s="76"/>
    </row>
    <row r="2223" ht="18.0" customHeight="1">
      <c r="A2223" s="76"/>
      <c r="B2223" s="76"/>
      <c r="C2223" s="76"/>
      <c r="D2223" s="76"/>
      <c r="E2223" s="76"/>
      <c r="F2223" s="76"/>
      <c r="G2223" s="76"/>
      <c r="H2223" s="76"/>
      <c r="I2223" s="76"/>
      <c r="J2223" s="76"/>
      <c r="K2223" s="76"/>
      <c r="L2223" s="76"/>
      <c r="M2223" s="76"/>
      <c r="N2223" s="76"/>
      <c r="O2223" s="76"/>
      <c r="P2223" s="76"/>
      <c r="Q2223" s="76"/>
      <c r="R2223" s="76"/>
      <c r="S2223" s="76"/>
      <c r="T2223" s="76"/>
      <c r="U2223" s="76"/>
      <c r="V2223" s="76"/>
      <c r="W2223" s="76"/>
      <c r="X2223" s="76"/>
    </row>
    <row r="2224" ht="18.0" customHeight="1">
      <c r="A2224" s="76"/>
      <c r="B2224" s="76"/>
      <c r="C2224" s="76"/>
      <c r="D2224" s="76"/>
      <c r="E2224" s="76"/>
      <c r="F2224" s="76"/>
      <c r="G2224" s="76"/>
      <c r="H2224" s="76"/>
      <c r="I2224" s="76"/>
      <c r="J2224" s="76"/>
      <c r="K2224" s="76"/>
      <c r="L2224" s="76"/>
      <c r="M2224" s="76"/>
      <c r="N2224" s="76"/>
      <c r="O2224" s="76"/>
      <c r="P2224" s="76"/>
      <c r="Q2224" s="76"/>
      <c r="R2224" s="76"/>
      <c r="S2224" s="76"/>
      <c r="T2224" s="76"/>
      <c r="U2224" s="76"/>
      <c r="V2224" s="76"/>
      <c r="W2224" s="76"/>
      <c r="X2224" s="76"/>
    </row>
    <row r="2225" ht="18.0" customHeight="1">
      <c r="A2225" s="76"/>
      <c r="B2225" s="76"/>
      <c r="C2225" s="76"/>
      <c r="D2225" s="76"/>
      <c r="E2225" s="76"/>
      <c r="F2225" s="76"/>
      <c r="G2225" s="76"/>
      <c r="H2225" s="76"/>
      <c r="I2225" s="76"/>
      <c r="J2225" s="76"/>
      <c r="K2225" s="76"/>
      <c r="L2225" s="76"/>
      <c r="M2225" s="76"/>
      <c r="N2225" s="76"/>
      <c r="O2225" s="76"/>
      <c r="P2225" s="76"/>
      <c r="Q2225" s="76"/>
      <c r="R2225" s="76"/>
      <c r="S2225" s="76"/>
      <c r="T2225" s="76"/>
      <c r="U2225" s="76"/>
      <c r="V2225" s="76"/>
      <c r="W2225" s="76"/>
      <c r="X2225" s="76"/>
    </row>
    <row r="2226" ht="18.0" customHeight="1">
      <c r="A2226" s="76"/>
      <c r="B2226" s="76"/>
      <c r="C2226" s="76"/>
      <c r="D2226" s="76"/>
      <c r="E2226" s="76"/>
      <c r="F2226" s="76"/>
      <c r="G2226" s="76"/>
      <c r="H2226" s="76"/>
      <c r="I2226" s="76"/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</row>
    <row r="2227" ht="18.0" customHeight="1">
      <c r="A2227" s="76"/>
      <c r="B2227" s="76"/>
      <c r="C2227" s="76"/>
      <c r="D2227" s="76"/>
      <c r="E2227" s="76"/>
      <c r="F2227" s="76"/>
      <c r="G2227" s="76"/>
      <c r="H2227" s="76"/>
      <c r="I2227" s="76"/>
      <c r="J2227" s="76"/>
      <c r="K2227" s="76"/>
      <c r="L2227" s="76"/>
      <c r="M2227" s="76"/>
      <c r="N2227" s="76"/>
      <c r="O2227" s="76"/>
      <c r="P2227" s="76"/>
      <c r="Q2227" s="76"/>
      <c r="R2227" s="76"/>
      <c r="S2227" s="76"/>
      <c r="T2227" s="76"/>
      <c r="U2227" s="76"/>
      <c r="V2227" s="76"/>
      <c r="W2227" s="76"/>
      <c r="X2227" s="76"/>
    </row>
    <row r="2228" ht="18.0" customHeight="1">
      <c r="A2228" s="76"/>
      <c r="B2228" s="76"/>
      <c r="C2228" s="76"/>
      <c r="D2228" s="76"/>
      <c r="E2228" s="76"/>
      <c r="F2228" s="76"/>
      <c r="G2228" s="76"/>
      <c r="H2228" s="76"/>
      <c r="I2228" s="76"/>
      <c r="J2228" s="76"/>
      <c r="K2228" s="76"/>
      <c r="L2228" s="76"/>
      <c r="M2228" s="76"/>
      <c r="N2228" s="76"/>
      <c r="O2228" s="76"/>
      <c r="P2228" s="76"/>
      <c r="Q2228" s="76"/>
      <c r="R2228" s="76"/>
      <c r="S2228" s="76"/>
      <c r="T2228" s="76"/>
      <c r="U2228" s="76"/>
      <c r="V2228" s="76"/>
      <c r="W2228" s="76"/>
      <c r="X2228" s="76"/>
    </row>
    <row r="2229" ht="18.0" customHeight="1">
      <c r="A2229" s="76"/>
      <c r="B2229" s="76"/>
      <c r="C2229" s="76"/>
      <c r="D2229" s="76"/>
      <c r="E2229" s="76"/>
      <c r="F2229" s="76"/>
      <c r="G2229" s="76"/>
      <c r="H2229" s="76"/>
      <c r="I2229" s="76"/>
      <c r="J2229" s="76"/>
      <c r="K2229" s="76"/>
      <c r="L2229" s="76"/>
      <c r="M2229" s="76"/>
      <c r="N2229" s="76"/>
      <c r="O2229" s="76"/>
      <c r="P2229" s="76"/>
      <c r="Q2229" s="76"/>
      <c r="R2229" s="76"/>
      <c r="S2229" s="76"/>
      <c r="T2229" s="76"/>
      <c r="U2229" s="76"/>
      <c r="V2229" s="76"/>
      <c r="W2229" s="76"/>
      <c r="X2229" s="76"/>
    </row>
    <row r="2230" ht="18.0" customHeight="1">
      <c r="A2230" s="76"/>
      <c r="B2230" s="76"/>
      <c r="C2230" s="76"/>
      <c r="D2230" s="76"/>
      <c r="E2230" s="76"/>
      <c r="F2230" s="76"/>
      <c r="G2230" s="76"/>
      <c r="H2230" s="76"/>
      <c r="I2230" s="76"/>
      <c r="J2230" s="76"/>
      <c r="K2230" s="76"/>
      <c r="L2230" s="76"/>
      <c r="M2230" s="76"/>
      <c r="N2230" s="76"/>
      <c r="O2230" s="76"/>
      <c r="P2230" s="76"/>
      <c r="Q2230" s="76"/>
      <c r="R2230" s="76"/>
      <c r="S2230" s="76"/>
      <c r="T2230" s="76"/>
      <c r="U2230" s="76"/>
      <c r="V2230" s="76"/>
      <c r="W2230" s="76"/>
      <c r="X2230" s="76"/>
    </row>
    <row r="2231" ht="18.0" customHeight="1">
      <c r="A2231" s="76"/>
      <c r="B2231" s="76"/>
      <c r="C2231" s="76"/>
      <c r="D2231" s="76"/>
      <c r="E2231" s="76"/>
      <c r="F2231" s="76"/>
      <c r="G2231" s="76"/>
      <c r="H2231" s="76"/>
      <c r="I2231" s="76"/>
      <c r="J2231" s="76"/>
      <c r="K2231" s="76"/>
      <c r="L2231" s="76"/>
      <c r="M2231" s="76"/>
      <c r="N2231" s="76"/>
      <c r="O2231" s="76"/>
      <c r="P2231" s="76"/>
      <c r="Q2231" s="76"/>
      <c r="R2231" s="76"/>
      <c r="S2231" s="76"/>
      <c r="T2231" s="76"/>
      <c r="U2231" s="76"/>
      <c r="V2231" s="76"/>
      <c r="W2231" s="76"/>
      <c r="X2231" s="76"/>
    </row>
    <row r="2232" ht="18.0" customHeight="1">
      <c r="A2232" s="76"/>
      <c r="B2232" s="76"/>
      <c r="C2232" s="76"/>
      <c r="D2232" s="76"/>
      <c r="E2232" s="76"/>
      <c r="F2232" s="76"/>
      <c r="G2232" s="76"/>
      <c r="H2232" s="76"/>
      <c r="I2232" s="76"/>
      <c r="J2232" s="76"/>
      <c r="K2232" s="76"/>
      <c r="L2232" s="76"/>
      <c r="M2232" s="76"/>
      <c r="N2232" s="76"/>
      <c r="O2232" s="76"/>
      <c r="P2232" s="76"/>
      <c r="Q2232" s="76"/>
      <c r="R2232" s="76"/>
      <c r="S2232" s="76"/>
      <c r="T2232" s="76"/>
      <c r="U2232" s="76"/>
      <c r="V2232" s="76"/>
      <c r="W2232" s="76"/>
      <c r="X2232" s="76"/>
    </row>
    <row r="2233" ht="18.0" customHeight="1">
      <c r="A2233" s="76"/>
      <c r="B2233" s="76"/>
      <c r="C2233" s="76"/>
      <c r="D2233" s="76"/>
      <c r="E2233" s="76"/>
      <c r="F2233" s="76"/>
      <c r="G2233" s="76"/>
      <c r="H2233" s="76"/>
      <c r="I2233" s="76"/>
      <c r="J2233" s="76"/>
      <c r="K2233" s="76"/>
      <c r="L2233" s="76"/>
      <c r="M2233" s="76"/>
      <c r="N2233" s="76"/>
      <c r="O2233" s="76"/>
      <c r="P2233" s="76"/>
      <c r="Q2233" s="76"/>
      <c r="R2233" s="76"/>
      <c r="S2233" s="76"/>
      <c r="T2233" s="76"/>
      <c r="U2233" s="76"/>
      <c r="V2233" s="76"/>
      <c r="W2233" s="76"/>
      <c r="X2233" s="76"/>
    </row>
    <row r="2234" ht="18.0" customHeight="1">
      <c r="A2234" s="76"/>
      <c r="B2234" s="76"/>
      <c r="C2234" s="76"/>
      <c r="D2234" s="76"/>
      <c r="E2234" s="76"/>
      <c r="F2234" s="76"/>
      <c r="G2234" s="76"/>
      <c r="H2234" s="76"/>
      <c r="I2234" s="76"/>
      <c r="J2234" s="76"/>
      <c r="K2234" s="76"/>
      <c r="L2234" s="76"/>
      <c r="M2234" s="76"/>
      <c r="N2234" s="76"/>
      <c r="O2234" s="76"/>
      <c r="P2234" s="76"/>
      <c r="Q2234" s="76"/>
      <c r="R2234" s="76"/>
      <c r="S2234" s="76"/>
      <c r="T2234" s="76"/>
      <c r="U2234" s="76"/>
      <c r="V2234" s="76"/>
      <c r="W2234" s="76"/>
      <c r="X2234" s="76"/>
    </row>
    <row r="2235" ht="18.0" customHeight="1">
      <c r="A2235" s="76"/>
      <c r="B2235" s="76"/>
      <c r="C2235" s="76"/>
      <c r="D2235" s="76"/>
      <c r="E2235" s="76"/>
      <c r="F2235" s="76"/>
      <c r="G2235" s="76"/>
      <c r="H2235" s="76"/>
      <c r="I2235" s="76"/>
      <c r="J2235" s="76"/>
      <c r="K2235" s="76"/>
      <c r="L2235" s="76"/>
      <c r="M2235" s="76"/>
      <c r="N2235" s="76"/>
      <c r="O2235" s="76"/>
      <c r="P2235" s="76"/>
      <c r="Q2235" s="76"/>
      <c r="R2235" s="76"/>
      <c r="S2235" s="76"/>
      <c r="T2235" s="76"/>
      <c r="U2235" s="76"/>
      <c r="V2235" s="76"/>
      <c r="W2235" s="76"/>
      <c r="X2235" s="76"/>
    </row>
    <row r="2236" ht="18.0" customHeight="1">
      <c r="A2236" s="76"/>
      <c r="B2236" s="76"/>
      <c r="C2236" s="76"/>
      <c r="D2236" s="76"/>
      <c r="E2236" s="76"/>
      <c r="F2236" s="76"/>
      <c r="G2236" s="76"/>
      <c r="H2236" s="76"/>
      <c r="I2236" s="76"/>
      <c r="J2236" s="76"/>
      <c r="K2236" s="76"/>
      <c r="L2236" s="76"/>
      <c r="M2236" s="76"/>
      <c r="N2236" s="76"/>
      <c r="O2236" s="76"/>
      <c r="P2236" s="76"/>
      <c r="Q2236" s="76"/>
      <c r="R2236" s="76"/>
      <c r="S2236" s="76"/>
      <c r="T2236" s="76"/>
      <c r="U2236" s="76"/>
      <c r="V2236" s="76"/>
      <c r="W2236" s="76"/>
      <c r="X2236" s="76"/>
    </row>
    <row r="2237" ht="18.0" customHeight="1">
      <c r="A2237" s="76"/>
      <c r="B2237" s="76"/>
      <c r="C2237" s="76"/>
      <c r="D2237" s="76"/>
      <c r="E2237" s="76"/>
      <c r="F2237" s="76"/>
      <c r="G2237" s="76"/>
      <c r="H2237" s="76"/>
      <c r="I2237" s="76"/>
      <c r="J2237" s="76"/>
      <c r="K2237" s="76"/>
      <c r="L2237" s="76"/>
      <c r="M2237" s="76"/>
      <c r="N2237" s="76"/>
      <c r="O2237" s="76"/>
      <c r="P2237" s="76"/>
      <c r="Q2237" s="76"/>
      <c r="R2237" s="76"/>
      <c r="S2237" s="76"/>
      <c r="T2237" s="76"/>
      <c r="U2237" s="76"/>
      <c r="V2237" s="76"/>
      <c r="W2237" s="76"/>
      <c r="X2237" s="76"/>
    </row>
    <row r="2238" ht="18.0" customHeight="1">
      <c r="A2238" s="76"/>
      <c r="B2238" s="76"/>
      <c r="C2238" s="76"/>
      <c r="D2238" s="76"/>
      <c r="E2238" s="76"/>
      <c r="F2238" s="76"/>
      <c r="G2238" s="76"/>
      <c r="H2238" s="76"/>
      <c r="I2238" s="76"/>
      <c r="J2238" s="76"/>
      <c r="K2238" s="76"/>
      <c r="L2238" s="76"/>
      <c r="M2238" s="76"/>
      <c r="N2238" s="76"/>
      <c r="O2238" s="76"/>
      <c r="P2238" s="76"/>
      <c r="Q2238" s="76"/>
      <c r="R2238" s="76"/>
      <c r="S2238" s="76"/>
      <c r="T2238" s="76"/>
      <c r="U2238" s="76"/>
      <c r="V2238" s="76"/>
      <c r="W2238" s="76"/>
      <c r="X2238" s="76"/>
    </row>
    <row r="2239" ht="18.0" customHeight="1">
      <c r="A2239" s="76"/>
      <c r="B2239" s="76"/>
      <c r="C2239" s="76"/>
      <c r="D2239" s="76"/>
      <c r="E2239" s="76"/>
      <c r="F2239" s="76"/>
      <c r="G2239" s="76"/>
      <c r="H2239" s="76"/>
      <c r="I2239" s="76"/>
      <c r="J2239" s="76"/>
      <c r="K2239" s="76"/>
      <c r="L2239" s="76"/>
      <c r="M2239" s="76"/>
      <c r="N2239" s="76"/>
      <c r="O2239" s="76"/>
      <c r="P2239" s="76"/>
      <c r="Q2239" s="76"/>
      <c r="R2239" s="76"/>
      <c r="S2239" s="76"/>
      <c r="T2239" s="76"/>
      <c r="U2239" s="76"/>
      <c r="V2239" s="76"/>
      <c r="W2239" s="76"/>
      <c r="X2239" s="76"/>
    </row>
    <row r="2240" ht="18.0" customHeight="1">
      <c r="A2240" s="76"/>
      <c r="B2240" s="76"/>
      <c r="C2240" s="76"/>
      <c r="D2240" s="76"/>
      <c r="E2240" s="76"/>
      <c r="F2240" s="76"/>
      <c r="G2240" s="76"/>
      <c r="H2240" s="76"/>
      <c r="I2240" s="76"/>
      <c r="J2240" s="76"/>
      <c r="K2240" s="76"/>
      <c r="L2240" s="76"/>
      <c r="M2240" s="76"/>
      <c r="N2240" s="76"/>
      <c r="O2240" s="76"/>
      <c r="P2240" s="76"/>
      <c r="Q2240" s="76"/>
      <c r="R2240" s="76"/>
      <c r="S2240" s="76"/>
      <c r="T2240" s="76"/>
      <c r="U2240" s="76"/>
      <c r="V2240" s="76"/>
      <c r="W2240" s="76"/>
      <c r="X2240" s="76"/>
    </row>
    <row r="2241" ht="18.0" customHeight="1">
      <c r="A2241" s="76"/>
      <c r="B2241" s="76"/>
      <c r="C2241" s="76"/>
      <c r="D2241" s="76"/>
      <c r="E2241" s="76"/>
      <c r="F2241" s="76"/>
      <c r="G2241" s="76"/>
      <c r="H2241" s="76"/>
      <c r="I2241" s="76"/>
      <c r="J2241" s="76"/>
      <c r="K2241" s="76"/>
      <c r="L2241" s="76"/>
      <c r="M2241" s="76"/>
      <c r="N2241" s="76"/>
      <c r="O2241" s="76"/>
      <c r="P2241" s="76"/>
      <c r="Q2241" s="76"/>
      <c r="R2241" s="76"/>
      <c r="S2241" s="76"/>
      <c r="T2241" s="76"/>
      <c r="U2241" s="76"/>
      <c r="V2241" s="76"/>
      <c r="W2241" s="76"/>
      <c r="X2241" s="76"/>
    </row>
    <row r="2242" ht="18.0" customHeight="1">
      <c r="A2242" s="76"/>
      <c r="B2242" s="76"/>
      <c r="C2242" s="76"/>
      <c r="D2242" s="76"/>
      <c r="E2242" s="76"/>
      <c r="F2242" s="76"/>
      <c r="G2242" s="76"/>
      <c r="H2242" s="76"/>
      <c r="I2242" s="76"/>
      <c r="J2242" s="76"/>
      <c r="K2242" s="76"/>
      <c r="L2242" s="76"/>
      <c r="M2242" s="76"/>
      <c r="N2242" s="76"/>
      <c r="O2242" s="76"/>
      <c r="P2242" s="76"/>
      <c r="Q2242" s="76"/>
      <c r="R2242" s="76"/>
      <c r="S2242" s="76"/>
      <c r="T2242" s="76"/>
      <c r="U2242" s="76"/>
      <c r="V2242" s="76"/>
      <c r="W2242" s="76"/>
      <c r="X2242" s="76"/>
    </row>
    <row r="2243" ht="18.0" customHeight="1">
      <c r="A2243" s="76"/>
      <c r="B2243" s="76"/>
      <c r="C2243" s="76"/>
      <c r="D2243" s="76"/>
      <c r="E2243" s="76"/>
      <c r="F2243" s="76"/>
      <c r="G2243" s="76"/>
      <c r="H2243" s="76"/>
      <c r="I2243" s="76"/>
      <c r="J2243" s="76"/>
      <c r="K2243" s="76"/>
      <c r="L2243" s="76"/>
      <c r="M2243" s="76"/>
      <c r="N2243" s="76"/>
      <c r="O2243" s="76"/>
      <c r="P2243" s="76"/>
      <c r="Q2243" s="76"/>
      <c r="R2243" s="76"/>
      <c r="S2243" s="76"/>
      <c r="T2243" s="76"/>
      <c r="U2243" s="76"/>
      <c r="V2243" s="76"/>
      <c r="W2243" s="76"/>
      <c r="X2243" s="76"/>
    </row>
    <row r="2244" ht="18.0" customHeight="1">
      <c r="A2244" s="76"/>
      <c r="B2244" s="76"/>
      <c r="C2244" s="76"/>
      <c r="D2244" s="76"/>
      <c r="E2244" s="76"/>
      <c r="F2244" s="76"/>
      <c r="G2244" s="76"/>
      <c r="H2244" s="76"/>
      <c r="I2244" s="76"/>
      <c r="J2244" s="76"/>
      <c r="K2244" s="76"/>
      <c r="L2244" s="76"/>
      <c r="M2244" s="76"/>
      <c r="N2244" s="76"/>
      <c r="O2244" s="76"/>
      <c r="P2244" s="76"/>
      <c r="Q2244" s="76"/>
      <c r="R2244" s="76"/>
      <c r="S2244" s="76"/>
      <c r="T2244" s="76"/>
      <c r="U2244" s="76"/>
      <c r="V2244" s="76"/>
      <c r="W2244" s="76"/>
      <c r="X2244" s="76"/>
    </row>
    <row r="2245" ht="18.0" customHeight="1">
      <c r="A2245" s="76"/>
      <c r="B2245" s="76"/>
      <c r="C2245" s="76"/>
      <c r="D2245" s="76"/>
      <c r="E2245" s="76"/>
      <c r="F2245" s="76"/>
      <c r="G2245" s="76"/>
      <c r="H2245" s="76"/>
      <c r="I2245" s="76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/>
      <c r="W2245" s="76"/>
      <c r="X2245" s="76"/>
    </row>
    <row r="2246" ht="18.0" customHeight="1">
      <c r="A2246" s="76"/>
      <c r="B2246" s="76"/>
      <c r="C2246" s="76"/>
      <c r="D2246" s="76"/>
      <c r="E2246" s="76"/>
      <c r="F2246" s="76"/>
      <c r="G2246" s="76"/>
      <c r="H2246" s="76"/>
      <c r="I2246" s="76"/>
      <c r="J2246" s="76"/>
      <c r="K2246" s="76"/>
      <c r="L2246" s="76"/>
      <c r="M2246" s="76"/>
      <c r="N2246" s="76"/>
      <c r="O2246" s="76"/>
      <c r="P2246" s="76"/>
      <c r="Q2246" s="76"/>
      <c r="R2246" s="76"/>
      <c r="S2246" s="76"/>
      <c r="T2246" s="76"/>
      <c r="U2246" s="76"/>
      <c r="V2246" s="76"/>
      <c r="W2246" s="76"/>
      <c r="X2246" s="76"/>
    </row>
    <row r="2247" ht="18.0" customHeight="1">
      <c r="A2247" s="76"/>
      <c r="B2247" s="76"/>
      <c r="C2247" s="76"/>
      <c r="D2247" s="76"/>
      <c r="E2247" s="76"/>
      <c r="F2247" s="76"/>
      <c r="G2247" s="76"/>
      <c r="H2247" s="76"/>
      <c r="I2247" s="76"/>
      <c r="J2247" s="76"/>
      <c r="K2247" s="76"/>
      <c r="L2247" s="76"/>
      <c r="M2247" s="76"/>
      <c r="N2247" s="76"/>
      <c r="O2247" s="76"/>
      <c r="P2247" s="76"/>
      <c r="Q2247" s="76"/>
      <c r="R2247" s="76"/>
      <c r="S2247" s="76"/>
      <c r="T2247" s="76"/>
      <c r="U2247" s="76"/>
      <c r="V2247" s="76"/>
      <c r="W2247" s="76"/>
      <c r="X2247" s="76"/>
    </row>
    <row r="2248" ht="18.0" customHeight="1">
      <c r="A2248" s="76"/>
      <c r="B2248" s="76"/>
      <c r="C2248" s="76"/>
      <c r="D2248" s="76"/>
      <c r="E2248" s="76"/>
      <c r="F2248" s="76"/>
      <c r="G2248" s="76"/>
      <c r="H2248" s="76"/>
      <c r="I2248" s="76"/>
      <c r="J2248" s="76"/>
      <c r="K2248" s="76"/>
      <c r="L2248" s="76"/>
      <c r="M2248" s="76"/>
      <c r="N2248" s="76"/>
      <c r="O2248" s="76"/>
      <c r="P2248" s="76"/>
      <c r="Q2248" s="76"/>
      <c r="R2248" s="76"/>
      <c r="S2248" s="76"/>
      <c r="T2248" s="76"/>
      <c r="U2248" s="76"/>
      <c r="V2248" s="76"/>
      <c r="W2248" s="76"/>
      <c r="X2248" s="76"/>
    </row>
    <row r="2249" ht="18.0" customHeight="1">
      <c r="A2249" s="76"/>
      <c r="B2249" s="76"/>
      <c r="C2249" s="76"/>
      <c r="D2249" s="76"/>
      <c r="E2249" s="76"/>
      <c r="F2249" s="76"/>
      <c r="G2249" s="76"/>
      <c r="H2249" s="76"/>
      <c r="I2249" s="76"/>
      <c r="J2249" s="76"/>
      <c r="K2249" s="76"/>
      <c r="L2249" s="76"/>
      <c r="M2249" s="76"/>
      <c r="N2249" s="76"/>
      <c r="O2249" s="76"/>
      <c r="P2249" s="76"/>
      <c r="Q2249" s="76"/>
      <c r="R2249" s="76"/>
      <c r="S2249" s="76"/>
      <c r="T2249" s="76"/>
      <c r="U2249" s="76"/>
      <c r="V2249" s="76"/>
      <c r="W2249" s="76"/>
      <c r="X2249" s="76"/>
    </row>
    <row r="2250" ht="18.0" customHeight="1">
      <c r="A2250" s="76"/>
      <c r="B2250" s="76"/>
      <c r="C2250" s="76"/>
      <c r="D2250" s="76"/>
      <c r="E2250" s="76"/>
      <c r="F2250" s="76"/>
      <c r="G2250" s="76"/>
      <c r="H2250" s="76"/>
      <c r="I2250" s="76"/>
      <c r="J2250" s="76"/>
      <c r="K2250" s="76"/>
      <c r="L2250" s="76"/>
      <c r="M2250" s="76"/>
      <c r="N2250" s="76"/>
      <c r="O2250" s="76"/>
      <c r="P2250" s="76"/>
      <c r="Q2250" s="76"/>
      <c r="R2250" s="76"/>
      <c r="S2250" s="76"/>
      <c r="T2250" s="76"/>
      <c r="U2250" s="76"/>
      <c r="V2250" s="76"/>
      <c r="W2250" s="76"/>
      <c r="X2250" s="76"/>
    </row>
    <row r="2251" ht="18.0" customHeight="1">
      <c r="A2251" s="76"/>
      <c r="B2251" s="76"/>
      <c r="C2251" s="76"/>
      <c r="D2251" s="76"/>
      <c r="E2251" s="76"/>
      <c r="F2251" s="76"/>
      <c r="G2251" s="76"/>
      <c r="H2251" s="76"/>
      <c r="I2251" s="76"/>
      <c r="J2251" s="76"/>
      <c r="K2251" s="76"/>
      <c r="L2251" s="76"/>
      <c r="M2251" s="76"/>
      <c r="N2251" s="76"/>
      <c r="O2251" s="76"/>
      <c r="P2251" s="76"/>
      <c r="Q2251" s="76"/>
      <c r="R2251" s="76"/>
      <c r="S2251" s="76"/>
      <c r="T2251" s="76"/>
      <c r="U2251" s="76"/>
      <c r="V2251" s="76"/>
      <c r="W2251" s="76"/>
      <c r="X2251" s="76"/>
    </row>
    <row r="2252" ht="18.0" customHeight="1">
      <c r="A2252" s="76"/>
      <c r="B2252" s="76"/>
      <c r="C2252" s="76"/>
      <c r="D2252" s="76"/>
      <c r="E2252" s="76"/>
      <c r="F2252" s="76"/>
      <c r="G2252" s="76"/>
      <c r="H2252" s="76"/>
      <c r="I2252" s="76"/>
      <c r="J2252" s="76"/>
      <c r="K2252" s="76"/>
      <c r="L2252" s="76"/>
      <c r="M2252" s="76"/>
      <c r="N2252" s="76"/>
      <c r="O2252" s="76"/>
      <c r="P2252" s="76"/>
      <c r="Q2252" s="76"/>
      <c r="R2252" s="76"/>
      <c r="S2252" s="76"/>
      <c r="T2252" s="76"/>
      <c r="U2252" s="76"/>
      <c r="V2252" s="76"/>
      <c r="W2252" s="76"/>
      <c r="X2252" s="76"/>
    </row>
    <row r="2253" ht="18.0" customHeight="1">
      <c r="A2253" s="76"/>
      <c r="B2253" s="76"/>
      <c r="C2253" s="76"/>
      <c r="D2253" s="76"/>
      <c r="E2253" s="76"/>
      <c r="F2253" s="76"/>
      <c r="G2253" s="76"/>
      <c r="H2253" s="76"/>
      <c r="I2253" s="76"/>
      <c r="J2253" s="76"/>
      <c r="K2253" s="76"/>
      <c r="L2253" s="76"/>
      <c r="M2253" s="76"/>
      <c r="N2253" s="76"/>
      <c r="O2253" s="76"/>
      <c r="P2253" s="76"/>
      <c r="Q2253" s="76"/>
      <c r="R2253" s="76"/>
      <c r="S2253" s="76"/>
      <c r="T2253" s="76"/>
      <c r="U2253" s="76"/>
      <c r="V2253" s="76"/>
      <c r="W2253" s="76"/>
      <c r="X2253" s="76"/>
    </row>
    <row r="2254" ht="18.0" customHeight="1">
      <c r="A2254" s="76"/>
      <c r="B2254" s="76"/>
      <c r="C2254" s="76"/>
      <c r="D2254" s="76"/>
      <c r="E2254" s="76"/>
      <c r="F2254" s="76"/>
      <c r="G2254" s="76"/>
      <c r="H2254" s="76"/>
      <c r="I2254" s="76"/>
      <c r="J2254" s="76"/>
      <c r="K2254" s="76"/>
      <c r="L2254" s="76"/>
      <c r="M2254" s="76"/>
      <c r="N2254" s="76"/>
      <c r="O2254" s="76"/>
      <c r="P2254" s="76"/>
      <c r="Q2254" s="76"/>
      <c r="R2254" s="76"/>
      <c r="S2254" s="76"/>
      <c r="T2254" s="76"/>
      <c r="U2254" s="76"/>
      <c r="V2254" s="76"/>
      <c r="W2254" s="76"/>
      <c r="X2254" s="76"/>
    </row>
    <row r="2255" ht="18.0" customHeight="1">
      <c r="A2255" s="76"/>
      <c r="B2255" s="76"/>
      <c r="C2255" s="76"/>
      <c r="D2255" s="76"/>
      <c r="E2255" s="76"/>
      <c r="F2255" s="76"/>
      <c r="G2255" s="76"/>
      <c r="H2255" s="76"/>
      <c r="I2255" s="76"/>
      <c r="J2255" s="76"/>
      <c r="K2255" s="76"/>
      <c r="L2255" s="76"/>
      <c r="M2255" s="76"/>
      <c r="N2255" s="76"/>
      <c r="O2255" s="76"/>
      <c r="P2255" s="76"/>
      <c r="Q2255" s="76"/>
      <c r="R2255" s="76"/>
      <c r="S2255" s="76"/>
      <c r="T2255" s="76"/>
      <c r="U2255" s="76"/>
      <c r="V2255" s="76"/>
      <c r="W2255" s="76"/>
      <c r="X2255" s="76"/>
    </row>
    <row r="2256" ht="18.0" customHeight="1">
      <c r="A2256" s="76"/>
      <c r="B2256" s="76"/>
      <c r="C2256" s="76"/>
      <c r="D2256" s="76"/>
      <c r="E2256" s="76"/>
      <c r="F2256" s="76"/>
      <c r="G2256" s="76"/>
      <c r="H2256" s="76"/>
      <c r="I2256" s="76"/>
      <c r="J2256" s="76"/>
      <c r="K2256" s="76"/>
      <c r="L2256" s="76"/>
      <c r="M2256" s="76"/>
      <c r="N2256" s="76"/>
      <c r="O2256" s="76"/>
      <c r="P2256" s="76"/>
      <c r="Q2256" s="76"/>
      <c r="R2256" s="76"/>
      <c r="S2256" s="76"/>
      <c r="T2256" s="76"/>
      <c r="U2256" s="76"/>
      <c r="V2256" s="76"/>
      <c r="W2256" s="76"/>
      <c r="X2256" s="76"/>
    </row>
    <row r="2257" ht="18.0" customHeight="1">
      <c r="A2257" s="76"/>
      <c r="B2257" s="76"/>
      <c r="C2257" s="76"/>
      <c r="D2257" s="76"/>
      <c r="E2257" s="76"/>
      <c r="F2257" s="76"/>
      <c r="G2257" s="76"/>
      <c r="H2257" s="76"/>
      <c r="I2257" s="76"/>
      <c r="J2257" s="76"/>
      <c r="K2257" s="76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</row>
    <row r="2258" ht="18.0" customHeight="1">
      <c r="A2258" s="76"/>
      <c r="B2258" s="76"/>
      <c r="C2258" s="76"/>
      <c r="D2258" s="76"/>
      <c r="E2258" s="76"/>
      <c r="F2258" s="76"/>
      <c r="G2258" s="76"/>
      <c r="H2258" s="76"/>
      <c r="I2258" s="76"/>
      <c r="J2258" s="76"/>
      <c r="K2258" s="76"/>
      <c r="L2258" s="76"/>
      <c r="M2258" s="76"/>
      <c r="N2258" s="76"/>
      <c r="O2258" s="76"/>
      <c r="P2258" s="76"/>
      <c r="Q2258" s="76"/>
      <c r="R2258" s="76"/>
      <c r="S2258" s="76"/>
      <c r="T2258" s="76"/>
      <c r="U2258" s="76"/>
      <c r="V2258" s="76"/>
      <c r="W2258" s="76"/>
      <c r="X2258" s="76"/>
    </row>
    <row r="2259" ht="18.0" customHeight="1">
      <c r="A2259" s="76"/>
      <c r="B2259" s="76"/>
      <c r="C2259" s="76"/>
      <c r="D2259" s="76"/>
      <c r="E2259" s="76"/>
      <c r="F2259" s="76"/>
      <c r="G2259" s="76"/>
      <c r="H2259" s="76"/>
      <c r="I2259" s="76"/>
      <c r="J2259" s="76"/>
      <c r="K2259" s="76"/>
      <c r="L2259" s="76"/>
      <c r="M2259" s="76"/>
      <c r="N2259" s="76"/>
      <c r="O2259" s="76"/>
      <c r="P2259" s="76"/>
      <c r="Q2259" s="76"/>
      <c r="R2259" s="76"/>
      <c r="S2259" s="76"/>
      <c r="T2259" s="76"/>
      <c r="U2259" s="76"/>
      <c r="V2259" s="76"/>
      <c r="W2259" s="76"/>
      <c r="X2259" s="76"/>
    </row>
    <row r="2260" ht="18.0" customHeight="1">
      <c r="A2260" s="76"/>
      <c r="B2260" s="76"/>
      <c r="C2260" s="76"/>
      <c r="D2260" s="76"/>
      <c r="E2260" s="76"/>
      <c r="F2260" s="76"/>
      <c r="G2260" s="76"/>
      <c r="H2260" s="76"/>
      <c r="I2260" s="76"/>
      <c r="J2260" s="76"/>
      <c r="K2260" s="76"/>
      <c r="L2260" s="76"/>
      <c r="M2260" s="76"/>
      <c r="N2260" s="76"/>
      <c r="O2260" s="76"/>
      <c r="P2260" s="76"/>
      <c r="Q2260" s="76"/>
      <c r="R2260" s="76"/>
      <c r="S2260" s="76"/>
      <c r="T2260" s="76"/>
      <c r="U2260" s="76"/>
      <c r="V2260" s="76"/>
      <c r="W2260" s="76"/>
      <c r="X2260" s="76"/>
    </row>
    <row r="2261" ht="18.0" customHeight="1">
      <c r="A2261" s="76"/>
      <c r="B2261" s="76"/>
      <c r="C2261" s="76"/>
      <c r="D2261" s="76"/>
      <c r="E2261" s="76"/>
      <c r="F2261" s="76"/>
      <c r="G2261" s="76"/>
      <c r="H2261" s="76"/>
      <c r="I2261" s="76"/>
      <c r="J2261" s="76"/>
      <c r="K2261" s="76"/>
      <c r="L2261" s="76"/>
      <c r="M2261" s="76"/>
      <c r="N2261" s="76"/>
      <c r="O2261" s="76"/>
      <c r="P2261" s="76"/>
      <c r="Q2261" s="76"/>
      <c r="R2261" s="76"/>
      <c r="S2261" s="76"/>
      <c r="T2261" s="76"/>
      <c r="U2261" s="76"/>
      <c r="V2261" s="76"/>
      <c r="W2261" s="76"/>
      <c r="X2261" s="76"/>
    </row>
    <row r="2262" ht="18.0" customHeight="1">
      <c r="A2262" s="76"/>
      <c r="B2262" s="76"/>
      <c r="C2262" s="76"/>
      <c r="D2262" s="76"/>
      <c r="E2262" s="76"/>
      <c r="F2262" s="76"/>
      <c r="G2262" s="76"/>
      <c r="H2262" s="76"/>
      <c r="I2262" s="76"/>
      <c r="J2262" s="76"/>
      <c r="K2262" s="76"/>
      <c r="L2262" s="76"/>
      <c r="M2262" s="76"/>
      <c r="N2262" s="76"/>
      <c r="O2262" s="76"/>
      <c r="P2262" s="76"/>
      <c r="Q2262" s="76"/>
      <c r="R2262" s="76"/>
      <c r="S2262" s="76"/>
      <c r="T2262" s="76"/>
      <c r="U2262" s="76"/>
      <c r="V2262" s="76"/>
      <c r="W2262" s="76"/>
      <c r="X2262" s="76"/>
    </row>
    <row r="2263" ht="18.0" customHeight="1">
      <c r="A2263" s="76"/>
      <c r="B2263" s="76"/>
      <c r="C2263" s="76"/>
      <c r="D2263" s="76"/>
      <c r="E2263" s="76"/>
      <c r="F2263" s="76"/>
      <c r="G2263" s="76"/>
      <c r="H2263" s="76"/>
      <c r="I2263" s="76"/>
      <c r="J2263" s="76"/>
      <c r="K2263" s="76"/>
      <c r="L2263" s="76"/>
      <c r="M2263" s="76"/>
      <c r="N2263" s="76"/>
      <c r="O2263" s="76"/>
      <c r="P2263" s="76"/>
      <c r="Q2263" s="76"/>
      <c r="R2263" s="76"/>
      <c r="S2263" s="76"/>
      <c r="T2263" s="76"/>
      <c r="U2263" s="76"/>
      <c r="V2263" s="76"/>
      <c r="W2263" s="76"/>
      <c r="X2263" s="76"/>
    </row>
    <row r="2264" ht="18.0" customHeight="1">
      <c r="A2264" s="76"/>
      <c r="B2264" s="76"/>
      <c r="C2264" s="76"/>
      <c r="D2264" s="76"/>
      <c r="E2264" s="76"/>
      <c r="F2264" s="76"/>
      <c r="G2264" s="76"/>
      <c r="H2264" s="76"/>
      <c r="I2264" s="76"/>
      <c r="J2264" s="76"/>
      <c r="K2264" s="76"/>
      <c r="L2264" s="76"/>
      <c r="M2264" s="76"/>
      <c r="N2264" s="76"/>
      <c r="O2264" s="76"/>
      <c r="P2264" s="76"/>
      <c r="Q2264" s="76"/>
      <c r="R2264" s="76"/>
      <c r="S2264" s="76"/>
      <c r="T2264" s="76"/>
      <c r="U2264" s="76"/>
      <c r="V2264" s="76"/>
      <c r="W2264" s="76"/>
      <c r="X2264" s="76"/>
    </row>
    <row r="2265" ht="18.0" customHeight="1">
      <c r="A2265" s="76"/>
      <c r="B2265" s="76"/>
      <c r="C2265" s="76"/>
      <c r="D2265" s="76"/>
      <c r="E2265" s="76"/>
      <c r="F2265" s="76"/>
      <c r="G2265" s="76"/>
      <c r="H2265" s="76"/>
      <c r="I2265" s="76"/>
      <c r="J2265" s="76"/>
      <c r="K2265" s="76"/>
      <c r="L2265" s="76"/>
      <c r="M2265" s="76"/>
      <c r="N2265" s="76"/>
      <c r="O2265" s="76"/>
      <c r="P2265" s="76"/>
      <c r="Q2265" s="76"/>
      <c r="R2265" s="76"/>
      <c r="S2265" s="76"/>
      <c r="T2265" s="76"/>
      <c r="U2265" s="76"/>
      <c r="V2265" s="76"/>
      <c r="W2265" s="76"/>
      <c r="X2265" s="76"/>
    </row>
    <row r="2266" ht="18.0" customHeight="1">
      <c r="A2266" s="76"/>
      <c r="B2266" s="76"/>
      <c r="C2266" s="76"/>
      <c r="D2266" s="76"/>
      <c r="E2266" s="76"/>
      <c r="F2266" s="76"/>
      <c r="G2266" s="76"/>
      <c r="H2266" s="76"/>
      <c r="I2266" s="76"/>
      <c r="J2266" s="76"/>
      <c r="K2266" s="76"/>
      <c r="L2266" s="76"/>
      <c r="M2266" s="76"/>
      <c r="N2266" s="76"/>
      <c r="O2266" s="76"/>
      <c r="P2266" s="76"/>
      <c r="Q2266" s="76"/>
      <c r="R2266" s="76"/>
      <c r="S2266" s="76"/>
      <c r="T2266" s="76"/>
      <c r="U2266" s="76"/>
      <c r="V2266" s="76"/>
      <c r="W2266" s="76"/>
      <c r="X2266" s="76"/>
    </row>
    <row r="2267" ht="18.0" customHeight="1">
      <c r="A2267" s="76"/>
      <c r="B2267" s="76"/>
      <c r="C2267" s="76"/>
      <c r="D2267" s="76"/>
      <c r="E2267" s="76"/>
      <c r="F2267" s="76"/>
      <c r="G2267" s="76"/>
      <c r="H2267" s="76"/>
      <c r="I2267" s="76"/>
      <c r="J2267" s="76"/>
      <c r="K2267" s="76"/>
      <c r="L2267" s="76"/>
      <c r="M2267" s="76"/>
      <c r="N2267" s="76"/>
      <c r="O2267" s="76"/>
      <c r="P2267" s="76"/>
      <c r="Q2267" s="76"/>
      <c r="R2267" s="76"/>
      <c r="S2267" s="76"/>
      <c r="T2267" s="76"/>
      <c r="U2267" s="76"/>
      <c r="V2267" s="76"/>
      <c r="W2267" s="76"/>
      <c r="X2267" s="76"/>
    </row>
    <row r="2268" ht="18.0" customHeight="1">
      <c r="A2268" s="76"/>
      <c r="B2268" s="76"/>
      <c r="C2268" s="76"/>
      <c r="D2268" s="76"/>
      <c r="E2268" s="76"/>
      <c r="F2268" s="76"/>
      <c r="G2268" s="76"/>
      <c r="H2268" s="76"/>
      <c r="I2268" s="76"/>
      <c r="J2268" s="76"/>
      <c r="K2268" s="76"/>
      <c r="L2268" s="76"/>
      <c r="M2268" s="76"/>
      <c r="N2268" s="76"/>
      <c r="O2268" s="76"/>
      <c r="P2268" s="76"/>
      <c r="Q2268" s="76"/>
      <c r="R2268" s="76"/>
      <c r="S2268" s="76"/>
      <c r="T2268" s="76"/>
      <c r="U2268" s="76"/>
      <c r="V2268" s="76"/>
      <c r="W2268" s="76"/>
      <c r="X2268" s="76"/>
    </row>
    <row r="2269" ht="18.0" customHeight="1">
      <c r="A2269" s="76"/>
      <c r="B2269" s="76"/>
      <c r="C2269" s="76"/>
      <c r="D2269" s="76"/>
      <c r="E2269" s="76"/>
      <c r="F2269" s="76"/>
      <c r="G2269" s="76"/>
      <c r="H2269" s="76"/>
      <c r="I2269" s="76"/>
      <c r="J2269" s="76"/>
      <c r="K2269" s="76"/>
      <c r="L2269" s="76"/>
      <c r="M2269" s="76"/>
      <c r="N2269" s="76"/>
      <c r="O2269" s="76"/>
      <c r="P2269" s="76"/>
      <c r="Q2269" s="76"/>
      <c r="R2269" s="76"/>
      <c r="S2269" s="76"/>
      <c r="T2269" s="76"/>
      <c r="U2269" s="76"/>
      <c r="V2269" s="76"/>
      <c r="W2269" s="76"/>
      <c r="X2269" s="76"/>
    </row>
    <row r="2270" ht="18.0" customHeight="1">
      <c r="A2270" s="76"/>
      <c r="B2270" s="76"/>
      <c r="C2270" s="76"/>
      <c r="D2270" s="76"/>
      <c r="E2270" s="76"/>
      <c r="F2270" s="76"/>
      <c r="G2270" s="76"/>
      <c r="H2270" s="76"/>
      <c r="I2270" s="76"/>
      <c r="J2270" s="76"/>
      <c r="K2270" s="76"/>
      <c r="L2270" s="76"/>
      <c r="M2270" s="76"/>
      <c r="N2270" s="76"/>
      <c r="O2270" s="76"/>
      <c r="P2270" s="76"/>
      <c r="Q2270" s="76"/>
      <c r="R2270" s="76"/>
      <c r="S2270" s="76"/>
      <c r="T2270" s="76"/>
      <c r="U2270" s="76"/>
      <c r="V2270" s="76"/>
      <c r="W2270" s="76"/>
      <c r="X2270" s="76"/>
    </row>
    <row r="2271" ht="18.0" customHeight="1">
      <c r="A2271" s="76"/>
      <c r="B2271" s="76"/>
      <c r="C2271" s="76"/>
      <c r="D2271" s="76"/>
      <c r="E2271" s="76"/>
      <c r="F2271" s="76"/>
      <c r="G2271" s="76"/>
      <c r="H2271" s="76"/>
      <c r="I2271" s="76"/>
      <c r="J2271" s="76"/>
      <c r="K2271" s="76"/>
      <c r="L2271" s="76"/>
      <c r="M2271" s="76"/>
      <c r="N2271" s="76"/>
      <c r="O2271" s="76"/>
      <c r="P2271" s="76"/>
      <c r="Q2271" s="76"/>
      <c r="R2271" s="76"/>
      <c r="S2271" s="76"/>
      <c r="T2271" s="76"/>
      <c r="U2271" s="76"/>
      <c r="V2271" s="76"/>
      <c r="W2271" s="76"/>
      <c r="X2271" s="76"/>
    </row>
    <row r="2272" ht="18.0" customHeight="1">
      <c r="A2272" s="76"/>
      <c r="B2272" s="76"/>
      <c r="C2272" s="76"/>
      <c r="D2272" s="76"/>
      <c r="E2272" s="76"/>
      <c r="F2272" s="76"/>
      <c r="G2272" s="76"/>
      <c r="H2272" s="76"/>
      <c r="I2272" s="76"/>
      <c r="J2272" s="76"/>
      <c r="K2272" s="76"/>
      <c r="L2272" s="76"/>
      <c r="M2272" s="76"/>
      <c r="N2272" s="76"/>
      <c r="O2272" s="76"/>
      <c r="P2272" s="76"/>
      <c r="Q2272" s="76"/>
      <c r="R2272" s="76"/>
      <c r="S2272" s="76"/>
      <c r="T2272" s="76"/>
      <c r="U2272" s="76"/>
      <c r="V2272" s="76"/>
      <c r="W2272" s="76"/>
      <c r="X2272" s="76"/>
    </row>
    <row r="2273" ht="18.0" customHeight="1">
      <c r="A2273" s="76"/>
      <c r="B2273" s="76"/>
      <c r="C2273" s="76"/>
      <c r="D2273" s="76"/>
      <c r="E2273" s="76"/>
      <c r="F2273" s="76"/>
      <c r="G2273" s="76"/>
      <c r="H2273" s="76"/>
      <c r="I2273" s="76"/>
      <c r="J2273" s="76"/>
      <c r="K2273" s="76"/>
      <c r="L2273" s="76"/>
      <c r="M2273" s="76"/>
      <c r="N2273" s="76"/>
      <c r="O2273" s="76"/>
      <c r="P2273" s="76"/>
      <c r="Q2273" s="76"/>
      <c r="R2273" s="76"/>
      <c r="S2273" s="76"/>
      <c r="T2273" s="76"/>
      <c r="U2273" s="76"/>
      <c r="V2273" s="76"/>
      <c r="W2273" s="76"/>
      <c r="X2273" s="76"/>
    </row>
    <row r="2274" ht="18.0" customHeight="1">
      <c r="A2274" s="76"/>
      <c r="B2274" s="76"/>
      <c r="C2274" s="76"/>
      <c r="D2274" s="76"/>
      <c r="E2274" s="76"/>
      <c r="F2274" s="76"/>
      <c r="G2274" s="76"/>
      <c r="H2274" s="76"/>
      <c r="I2274" s="76"/>
      <c r="J2274" s="76"/>
      <c r="K2274" s="76"/>
      <c r="L2274" s="76"/>
      <c r="M2274" s="76"/>
      <c r="N2274" s="76"/>
      <c r="O2274" s="76"/>
      <c r="P2274" s="76"/>
      <c r="Q2274" s="76"/>
      <c r="R2274" s="76"/>
      <c r="S2274" s="76"/>
      <c r="T2274" s="76"/>
      <c r="U2274" s="76"/>
      <c r="V2274" s="76"/>
      <c r="W2274" s="76"/>
      <c r="X2274" s="76"/>
    </row>
    <row r="2275" ht="18.0" customHeight="1">
      <c r="A2275" s="76"/>
      <c r="B2275" s="76"/>
      <c r="C2275" s="76"/>
      <c r="D2275" s="76"/>
      <c r="E2275" s="76"/>
      <c r="F2275" s="76"/>
      <c r="G2275" s="76"/>
      <c r="H2275" s="76"/>
      <c r="I2275" s="76"/>
      <c r="J2275" s="76"/>
      <c r="K2275" s="76"/>
      <c r="L2275" s="76"/>
      <c r="M2275" s="76"/>
      <c r="N2275" s="76"/>
      <c r="O2275" s="76"/>
      <c r="P2275" s="76"/>
      <c r="Q2275" s="76"/>
      <c r="R2275" s="76"/>
      <c r="S2275" s="76"/>
      <c r="T2275" s="76"/>
      <c r="U2275" s="76"/>
      <c r="V2275" s="76"/>
      <c r="W2275" s="76"/>
      <c r="X2275" s="76"/>
    </row>
    <row r="2276" ht="18.0" customHeight="1">
      <c r="A2276" s="76"/>
      <c r="B2276" s="76"/>
      <c r="C2276" s="76"/>
      <c r="D2276" s="76"/>
      <c r="E2276" s="76"/>
      <c r="F2276" s="76"/>
      <c r="G2276" s="76"/>
      <c r="H2276" s="76"/>
      <c r="I2276" s="76"/>
      <c r="J2276" s="76"/>
      <c r="K2276" s="76"/>
      <c r="L2276" s="76"/>
      <c r="M2276" s="76"/>
      <c r="N2276" s="76"/>
      <c r="O2276" s="76"/>
      <c r="P2276" s="76"/>
      <c r="Q2276" s="76"/>
      <c r="R2276" s="76"/>
      <c r="S2276" s="76"/>
      <c r="T2276" s="76"/>
      <c r="U2276" s="76"/>
      <c r="V2276" s="76"/>
      <c r="W2276" s="76"/>
      <c r="X2276" s="76"/>
    </row>
    <row r="2277" ht="18.0" customHeight="1">
      <c r="A2277" s="76"/>
      <c r="B2277" s="76"/>
      <c r="C2277" s="76"/>
      <c r="D2277" s="76"/>
      <c r="E2277" s="76"/>
      <c r="F2277" s="76"/>
      <c r="G2277" s="76"/>
      <c r="H2277" s="76"/>
      <c r="I2277" s="76"/>
      <c r="J2277" s="76"/>
      <c r="K2277" s="76"/>
      <c r="L2277" s="76"/>
      <c r="M2277" s="76"/>
      <c r="N2277" s="76"/>
      <c r="O2277" s="76"/>
      <c r="P2277" s="76"/>
      <c r="Q2277" s="76"/>
      <c r="R2277" s="76"/>
      <c r="S2277" s="76"/>
      <c r="T2277" s="76"/>
      <c r="U2277" s="76"/>
      <c r="V2277" s="76"/>
      <c r="W2277" s="76"/>
      <c r="X2277" s="76"/>
    </row>
    <row r="2278" ht="18.0" customHeight="1">
      <c r="A2278" s="76"/>
      <c r="B2278" s="76"/>
      <c r="C2278" s="76"/>
      <c r="D2278" s="76"/>
      <c r="E2278" s="76"/>
      <c r="F2278" s="76"/>
      <c r="G2278" s="76"/>
      <c r="H2278" s="76"/>
      <c r="I2278" s="76"/>
      <c r="J2278" s="76"/>
      <c r="K2278" s="76"/>
      <c r="L2278" s="76"/>
      <c r="M2278" s="76"/>
      <c r="N2278" s="76"/>
      <c r="O2278" s="76"/>
      <c r="P2278" s="76"/>
      <c r="Q2278" s="76"/>
      <c r="R2278" s="76"/>
      <c r="S2278" s="76"/>
      <c r="T2278" s="76"/>
      <c r="U2278" s="76"/>
      <c r="V2278" s="76"/>
      <c r="W2278" s="76"/>
      <c r="X2278" s="76"/>
    </row>
    <row r="2279" ht="18.0" customHeight="1">
      <c r="A2279" s="76"/>
      <c r="B2279" s="76"/>
      <c r="C2279" s="76"/>
      <c r="D2279" s="76"/>
      <c r="E2279" s="76"/>
      <c r="F2279" s="76"/>
      <c r="G2279" s="76"/>
      <c r="H2279" s="76"/>
      <c r="I2279" s="76"/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</row>
    <row r="2280" ht="18.0" customHeight="1">
      <c r="A2280" s="76"/>
      <c r="B2280" s="76"/>
      <c r="C2280" s="76"/>
      <c r="D2280" s="76"/>
      <c r="E2280" s="76"/>
      <c r="F2280" s="76"/>
      <c r="G2280" s="76"/>
      <c r="H2280" s="76"/>
      <c r="I2280" s="76"/>
      <c r="J2280" s="76"/>
      <c r="K2280" s="76"/>
      <c r="L2280" s="76"/>
      <c r="M2280" s="76"/>
      <c r="N2280" s="76"/>
      <c r="O2280" s="76"/>
      <c r="P2280" s="76"/>
      <c r="Q2280" s="76"/>
      <c r="R2280" s="76"/>
      <c r="S2280" s="76"/>
      <c r="T2280" s="76"/>
      <c r="U2280" s="76"/>
      <c r="V2280" s="76"/>
      <c r="W2280" s="76"/>
      <c r="X2280" s="76"/>
    </row>
    <row r="2281" ht="18.0" customHeight="1">
      <c r="A2281" s="76"/>
      <c r="B2281" s="76"/>
      <c r="C2281" s="76"/>
      <c r="D2281" s="76"/>
      <c r="E2281" s="76"/>
      <c r="F2281" s="76"/>
      <c r="G2281" s="76"/>
      <c r="H2281" s="76"/>
      <c r="I2281" s="76"/>
      <c r="J2281" s="76"/>
      <c r="K2281" s="76"/>
      <c r="L2281" s="76"/>
      <c r="M2281" s="76"/>
      <c r="N2281" s="76"/>
      <c r="O2281" s="76"/>
      <c r="P2281" s="76"/>
      <c r="Q2281" s="76"/>
      <c r="R2281" s="76"/>
      <c r="S2281" s="76"/>
      <c r="T2281" s="76"/>
      <c r="U2281" s="76"/>
      <c r="V2281" s="76"/>
      <c r="W2281" s="76"/>
      <c r="X2281" s="76"/>
    </row>
    <row r="2282" ht="18.0" customHeight="1">
      <c r="A2282" s="76"/>
      <c r="B2282" s="76"/>
      <c r="C2282" s="76"/>
      <c r="D2282" s="76"/>
      <c r="E2282" s="76"/>
      <c r="F2282" s="76"/>
      <c r="G2282" s="76"/>
      <c r="H2282" s="76"/>
      <c r="I2282" s="76"/>
      <c r="J2282" s="76"/>
      <c r="K2282" s="76"/>
      <c r="L2282" s="76"/>
      <c r="M2282" s="76"/>
      <c r="N2282" s="76"/>
      <c r="O2282" s="76"/>
      <c r="P2282" s="76"/>
      <c r="Q2282" s="76"/>
      <c r="R2282" s="76"/>
      <c r="S2282" s="76"/>
      <c r="T2282" s="76"/>
      <c r="U2282" s="76"/>
      <c r="V2282" s="76"/>
      <c r="W2282" s="76"/>
      <c r="X2282" s="76"/>
    </row>
    <row r="2283" ht="18.0" customHeight="1">
      <c r="A2283" s="76"/>
      <c r="B2283" s="76"/>
      <c r="C2283" s="76"/>
      <c r="D2283" s="76"/>
      <c r="E2283" s="76"/>
      <c r="F2283" s="76"/>
      <c r="G2283" s="76"/>
      <c r="H2283" s="76"/>
      <c r="I2283" s="76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/>
      <c r="W2283" s="76"/>
      <c r="X2283" s="76"/>
    </row>
    <row r="2284" ht="18.0" customHeight="1">
      <c r="A2284" s="76"/>
      <c r="B2284" s="76"/>
      <c r="C2284" s="76"/>
      <c r="D2284" s="76"/>
      <c r="E2284" s="76"/>
      <c r="F2284" s="76"/>
      <c r="G2284" s="76"/>
      <c r="H2284" s="76"/>
      <c r="I2284" s="76"/>
      <c r="J2284" s="76"/>
      <c r="K2284" s="76"/>
      <c r="L2284" s="76"/>
      <c r="M2284" s="76"/>
      <c r="N2284" s="76"/>
      <c r="O2284" s="76"/>
      <c r="P2284" s="76"/>
      <c r="Q2284" s="76"/>
      <c r="R2284" s="76"/>
      <c r="S2284" s="76"/>
      <c r="T2284" s="76"/>
      <c r="U2284" s="76"/>
      <c r="V2284" s="76"/>
      <c r="W2284" s="76"/>
      <c r="X2284" s="76"/>
    </row>
    <row r="2285" ht="18.0" customHeight="1">
      <c r="A2285" s="76"/>
      <c r="B2285" s="76"/>
      <c r="C2285" s="76"/>
      <c r="D2285" s="76"/>
      <c r="E2285" s="76"/>
      <c r="F2285" s="76"/>
      <c r="G2285" s="76"/>
      <c r="H2285" s="76"/>
      <c r="I2285" s="76"/>
      <c r="J2285" s="76"/>
      <c r="K2285" s="76"/>
      <c r="L2285" s="76"/>
      <c r="M2285" s="76"/>
      <c r="N2285" s="76"/>
      <c r="O2285" s="76"/>
      <c r="P2285" s="76"/>
      <c r="Q2285" s="76"/>
      <c r="R2285" s="76"/>
      <c r="S2285" s="76"/>
      <c r="T2285" s="76"/>
      <c r="U2285" s="76"/>
      <c r="V2285" s="76"/>
      <c r="W2285" s="76"/>
      <c r="X2285" s="76"/>
    </row>
    <row r="2286" ht="18.0" customHeight="1">
      <c r="A2286" s="76"/>
      <c r="B2286" s="76"/>
      <c r="C2286" s="76"/>
      <c r="D2286" s="76"/>
      <c r="E2286" s="76"/>
      <c r="F2286" s="76"/>
      <c r="G2286" s="76"/>
      <c r="H2286" s="76"/>
      <c r="I2286" s="76"/>
      <c r="J2286" s="76"/>
      <c r="K2286" s="76"/>
      <c r="L2286" s="76"/>
      <c r="M2286" s="76"/>
      <c r="N2286" s="76"/>
      <c r="O2286" s="76"/>
      <c r="P2286" s="76"/>
      <c r="Q2286" s="76"/>
      <c r="R2286" s="76"/>
      <c r="S2286" s="76"/>
      <c r="T2286" s="76"/>
      <c r="U2286" s="76"/>
      <c r="V2286" s="76"/>
      <c r="W2286" s="76"/>
      <c r="X2286" s="76"/>
    </row>
    <row r="2287" ht="18.0" customHeight="1">
      <c r="A2287" s="76"/>
      <c r="B2287" s="76"/>
      <c r="C2287" s="76"/>
      <c r="D2287" s="76"/>
      <c r="E2287" s="76"/>
      <c r="F2287" s="76"/>
      <c r="G2287" s="76"/>
      <c r="H2287" s="76"/>
      <c r="I2287" s="76"/>
      <c r="J2287" s="76"/>
      <c r="K2287" s="76"/>
      <c r="L2287" s="76"/>
      <c r="M2287" s="76"/>
      <c r="N2287" s="76"/>
      <c r="O2287" s="76"/>
      <c r="P2287" s="76"/>
      <c r="Q2287" s="76"/>
      <c r="R2287" s="76"/>
      <c r="S2287" s="76"/>
      <c r="T2287" s="76"/>
      <c r="U2287" s="76"/>
      <c r="V2287" s="76"/>
      <c r="W2287" s="76"/>
      <c r="X2287" s="76"/>
    </row>
    <row r="2288" ht="18.0" customHeight="1">
      <c r="A2288" s="76"/>
      <c r="B2288" s="76"/>
      <c r="C2288" s="76"/>
      <c r="D2288" s="76"/>
      <c r="E2288" s="76"/>
      <c r="F2288" s="76"/>
      <c r="G2288" s="76"/>
      <c r="H2288" s="76"/>
      <c r="I2288" s="76"/>
      <c r="J2288" s="76"/>
      <c r="K2288" s="76"/>
      <c r="L2288" s="76"/>
      <c r="M2288" s="76"/>
      <c r="N2288" s="76"/>
      <c r="O2288" s="76"/>
      <c r="P2288" s="76"/>
      <c r="Q2288" s="76"/>
      <c r="R2288" s="76"/>
      <c r="S2288" s="76"/>
      <c r="T2288" s="76"/>
      <c r="U2288" s="76"/>
      <c r="V2288" s="76"/>
      <c r="W2288" s="76"/>
      <c r="X2288" s="76"/>
    </row>
    <row r="2289" ht="18.0" customHeight="1">
      <c r="A2289" s="76"/>
      <c r="B2289" s="76"/>
      <c r="C2289" s="76"/>
      <c r="D2289" s="76"/>
      <c r="E2289" s="76"/>
      <c r="F2289" s="76"/>
      <c r="G2289" s="76"/>
      <c r="H2289" s="76"/>
      <c r="I2289" s="76"/>
      <c r="J2289" s="76"/>
      <c r="K2289" s="76"/>
      <c r="L2289" s="76"/>
      <c r="M2289" s="76"/>
      <c r="N2289" s="76"/>
      <c r="O2289" s="76"/>
      <c r="P2289" s="76"/>
      <c r="Q2289" s="76"/>
      <c r="R2289" s="76"/>
      <c r="S2289" s="76"/>
      <c r="T2289" s="76"/>
      <c r="U2289" s="76"/>
      <c r="V2289" s="76"/>
      <c r="W2289" s="76"/>
      <c r="X2289" s="76"/>
    </row>
    <row r="2290" ht="18.0" customHeight="1">
      <c r="A2290" s="76"/>
      <c r="B2290" s="76"/>
      <c r="C2290" s="76"/>
      <c r="D2290" s="76"/>
      <c r="E2290" s="76"/>
      <c r="F2290" s="76"/>
      <c r="G2290" s="76"/>
      <c r="H2290" s="76"/>
      <c r="I2290" s="76"/>
      <c r="J2290" s="76"/>
      <c r="K2290" s="76"/>
      <c r="L2290" s="76"/>
      <c r="M2290" s="76"/>
      <c r="N2290" s="76"/>
      <c r="O2290" s="76"/>
      <c r="P2290" s="76"/>
      <c r="Q2290" s="76"/>
      <c r="R2290" s="76"/>
      <c r="S2290" s="76"/>
      <c r="T2290" s="76"/>
      <c r="U2290" s="76"/>
      <c r="V2290" s="76"/>
      <c r="W2290" s="76"/>
      <c r="X2290" s="76"/>
    </row>
    <row r="2291" ht="18.0" customHeight="1">
      <c r="A2291" s="76"/>
      <c r="B2291" s="76"/>
      <c r="C2291" s="76"/>
      <c r="D2291" s="76"/>
      <c r="E2291" s="76"/>
      <c r="F2291" s="76"/>
      <c r="G2291" s="76"/>
      <c r="H2291" s="76"/>
      <c r="I2291" s="76"/>
      <c r="J2291" s="76"/>
      <c r="K2291" s="76"/>
      <c r="L2291" s="76"/>
      <c r="M2291" s="76"/>
      <c r="N2291" s="76"/>
      <c r="O2291" s="76"/>
      <c r="P2291" s="76"/>
      <c r="Q2291" s="76"/>
      <c r="R2291" s="76"/>
      <c r="S2291" s="76"/>
      <c r="T2291" s="76"/>
      <c r="U2291" s="76"/>
      <c r="V2291" s="76"/>
      <c r="W2291" s="76"/>
      <c r="X2291" s="76"/>
    </row>
    <row r="2292" ht="18.0" customHeight="1">
      <c r="A2292" s="76"/>
      <c r="B2292" s="76"/>
      <c r="C2292" s="76"/>
      <c r="D2292" s="76"/>
      <c r="E2292" s="76"/>
      <c r="F2292" s="76"/>
      <c r="G2292" s="76"/>
      <c r="H2292" s="76"/>
      <c r="I2292" s="76"/>
      <c r="J2292" s="76"/>
      <c r="K2292" s="76"/>
      <c r="L2292" s="76"/>
      <c r="M2292" s="76"/>
      <c r="N2292" s="76"/>
      <c r="O2292" s="76"/>
      <c r="P2292" s="76"/>
      <c r="Q2292" s="76"/>
      <c r="R2292" s="76"/>
      <c r="S2292" s="76"/>
      <c r="T2292" s="76"/>
      <c r="U2292" s="76"/>
      <c r="V2292" s="76"/>
      <c r="W2292" s="76"/>
      <c r="X2292" s="76"/>
    </row>
    <row r="2293" ht="18.0" customHeight="1">
      <c r="A2293" s="76"/>
      <c r="B2293" s="76"/>
      <c r="C2293" s="76"/>
      <c r="D2293" s="76"/>
      <c r="E2293" s="76"/>
      <c r="F2293" s="76"/>
      <c r="G2293" s="76"/>
      <c r="H2293" s="76"/>
      <c r="I2293" s="76"/>
      <c r="J2293" s="76"/>
      <c r="K2293" s="76"/>
      <c r="L2293" s="76"/>
      <c r="M2293" s="76"/>
      <c r="N2293" s="76"/>
      <c r="O2293" s="76"/>
      <c r="P2293" s="76"/>
      <c r="Q2293" s="76"/>
      <c r="R2293" s="76"/>
      <c r="S2293" s="76"/>
      <c r="T2293" s="76"/>
      <c r="U2293" s="76"/>
      <c r="V2293" s="76"/>
      <c r="W2293" s="76"/>
      <c r="X2293" s="76"/>
    </row>
    <row r="2294" ht="18.0" customHeight="1">
      <c r="A2294" s="76"/>
      <c r="B2294" s="76"/>
      <c r="C2294" s="76"/>
      <c r="D2294" s="76"/>
      <c r="E2294" s="76"/>
      <c r="F2294" s="76"/>
      <c r="G2294" s="76"/>
      <c r="H2294" s="76"/>
      <c r="I2294" s="76"/>
      <c r="J2294" s="76"/>
      <c r="K2294" s="76"/>
      <c r="L2294" s="76"/>
      <c r="M2294" s="76"/>
      <c r="N2294" s="76"/>
      <c r="O2294" s="76"/>
      <c r="P2294" s="76"/>
      <c r="Q2294" s="76"/>
      <c r="R2294" s="76"/>
      <c r="S2294" s="76"/>
      <c r="T2294" s="76"/>
      <c r="U2294" s="76"/>
      <c r="V2294" s="76"/>
      <c r="W2294" s="76"/>
      <c r="X2294" s="76"/>
    </row>
    <row r="2295" ht="18.0" customHeight="1">
      <c r="A2295" s="76"/>
      <c r="B2295" s="76"/>
      <c r="C2295" s="76"/>
      <c r="D2295" s="76"/>
      <c r="E2295" s="76"/>
      <c r="F2295" s="76"/>
      <c r="G2295" s="76"/>
      <c r="H2295" s="76"/>
      <c r="I2295" s="76"/>
      <c r="J2295" s="76"/>
      <c r="K2295" s="76"/>
      <c r="L2295" s="76"/>
      <c r="M2295" s="76"/>
      <c r="N2295" s="76"/>
      <c r="O2295" s="76"/>
      <c r="P2295" s="76"/>
      <c r="Q2295" s="76"/>
      <c r="R2295" s="76"/>
      <c r="S2295" s="76"/>
      <c r="T2295" s="76"/>
      <c r="U2295" s="76"/>
      <c r="V2295" s="76"/>
      <c r="W2295" s="76"/>
      <c r="X2295" s="76"/>
    </row>
    <row r="2296" ht="18.0" customHeight="1">
      <c r="A2296" s="76"/>
      <c r="B2296" s="76"/>
      <c r="C2296" s="76"/>
      <c r="D2296" s="76"/>
      <c r="E2296" s="76"/>
      <c r="F2296" s="76"/>
      <c r="G2296" s="76"/>
      <c r="H2296" s="76"/>
      <c r="I2296" s="76"/>
      <c r="J2296" s="76"/>
      <c r="K2296" s="76"/>
      <c r="L2296" s="76"/>
      <c r="M2296" s="76"/>
      <c r="N2296" s="76"/>
      <c r="O2296" s="76"/>
      <c r="P2296" s="76"/>
      <c r="Q2296" s="76"/>
      <c r="R2296" s="76"/>
      <c r="S2296" s="76"/>
      <c r="T2296" s="76"/>
      <c r="U2296" s="76"/>
      <c r="V2296" s="76"/>
      <c r="W2296" s="76"/>
      <c r="X2296" s="76"/>
    </row>
    <row r="2297" ht="18.0" customHeight="1">
      <c r="A2297" s="76"/>
      <c r="B2297" s="76"/>
      <c r="C2297" s="76"/>
      <c r="D2297" s="76"/>
      <c r="E2297" s="76"/>
      <c r="F2297" s="76"/>
      <c r="G2297" s="76"/>
      <c r="H2297" s="76"/>
      <c r="I2297" s="76"/>
      <c r="J2297" s="76"/>
      <c r="K2297" s="76"/>
      <c r="L2297" s="76"/>
      <c r="M2297" s="76"/>
      <c r="N2297" s="76"/>
      <c r="O2297" s="76"/>
      <c r="P2297" s="76"/>
      <c r="Q2297" s="76"/>
      <c r="R2297" s="76"/>
      <c r="S2297" s="76"/>
      <c r="T2297" s="76"/>
      <c r="U2297" s="76"/>
      <c r="V2297" s="76"/>
      <c r="W2297" s="76"/>
      <c r="X2297" s="76"/>
    </row>
    <row r="2298" ht="18.0" customHeight="1">
      <c r="A2298" s="76"/>
      <c r="B2298" s="76"/>
      <c r="C2298" s="76"/>
      <c r="D2298" s="76"/>
      <c r="E2298" s="76"/>
      <c r="F2298" s="76"/>
      <c r="G2298" s="76"/>
      <c r="H2298" s="76"/>
      <c r="I2298" s="76"/>
      <c r="J2298" s="76"/>
      <c r="K2298" s="76"/>
      <c r="L2298" s="76"/>
      <c r="M2298" s="76"/>
      <c r="N2298" s="76"/>
      <c r="O2298" s="76"/>
      <c r="P2298" s="76"/>
      <c r="Q2298" s="76"/>
      <c r="R2298" s="76"/>
      <c r="S2298" s="76"/>
      <c r="T2298" s="76"/>
      <c r="U2298" s="76"/>
      <c r="V2298" s="76"/>
      <c r="W2298" s="76"/>
      <c r="X2298" s="76"/>
    </row>
    <row r="2299" ht="18.0" customHeight="1">
      <c r="A2299" s="76"/>
      <c r="B2299" s="76"/>
      <c r="C2299" s="76"/>
      <c r="D2299" s="76"/>
      <c r="E2299" s="76"/>
      <c r="F2299" s="76"/>
      <c r="G2299" s="76"/>
      <c r="H2299" s="76"/>
      <c r="I2299" s="76"/>
      <c r="J2299" s="76"/>
      <c r="K2299" s="76"/>
      <c r="L2299" s="76"/>
      <c r="M2299" s="76"/>
      <c r="N2299" s="76"/>
      <c r="O2299" s="76"/>
      <c r="P2299" s="76"/>
      <c r="Q2299" s="76"/>
      <c r="R2299" s="76"/>
      <c r="S2299" s="76"/>
      <c r="T2299" s="76"/>
      <c r="U2299" s="76"/>
      <c r="V2299" s="76"/>
      <c r="W2299" s="76"/>
      <c r="X2299" s="76"/>
    </row>
    <row r="2300" ht="18.0" customHeight="1">
      <c r="A2300" s="76"/>
      <c r="B2300" s="76"/>
      <c r="C2300" s="76"/>
      <c r="D2300" s="76"/>
      <c r="E2300" s="76"/>
      <c r="F2300" s="76"/>
      <c r="G2300" s="76"/>
      <c r="H2300" s="76"/>
      <c r="I2300" s="76"/>
      <c r="J2300" s="76"/>
      <c r="K2300" s="76"/>
      <c r="L2300" s="76"/>
      <c r="M2300" s="76"/>
      <c r="N2300" s="76"/>
      <c r="O2300" s="76"/>
      <c r="P2300" s="76"/>
      <c r="Q2300" s="76"/>
      <c r="R2300" s="76"/>
      <c r="S2300" s="76"/>
      <c r="T2300" s="76"/>
      <c r="U2300" s="76"/>
      <c r="V2300" s="76"/>
      <c r="W2300" s="76"/>
      <c r="X2300" s="76"/>
    </row>
    <row r="2301" ht="18.0" customHeight="1">
      <c r="A2301" s="76"/>
      <c r="B2301" s="76"/>
      <c r="C2301" s="76"/>
      <c r="D2301" s="76"/>
      <c r="E2301" s="76"/>
      <c r="F2301" s="76"/>
      <c r="G2301" s="76"/>
      <c r="H2301" s="76"/>
      <c r="I2301" s="76"/>
      <c r="J2301" s="76"/>
      <c r="K2301" s="76"/>
      <c r="L2301" s="76"/>
      <c r="M2301" s="76"/>
      <c r="N2301" s="76"/>
      <c r="O2301" s="76"/>
      <c r="P2301" s="76"/>
      <c r="Q2301" s="76"/>
      <c r="R2301" s="76"/>
      <c r="S2301" s="76"/>
      <c r="T2301" s="76"/>
      <c r="U2301" s="76"/>
      <c r="V2301" s="76"/>
      <c r="W2301" s="76"/>
      <c r="X2301" s="76"/>
    </row>
    <row r="2302" ht="18.0" customHeight="1">
      <c r="A2302" s="76"/>
      <c r="B2302" s="76"/>
      <c r="C2302" s="76"/>
      <c r="D2302" s="76"/>
      <c r="E2302" s="76"/>
      <c r="F2302" s="76"/>
      <c r="G2302" s="76"/>
      <c r="H2302" s="76"/>
      <c r="I2302" s="76"/>
      <c r="J2302" s="76"/>
      <c r="K2302" s="76"/>
      <c r="L2302" s="76"/>
      <c r="M2302" s="76"/>
      <c r="N2302" s="76"/>
      <c r="O2302" s="76"/>
      <c r="P2302" s="76"/>
      <c r="Q2302" s="76"/>
      <c r="R2302" s="76"/>
      <c r="S2302" s="76"/>
      <c r="T2302" s="76"/>
      <c r="U2302" s="76"/>
      <c r="V2302" s="76"/>
      <c r="W2302" s="76"/>
      <c r="X2302" s="76"/>
    </row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/>
    <row r="11058" ht="15.75" customHeight="1"/>
    <row r="11059" ht="15.75" customHeight="1"/>
    <row r="11060" ht="15.75" customHeight="1"/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/>
    <row r="11068" ht="15.75" customHeight="1"/>
    <row r="11069" ht="15.75" customHeight="1"/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/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/>
    <row r="11196" ht="15.75" customHeight="1"/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/>
    <row r="11212" ht="15.75" customHeight="1"/>
    <row r="11213" ht="15.75" customHeight="1"/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/>
    <row r="11257" ht="15.75" customHeight="1"/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/>
    <row r="11334" ht="15.75" customHeight="1"/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/>
    <row r="11368" ht="15.75" customHeight="1"/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/>
    <row r="11408" ht="15.75" customHeight="1"/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/>
    <row r="11451" ht="15.75" customHeight="1"/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/>
    <row r="11549" ht="15.75" customHeight="1"/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/>
    <row r="11603" ht="15.75" customHeight="1"/>
    <row r="11604" ht="15.75" customHeight="1"/>
    <row r="11605" ht="15.75" customHeight="1"/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/>
    <row r="11649" ht="15.75" customHeight="1"/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/>
    <row r="11674" ht="15.75" customHeight="1"/>
    <row r="11675" ht="15.75" customHeight="1"/>
    <row r="11676" ht="15.75" customHeight="1"/>
    <row r="11677" ht="15.75" customHeight="1"/>
    <row r="11678" ht="15.75" customHeight="1"/>
    <row r="11679" ht="15.75" customHeight="1"/>
    <row r="11680" ht="15.75" customHeight="1"/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/>
    <row r="11693" ht="15.75" customHeight="1"/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/>
    <row r="11702" ht="15.75" customHeight="1"/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/>
    <row r="11718" ht="15.75" customHeight="1"/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/>
    <row r="11730" ht="15.75" customHeight="1"/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/>
    <row r="11753" ht="15.75" customHeight="1"/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/>
    <row r="11781" ht="15.75" customHeight="1"/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/>
    <row r="11812" ht="15.75" customHeight="1"/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/>
    <row r="11847" ht="15.75" customHeight="1"/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/>
    <row r="11874" ht="15.75" customHeight="1"/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/>
    <row r="11893" ht="15.75" customHeight="1"/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/>
    <row r="11930" ht="15.75" customHeight="1"/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/>
    <row r="11953" ht="15.75" customHeight="1"/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/>
    <row r="12059" ht="15.75" customHeight="1"/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/>
    <row r="12087" ht="15.75" customHeight="1"/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/>
    <row r="12096" ht="15.75" customHeight="1"/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/>
    <row r="12140" ht="15.75" customHeight="1"/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/>
    <row r="12156" ht="15.75" customHeight="1"/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/>
    <row r="12225" ht="15.75" customHeight="1"/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/>
    <row r="12245" ht="15.75" customHeight="1"/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/>
    <row r="12280" ht="15.75" customHeight="1"/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/>
    <row r="12290" ht="15.75" customHeight="1"/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/>
    <row r="12298" ht="15.75" customHeight="1"/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/>
    <row r="12346" ht="15.75" customHeight="1"/>
    <row r="12347" ht="15.75" customHeight="1"/>
    <row r="12348" ht="15.75" customHeight="1"/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/>
    <row r="12366" ht="15.75" customHeight="1"/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/>
    <row r="12392" ht="15.75" customHeight="1"/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/>
    <row r="12416" ht="15.75" customHeight="1"/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/>
    <row r="12440" ht="15.75" customHeight="1"/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/>
    <row r="12448" ht="15.75" customHeight="1"/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/>
    <row r="12478" ht="15.75" customHeight="1"/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/>
    <row r="12585" ht="15.75" customHeight="1"/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/>
    <row r="12600" ht="15.75" customHeight="1"/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/>
    <row r="12623" ht="15.75" customHeight="1"/>
    <row r="12624" ht="15.75" customHeight="1"/>
    <row r="12625" ht="15.75" customHeight="1"/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/>
    <row r="12672" ht="15.75" customHeight="1"/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/>
    <row r="12712" ht="15.75" customHeight="1"/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/>
    <row r="12731" ht="15.75" customHeight="1"/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/>
    <row r="12744" ht="15.75" customHeight="1"/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/>
    <row r="12782" ht="15.75" customHeight="1"/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/>
    <row r="12802" ht="15.75" customHeight="1"/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/>
    <row r="12892" ht="15.75" customHeight="1"/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/>
    <row r="12904" ht="15.75" customHeight="1"/>
    <row r="12905" ht="15.75" customHeight="1"/>
    <row r="12906" ht="15.75" customHeight="1"/>
    <row r="12907" ht="15.75" customHeight="1"/>
    <row r="12908" ht="15.75" customHeight="1"/>
    <row r="12909" ht="15.75" customHeight="1"/>
    <row r="12910" ht="15.75" customHeight="1"/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/>
    <row r="12929" ht="15.75" customHeight="1"/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/>
    <row r="12944" ht="15.75" customHeight="1"/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/>
    <row r="12986" ht="15.75" customHeight="1"/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/>
    <row r="12996" ht="15.75" customHeight="1"/>
    <row r="12997" ht="15.75" customHeight="1"/>
    <row r="12998" ht="15.75" customHeight="1"/>
    <row r="12999" ht="15.75" customHeight="1"/>
    <row r="13000" ht="15.75" customHeight="1"/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/>
    <row r="13016" ht="15.75" customHeight="1"/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/>
    <row r="13109" ht="15.75" customHeight="1"/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/>
    <row r="13139" ht="15.75" customHeight="1"/>
    <row r="13140" ht="15.75" customHeight="1"/>
    <row r="13141" ht="15.75" customHeight="1"/>
    <row r="13142" ht="15.75" customHeight="1"/>
    <row r="13143" ht="15.75" customHeight="1"/>
    <row r="13144" ht="15.75" customHeight="1"/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/>
    <row r="13165" ht="15.75" customHeight="1"/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/>
    <row r="13189" ht="15.75" customHeight="1"/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/>
    <row r="13196" ht="15.75" customHeight="1"/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/>
    <row r="13203" ht="15.75" customHeight="1"/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/>
    <row r="13274" ht="15.75" customHeight="1"/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/>
    <row r="13352" ht="15.75" customHeight="1"/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/>
    <row r="13384" ht="15.75" customHeight="1"/>
    <row r="13385" ht="15.75" customHeight="1"/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/>
    <row r="13422" ht="15.75" customHeight="1"/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/>
    <row r="13515" ht="15.75" customHeight="1"/>
    <row r="13516" ht="15.75" customHeight="1"/>
    <row r="13517" ht="15.75" customHeight="1"/>
    <row r="13518" ht="15.75" customHeight="1"/>
    <row r="13519" ht="15.75" customHeight="1"/>
    <row r="13520" ht="15.75" customHeight="1"/>
    <row r="13521" ht="15.75" customHeight="1"/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/>
    <row r="13530" ht="15.75" customHeight="1"/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/>
    <row r="13545" ht="15.75" customHeight="1"/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/>
    <row r="13561" ht="15.75" customHeight="1"/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/>
    <row r="13618" ht="15.75" customHeight="1"/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/>
    <row r="13641" ht="15.75" customHeight="1"/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/>
    <row r="13689" ht="15.75" customHeight="1"/>
    <row r="13690" ht="15.75" customHeight="1"/>
    <row r="13691" ht="15.75" customHeight="1"/>
    <row r="13692" ht="15.75" customHeight="1"/>
    <row r="13693" ht="15.75" customHeight="1"/>
    <row r="13694" ht="15.75" customHeight="1"/>
    <row r="13695" ht="15.75" customHeight="1"/>
    <row r="13696" ht="15.75" customHeight="1"/>
    <row r="13697" ht="15.75" customHeight="1"/>
    <row r="13698" ht="15.75" customHeight="1"/>
    <row r="13699" ht="15.75" customHeight="1"/>
    <row r="13700" ht="15.75" customHeight="1"/>
    <row r="13701" ht="15.75" customHeight="1"/>
    <row r="13702" ht="15.75" customHeight="1"/>
    <row r="13703" ht="15.75" customHeight="1"/>
    <row r="13704" ht="15.75" customHeight="1"/>
    <row r="13705" ht="15.75" customHeight="1"/>
    <row r="13706" ht="15.75" customHeight="1"/>
    <row r="13707" ht="15.75" customHeight="1"/>
    <row r="13708" ht="15.75" customHeight="1"/>
    <row r="13709" ht="15.75" customHeight="1"/>
    <row r="13710" ht="15.75" customHeight="1"/>
    <row r="13711" ht="15.75" customHeight="1"/>
    <row r="13712" ht="15.75" customHeight="1"/>
    <row r="13713" ht="15.75" customHeight="1"/>
    <row r="13714" ht="15.75" customHeight="1"/>
    <row r="13715" ht="15.75" customHeight="1"/>
    <row r="13716" ht="15.75" customHeight="1"/>
    <row r="13717" ht="15.75" customHeight="1"/>
    <row r="13718" ht="15.75" customHeight="1"/>
    <row r="13719" ht="15.75" customHeight="1"/>
    <row r="13720" ht="15.75" customHeight="1"/>
    <row r="13721" ht="15.75" customHeight="1"/>
    <row r="13722" ht="15.75" customHeight="1"/>
    <row r="13723" ht="15.75" customHeight="1"/>
    <row r="13724" ht="15.75" customHeight="1"/>
    <row r="13725" ht="15.75" customHeight="1"/>
    <row r="13726" ht="15.75" customHeight="1"/>
    <row r="13727" ht="15.75" customHeight="1"/>
    <row r="13728" ht="15.75" customHeight="1"/>
    <row r="13729" ht="15.75" customHeight="1"/>
    <row r="13730" ht="15.75" customHeight="1"/>
    <row r="13731" ht="15.75" customHeight="1"/>
    <row r="13732" ht="15.75" customHeight="1"/>
    <row r="13733" ht="15.75" customHeight="1"/>
    <row r="13734" ht="15.75" customHeight="1"/>
    <row r="13735" ht="15.75" customHeight="1"/>
    <row r="13736" ht="15.75" customHeight="1"/>
    <row r="13737" ht="15.75" customHeight="1"/>
    <row r="13738" ht="15.75" customHeight="1"/>
    <row r="13739" ht="15.75" customHeight="1"/>
    <row r="13740" ht="15.75" customHeight="1"/>
    <row r="13741" ht="15.75" customHeight="1"/>
    <row r="13742" ht="15.75" customHeight="1"/>
    <row r="13743" ht="15.75" customHeight="1"/>
    <row r="13744" ht="15.75" customHeight="1"/>
    <row r="13745" ht="15.75" customHeight="1"/>
    <row r="13746" ht="15.75" customHeight="1"/>
    <row r="13747" ht="15.75" customHeight="1"/>
    <row r="13748" ht="15.75" customHeight="1"/>
    <row r="13749" ht="15.75" customHeight="1"/>
    <row r="13750" ht="15.75" customHeight="1"/>
    <row r="13751" ht="15.75" customHeight="1"/>
    <row r="13752" ht="15.75" customHeight="1"/>
    <row r="13753" ht="15.75" customHeight="1"/>
    <row r="13754" ht="15.75" customHeight="1"/>
    <row r="13755" ht="15.75" customHeight="1"/>
    <row r="13756" ht="15.75" customHeight="1"/>
    <row r="13757" ht="15.75" customHeight="1"/>
    <row r="13758" ht="15.75" customHeight="1"/>
    <row r="13759" ht="15.75" customHeight="1"/>
    <row r="13760" ht="15.75" customHeight="1"/>
    <row r="13761" ht="15.75" customHeight="1"/>
    <row r="13762" ht="15.75" customHeight="1"/>
    <row r="13763" ht="15.75" customHeight="1"/>
    <row r="13764" ht="15.75" customHeight="1"/>
    <row r="13765" ht="15.75" customHeight="1"/>
    <row r="13766" ht="15.75" customHeight="1"/>
    <row r="13767" ht="15.75" customHeight="1"/>
    <row r="13768" ht="15.75" customHeight="1"/>
    <row r="13769" ht="15.75" customHeight="1"/>
    <row r="13770" ht="15.75" customHeight="1"/>
    <row r="13771" ht="15.75" customHeight="1"/>
    <row r="13772" ht="15.75" customHeight="1"/>
    <row r="13773" ht="15.75" customHeight="1"/>
    <row r="13774" ht="15.75" customHeight="1"/>
    <row r="13775" ht="15.75" customHeight="1"/>
    <row r="13776" ht="15.75" customHeight="1"/>
    <row r="13777" ht="15.75" customHeight="1"/>
    <row r="13778" ht="15.75" customHeight="1"/>
    <row r="13779" ht="15.75" customHeight="1"/>
    <row r="13780" ht="15.75" customHeight="1"/>
    <row r="13781" ht="15.75" customHeight="1"/>
    <row r="13782" ht="15.75" customHeight="1"/>
    <row r="13783" ht="15.75" customHeight="1"/>
    <row r="13784" ht="15.75" customHeight="1"/>
    <row r="13785" ht="15.75" customHeight="1"/>
    <row r="13786" ht="15.75" customHeight="1"/>
    <row r="13787" ht="15.75" customHeight="1"/>
    <row r="13788" ht="15.75" customHeight="1"/>
    <row r="13789" ht="15.75" customHeight="1"/>
    <row r="13790" ht="15.75" customHeight="1"/>
    <row r="13791" ht="15.75" customHeight="1"/>
    <row r="13792" ht="15.75" customHeight="1"/>
    <row r="13793" ht="15.75" customHeight="1"/>
    <row r="13794" ht="15.75" customHeight="1"/>
    <row r="13795" ht="15.75" customHeight="1"/>
    <row r="13796" ht="15.75" customHeight="1"/>
    <row r="13797" ht="15.75" customHeight="1"/>
    <row r="13798" ht="15.75" customHeight="1"/>
    <row r="13799" ht="15.75" customHeight="1"/>
    <row r="13800" ht="15.75" customHeight="1"/>
    <row r="13801" ht="15.75" customHeight="1"/>
    <row r="13802" ht="15.75" customHeight="1"/>
    <row r="13803" ht="15.75" customHeight="1"/>
    <row r="13804" ht="15.75" customHeight="1"/>
    <row r="13805" ht="15.75" customHeight="1"/>
    <row r="13806" ht="15.75" customHeight="1"/>
    <row r="13807" ht="15.75" customHeight="1"/>
    <row r="13808" ht="15.75" customHeight="1"/>
    <row r="13809" ht="15.75" customHeight="1"/>
    <row r="13810" ht="15.75" customHeight="1"/>
    <row r="13811" ht="15.75" customHeight="1"/>
    <row r="13812" ht="15.75" customHeight="1"/>
    <row r="13813" ht="15.75" customHeight="1"/>
    <row r="13814" ht="15.75" customHeight="1"/>
    <row r="13815" ht="15.75" customHeight="1"/>
    <row r="13816" ht="15.75" customHeight="1"/>
    <row r="13817" ht="15.75" customHeight="1"/>
    <row r="13818" ht="15.75" customHeight="1"/>
    <row r="13819" ht="15.75" customHeight="1"/>
    <row r="13820" ht="15.75" customHeight="1"/>
    <row r="13821" ht="15.75" customHeight="1"/>
    <row r="13822" ht="15.75" customHeight="1"/>
    <row r="13823" ht="15.75" customHeight="1"/>
    <row r="13824" ht="15.75" customHeight="1"/>
    <row r="13825" ht="15.75" customHeight="1"/>
    <row r="13826" ht="15.75" customHeight="1"/>
    <row r="13827" ht="15.75" customHeight="1"/>
    <row r="13828" ht="15.75" customHeight="1"/>
    <row r="13829" ht="15.75" customHeight="1"/>
    <row r="13830" ht="15.75" customHeight="1"/>
    <row r="13831" ht="15.75" customHeight="1"/>
    <row r="13832" ht="15.75" customHeight="1"/>
    <row r="13833" ht="15.75" customHeight="1"/>
    <row r="13834" ht="15.75" customHeight="1"/>
    <row r="13835" ht="15.75" customHeight="1"/>
    <row r="13836" ht="15.75" customHeight="1"/>
    <row r="13837" ht="15.75" customHeight="1"/>
    <row r="13838" ht="15.75" customHeight="1"/>
    <row r="13839" ht="15.75" customHeight="1"/>
    <row r="13840" ht="15.75" customHeight="1"/>
    <row r="13841" ht="15.75" customHeight="1"/>
    <row r="13842" ht="15.75" customHeight="1"/>
    <row r="13843" ht="15.75" customHeight="1"/>
    <row r="13844" ht="15.75" customHeight="1"/>
    <row r="13845" ht="15.75" customHeight="1"/>
    <row r="13846" ht="15.75" customHeight="1"/>
    <row r="13847" ht="15.75" customHeight="1"/>
    <row r="13848" ht="15.75" customHeight="1"/>
    <row r="13849" ht="15.75" customHeight="1"/>
    <row r="13850" ht="15.75" customHeight="1"/>
    <row r="13851" ht="15.75" customHeight="1"/>
    <row r="13852" ht="15.75" customHeight="1"/>
    <row r="13853" ht="15.75" customHeight="1"/>
    <row r="13854" ht="15.75" customHeight="1"/>
    <row r="13855" ht="15.75" customHeight="1"/>
    <row r="13856" ht="15.75" customHeight="1"/>
    <row r="13857" ht="15.75" customHeight="1"/>
    <row r="13858" ht="15.75" customHeight="1"/>
    <row r="13859" ht="15.75" customHeight="1"/>
    <row r="13860" ht="15.75" customHeight="1"/>
    <row r="13861" ht="15.75" customHeight="1"/>
    <row r="13862" ht="15.75" customHeight="1"/>
    <row r="13863" ht="15.75" customHeight="1"/>
    <row r="13864" ht="15.75" customHeight="1"/>
    <row r="13865" ht="15.75" customHeight="1"/>
    <row r="13866" ht="15.75" customHeight="1"/>
    <row r="13867" ht="15.75" customHeight="1"/>
    <row r="13868" ht="15.75" customHeight="1"/>
    <row r="13869" ht="15.75" customHeight="1"/>
    <row r="13870" ht="15.75" customHeight="1"/>
    <row r="13871" ht="15.75" customHeight="1"/>
    <row r="13872" ht="15.75" customHeight="1"/>
    <row r="13873" ht="15.75" customHeight="1"/>
    <row r="13874" ht="15.75" customHeight="1"/>
    <row r="13875" ht="15.75" customHeight="1"/>
    <row r="13876" ht="15.75" customHeight="1"/>
    <row r="13877" ht="15.75" customHeight="1"/>
    <row r="13878" ht="15.75" customHeight="1"/>
    <row r="13879" ht="15.75" customHeight="1"/>
    <row r="13880" ht="15.75" customHeight="1"/>
    <row r="13881" ht="15.75" customHeight="1"/>
    <row r="13882" ht="15.75" customHeight="1"/>
    <row r="13883" ht="15.75" customHeight="1"/>
    <row r="13884" ht="15.75" customHeight="1"/>
    <row r="13885" ht="15.75" customHeight="1"/>
    <row r="13886" ht="15.75" customHeight="1"/>
    <row r="13887" ht="15.75" customHeight="1"/>
    <row r="13888" ht="15.75" customHeight="1"/>
    <row r="13889" ht="15.75" customHeight="1"/>
    <row r="13890" ht="15.75" customHeight="1"/>
    <row r="13891" ht="15.75" customHeight="1"/>
    <row r="13892" ht="15.75" customHeight="1"/>
    <row r="13893" ht="15.75" customHeight="1"/>
    <row r="13894" ht="15.75" customHeight="1"/>
    <row r="13895" ht="15.75" customHeight="1"/>
    <row r="13896" ht="15.75" customHeight="1"/>
    <row r="13897" ht="15.75" customHeight="1"/>
    <row r="13898" ht="15.75" customHeight="1"/>
    <row r="13899" ht="15.75" customHeight="1"/>
    <row r="13900" ht="15.75" customHeight="1"/>
    <row r="13901" ht="15.75" customHeight="1"/>
    <row r="13902" ht="15.75" customHeight="1"/>
    <row r="13903" ht="15.75" customHeight="1"/>
    <row r="13904" ht="15.75" customHeight="1"/>
    <row r="13905" ht="15.75" customHeight="1"/>
    <row r="13906" ht="15.75" customHeight="1"/>
    <row r="13907" ht="15.75" customHeight="1"/>
    <row r="13908" ht="15.75" customHeight="1"/>
    <row r="13909" ht="15.75" customHeight="1"/>
    <row r="13910" ht="15.75" customHeight="1"/>
    <row r="13911" ht="15.75" customHeight="1"/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/>
    <row r="13940" ht="15.75" customHeight="1"/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/>
    <row r="13957" ht="15.75" customHeight="1"/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/>
    <row r="13985" ht="15.75" customHeight="1"/>
    <row r="13986" ht="15.75" customHeight="1"/>
    <row r="13987" ht="15.75" customHeight="1"/>
    <row r="13988" ht="15.75" customHeight="1"/>
    <row r="13989" ht="15.75" customHeight="1"/>
    <row r="13990" ht="15.75" customHeight="1"/>
    <row r="13991" ht="15.75" customHeight="1"/>
    <row r="13992" ht="15.75" customHeight="1"/>
    <row r="13993" ht="15.75" customHeight="1"/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/>
    <row r="14015" ht="15.75" customHeight="1"/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/>
    <row r="14135" ht="15.75" customHeight="1"/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/>
    <row r="14142" ht="15.75" customHeight="1"/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/>
    <row r="14181" ht="15.75" customHeight="1"/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/>
    <row r="14188" ht="15.75" customHeight="1"/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/>
    <row r="14197" ht="15.75" customHeight="1"/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/>
    <row r="14207" ht="15.75" customHeight="1"/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/>
    <row r="14218" ht="15.75" customHeight="1"/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/>
    <row r="14327" ht="15.75" customHeight="1"/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/>
    <row r="14348" ht="15.75" customHeight="1"/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/>
    <row r="14357" ht="15.75" customHeight="1"/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/>
    <row r="14375" ht="15.75" customHeight="1"/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/>
    <row r="14407" ht="15.75" customHeight="1"/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/>
    <row r="14431" ht="15.75" customHeight="1"/>
    <row r="14432" ht="15.75" customHeight="1"/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/>
    <row r="14462" ht="15.75" customHeight="1"/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/>
    <row r="14520" ht="15.75" customHeight="1"/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/>
    <row r="14603" ht="15.75" customHeight="1"/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/>
    <row r="14660" ht="15.75" customHeight="1"/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/>
    <row r="14669" ht="15.75" customHeight="1"/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/>
    <row r="14682" ht="15.75" customHeight="1"/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/>
    <row r="14728" ht="15.75" customHeight="1"/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/>
    <row r="14770" ht="15.75" customHeight="1"/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  <row r="14838" ht="15.75" customHeight="1"/>
    <row r="14839" ht="15.75" customHeight="1"/>
    <row r="14840" ht="15.75" customHeight="1"/>
    <row r="14841" ht="15.75" customHeight="1"/>
    <row r="14842" ht="15.75" customHeight="1"/>
    <row r="14843" ht="15.75" customHeight="1"/>
    <row r="14844" ht="15.75" customHeight="1"/>
    <row r="14845" ht="15.75" customHeight="1"/>
    <row r="14846" ht="15.75" customHeight="1"/>
    <row r="14847" ht="15.75" customHeight="1"/>
    <row r="14848" ht="15.75" customHeight="1"/>
    <row r="14849" ht="15.75" customHeight="1"/>
    <row r="14850" ht="15.75" customHeight="1"/>
    <row r="14851" ht="15.75" customHeight="1"/>
    <row r="14852" ht="15.75" customHeight="1"/>
    <row r="14853" ht="15.75" customHeight="1"/>
    <row r="14854" ht="15.75" customHeight="1"/>
    <row r="14855" ht="15.75" customHeight="1"/>
    <row r="14856" ht="15.75" customHeight="1"/>
    <row r="14857" ht="15.75" customHeight="1"/>
    <row r="14858" ht="15.75" customHeight="1"/>
    <row r="14859" ht="15.75" customHeight="1"/>
    <row r="14860" ht="15.75" customHeight="1"/>
    <row r="14861" ht="15.75" customHeight="1"/>
    <row r="14862" ht="15.75" customHeight="1"/>
    <row r="14863" ht="15.75" customHeight="1"/>
    <row r="14864" ht="15.75" customHeight="1"/>
    <row r="14865" ht="15.75" customHeight="1"/>
    <row r="14866" ht="15.75" customHeight="1"/>
    <row r="14867" ht="15.75" customHeight="1"/>
    <row r="14868" ht="15.75" customHeight="1"/>
    <row r="14869" ht="15.75" customHeight="1"/>
    <row r="14870" ht="15.75" customHeight="1"/>
    <row r="14871" ht="15.75" customHeight="1"/>
    <row r="14872" ht="15.75" customHeight="1"/>
    <row r="14873" ht="15.75" customHeight="1"/>
    <row r="14874" ht="15.75" customHeight="1"/>
    <row r="14875" ht="15.75" customHeight="1"/>
    <row r="14876" ht="15.75" customHeight="1"/>
    <row r="14877" ht="15.75" customHeight="1"/>
    <row r="14878" ht="15.75" customHeight="1"/>
    <row r="14879" ht="15.75" customHeight="1"/>
    <row r="14880" ht="15.75" customHeight="1"/>
    <row r="14881" ht="15.75" customHeight="1"/>
    <row r="14882" ht="15.75" customHeight="1"/>
    <row r="14883" ht="15.75" customHeight="1"/>
    <row r="14884" ht="15.75" customHeight="1"/>
    <row r="14885" ht="15.75" customHeight="1"/>
    <row r="14886" ht="15.75" customHeight="1"/>
    <row r="14887" ht="15.75" customHeight="1"/>
    <row r="14888" ht="15.75" customHeight="1"/>
    <row r="14889" ht="15.75" customHeight="1"/>
    <row r="14890" ht="15.75" customHeight="1"/>
    <row r="14891" ht="15.75" customHeight="1"/>
    <row r="14892" ht="15.75" customHeight="1"/>
    <row r="14893" ht="15.75" customHeight="1"/>
    <row r="14894" ht="15.75" customHeight="1"/>
    <row r="14895" ht="15.75" customHeight="1"/>
    <row r="14896" ht="15.75" customHeight="1"/>
    <row r="14897" ht="15.75" customHeight="1"/>
    <row r="14898" ht="15.75" customHeight="1"/>
    <row r="14899" ht="15.75" customHeight="1"/>
    <row r="14900" ht="15.75" customHeight="1"/>
    <row r="14901" ht="15.75" customHeight="1"/>
    <row r="14902" ht="15.75" customHeight="1"/>
    <row r="14903" ht="15.75" customHeight="1"/>
    <row r="14904" ht="15.75" customHeight="1"/>
    <row r="14905" ht="15.75" customHeight="1"/>
    <row r="14906" ht="15.75" customHeight="1"/>
    <row r="14907" ht="15.75" customHeight="1"/>
    <row r="14908" ht="15.75" customHeight="1"/>
    <row r="14909" ht="15.75" customHeight="1"/>
    <row r="14910" ht="15.75" customHeight="1"/>
    <row r="14911" ht="15.75" customHeight="1"/>
    <row r="14912" ht="15.75" customHeight="1"/>
    <row r="14913" ht="15.75" customHeight="1"/>
    <row r="14914" ht="15.75" customHeight="1"/>
    <row r="14915" ht="15.75" customHeight="1"/>
    <row r="14916" ht="15.75" customHeight="1"/>
    <row r="14917" ht="15.75" customHeight="1"/>
    <row r="14918" ht="15.75" customHeight="1"/>
    <row r="14919" ht="15.75" customHeight="1"/>
    <row r="14920" ht="15.75" customHeight="1"/>
    <row r="14921" ht="15.75" customHeight="1"/>
    <row r="14922" ht="15.75" customHeight="1"/>
    <row r="14923" ht="15.75" customHeight="1"/>
    <row r="14924" ht="15.75" customHeight="1"/>
    <row r="14925" ht="15.75" customHeight="1"/>
    <row r="14926" ht="15.75" customHeight="1"/>
    <row r="14927" ht="15.75" customHeight="1"/>
    <row r="14928" ht="15.75" customHeight="1"/>
    <row r="14929" ht="15.75" customHeight="1"/>
    <row r="14930" ht="15.75" customHeight="1"/>
    <row r="14931" ht="15.75" customHeight="1"/>
    <row r="14932" ht="15.75" customHeight="1"/>
    <row r="14933" ht="15.75" customHeight="1"/>
    <row r="14934" ht="15.75" customHeight="1"/>
    <row r="14935" ht="15.75" customHeight="1"/>
    <row r="14936" ht="15.75" customHeight="1"/>
    <row r="14937" ht="15.75" customHeight="1"/>
    <row r="14938" ht="15.75" customHeight="1"/>
    <row r="14939" ht="15.75" customHeight="1"/>
    <row r="14940" ht="15.75" customHeight="1"/>
    <row r="14941" ht="15.75" customHeight="1"/>
    <row r="14942" ht="15.75" customHeight="1"/>
    <row r="14943" ht="15.75" customHeight="1"/>
    <row r="14944" ht="15.75" customHeight="1"/>
    <row r="14945" ht="15.75" customHeight="1"/>
    <row r="14946" ht="15.75" customHeight="1"/>
    <row r="14947" ht="15.75" customHeight="1"/>
    <row r="14948" ht="15.75" customHeight="1"/>
    <row r="14949" ht="15.75" customHeight="1"/>
    <row r="14950" ht="15.75" customHeight="1"/>
    <row r="14951" ht="15.75" customHeight="1"/>
    <row r="14952" ht="15.75" customHeight="1"/>
    <row r="14953" ht="15.75" customHeight="1"/>
    <row r="14954" ht="15.75" customHeight="1"/>
    <row r="14955" ht="15.75" customHeight="1"/>
    <row r="14956" ht="15.75" customHeight="1"/>
    <row r="14957" ht="15.75" customHeight="1"/>
    <row r="14958" ht="15.75" customHeight="1"/>
    <row r="14959" ht="15.75" customHeight="1"/>
    <row r="14960" ht="15.75" customHeight="1"/>
    <row r="14961" ht="15.75" customHeight="1"/>
    <row r="14962" ht="15.75" customHeight="1"/>
    <row r="14963" ht="15.75" customHeight="1"/>
    <row r="14964" ht="15.75" customHeight="1"/>
    <row r="14965" ht="15.75" customHeight="1"/>
    <row r="14966" ht="15.75" customHeight="1"/>
    <row r="14967" ht="15.75" customHeight="1"/>
    <row r="14968" ht="15.75" customHeight="1"/>
    <row r="14969" ht="15.75" customHeight="1"/>
    <row r="14970" ht="15.75" customHeight="1"/>
    <row r="14971" ht="15.75" customHeight="1"/>
    <row r="14972" ht="15.75" customHeight="1"/>
    <row r="14973" ht="15.75" customHeight="1"/>
    <row r="14974" ht="15.75" customHeight="1"/>
    <row r="14975" ht="15.75" customHeight="1"/>
    <row r="14976" ht="15.75" customHeight="1"/>
    <row r="14977" ht="15.75" customHeight="1"/>
    <row r="14978" ht="15.75" customHeight="1"/>
    <row r="14979" ht="15.75" customHeight="1"/>
    <row r="14980" ht="15.75" customHeight="1"/>
    <row r="14981" ht="15.75" customHeight="1"/>
    <row r="14982" ht="15.75" customHeight="1"/>
    <row r="14983" ht="15.75" customHeight="1"/>
    <row r="14984" ht="15.75" customHeight="1"/>
    <row r="14985" ht="15.75" customHeight="1"/>
    <row r="14986" ht="15.75" customHeight="1"/>
    <row r="14987" ht="15.75" customHeight="1"/>
    <row r="14988" ht="15.75" customHeight="1"/>
    <row r="14989" ht="15.75" customHeight="1"/>
    <row r="14990" ht="15.75" customHeight="1"/>
    <row r="14991" ht="15.75" customHeight="1"/>
    <row r="14992" ht="15.75" customHeight="1"/>
    <row r="14993" ht="15.75" customHeight="1"/>
    <row r="14994" ht="15.75" customHeight="1"/>
    <row r="14995" ht="15.75" customHeight="1"/>
    <row r="14996" ht="15.75" customHeight="1"/>
    <row r="14997" ht="15.75" customHeight="1"/>
    <row r="14998" ht="15.75" customHeight="1"/>
    <row r="14999" ht="15.75" customHeight="1"/>
    <row r="15000" ht="15.75" customHeight="1"/>
    <row r="15001" ht="15.75" customHeight="1"/>
    <row r="15002" ht="15.75" customHeight="1"/>
    <row r="15003" ht="15.75" customHeight="1"/>
    <row r="15004" ht="15.75" customHeight="1"/>
    <row r="15005" ht="15.75" customHeight="1"/>
    <row r="15006" ht="15.75" customHeight="1"/>
    <row r="15007" ht="15.75" customHeight="1"/>
    <row r="15008" ht="15.75" customHeight="1"/>
    <row r="15009" ht="15.75" customHeight="1"/>
    <row r="15010" ht="15.75" customHeight="1"/>
    <row r="15011" ht="15.75" customHeight="1"/>
    <row r="15012" ht="15.75" customHeight="1"/>
    <row r="15013" ht="15.75" customHeight="1"/>
    <row r="15014" ht="15.75" customHeight="1"/>
    <row r="15015" ht="15.75" customHeight="1"/>
    <row r="15016" ht="15.75" customHeight="1"/>
    <row r="15017" ht="15.75" customHeight="1"/>
    <row r="15018" ht="15.75" customHeight="1"/>
    <row r="15019" ht="15.75" customHeight="1"/>
    <row r="15020" ht="15.75" customHeight="1"/>
    <row r="15021" ht="15.75" customHeight="1"/>
    <row r="15022" ht="15.75" customHeight="1"/>
    <row r="15023" ht="15.75" customHeight="1"/>
    <row r="15024" ht="15.75" customHeight="1"/>
    <row r="15025" ht="15.75" customHeight="1"/>
    <row r="15026" ht="15.75" customHeight="1"/>
    <row r="15027" ht="15.75" customHeight="1"/>
    <row r="15028" ht="15.75" customHeight="1"/>
    <row r="15029" ht="15.75" customHeight="1"/>
    <row r="15030" ht="15.75" customHeight="1"/>
    <row r="15031" ht="15.75" customHeight="1"/>
    <row r="15032" ht="15.75" customHeight="1"/>
    <row r="15033" ht="15.75" customHeight="1"/>
    <row r="15034" ht="15.75" customHeight="1"/>
    <row r="15035" ht="15.75" customHeight="1"/>
    <row r="15036" ht="15.75" customHeight="1"/>
    <row r="15037" ht="15.75" customHeight="1"/>
    <row r="15038" ht="15.75" customHeight="1"/>
    <row r="15039" ht="15.75" customHeight="1"/>
    <row r="15040" ht="15.75" customHeight="1"/>
    <row r="15041" ht="15.75" customHeight="1"/>
    <row r="15042" ht="15.75" customHeight="1"/>
    <row r="15043" ht="15.75" customHeight="1"/>
    <row r="15044" ht="15.75" customHeight="1"/>
    <row r="15045" ht="15.75" customHeight="1"/>
    <row r="15046" ht="15.75" customHeight="1"/>
    <row r="15047" ht="15.75" customHeight="1"/>
    <row r="15048" ht="15.75" customHeight="1"/>
    <row r="15049" ht="15.75" customHeight="1"/>
    <row r="15050" ht="15.75" customHeight="1"/>
    <row r="15051" ht="15.75" customHeight="1"/>
    <row r="15052" ht="15.75" customHeight="1"/>
    <row r="15053" ht="15.75" customHeight="1"/>
    <row r="15054" ht="15.75" customHeight="1"/>
    <row r="15055" ht="15.75" customHeight="1"/>
    <row r="15056" ht="15.75" customHeight="1"/>
    <row r="15057" ht="15.75" customHeight="1"/>
    <row r="15058" ht="15.75" customHeight="1"/>
    <row r="15059" ht="15.75" customHeight="1"/>
    <row r="15060" ht="15.75" customHeight="1"/>
    <row r="15061" ht="15.75" customHeight="1"/>
    <row r="15062" ht="15.75" customHeight="1"/>
    <row r="15063" ht="15.75" customHeight="1"/>
    <row r="15064" ht="15.75" customHeight="1"/>
    <row r="15065" ht="15.75" customHeight="1"/>
    <row r="15066" ht="15.75" customHeight="1"/>
    <row r="15067" ht="15.75" customHeight="1"/>
    <row r="15068" ht="15.75" customHeight="1"/>
    <row r="15069" ht="15.75" customHeight="1"/>
    <row r="15070" ht="15.75" customHeight="1"/>
    <row r="15071" ht="15.75" customHeight="1"/>
    <row r="15072" ht="15.75" customHeight="1"/>
    <row r="15073" ht="15.75" customHeight="1"/>
    <row r="15074" ht="15.75" customHeight="1"/>
    <row r="15075" ht="15.75" customHeight="1"/>
    <row r="15076" ht="15.75" customHeight="1"/>
    <row r="15077" ht="15.75" customHeight="1"/>
    <row r="15078" ht="15.75" customHeight="1"/>
    <row r="15079" ht="15.75" customHeight="1"/>
    <row r="15080" ht="15.75" customHeight="1"/>
    <row r="15081" ht="15.75" customHeight="1"/>
    <row r="15082" ht="15.75" customHeight="1"/>
    <row r="15083" ht="15.75" customHeight="1"/>
    <row r="15084" ht="15.75" customHeight="1"/>
    <row r="15085" ht="15.75" customHeight="1"/>
    <row r="15086" ht="15.75" customHeight="1"/>
    <row r="15087" ht="15.75" customHeight="1"/>
    <row r="15088" ht="15.75" customHeight="1"/>
    <row r="15089" ht="15.75" customHeight="1"/>
    <row r="15090" ht="15.75" customHeight="1"/>
    <row r="15091" ht="15.75" customHeight="1"/>
    <row r="15092" ht="15.75" customHeight="1"/>
    <row r="15093" ht="15.75" customHeight="1"/>
    <row r="15094" ht="15.75" customHeight="1"/>
    <row r="15095" ht="15.75" customHeight="1"/>
    <row r="15096" ht="15.75" customHeight="1"/>
    <row r="15097" ht="15.75" customHeight="1"/>
    <row r="15098" ht="15.75" customHeight="1"/>
    <row r="15099" ht="15.75" customHeight="1"/>
    <row r="15100" ht="15.75" customHeight="1"/>
    <row r="15101" ht="15.75" customHeight="1"/>
    <row r="15102" ht="15.75" customHeight="1"/>
    <row r="15103" ht="15.75" customHeight="1"/>
    <row r="15104" ht="15.75" customHeight="1"/>
    <row r="15105" ht="15.75" customHeight="1"/>
    <row r="15106" ht="15.75" customHeight="1"/>
    <row r="15107" ht="15.75" customHeight="1"/>
    <row r="15108" ht="15.75" customHeight="1"/>
    <row r="15109" ht="15.75" customHeight="1"/>
    <row r="15110" ht="15.75" customHeight="1"/>
    <row r="15111" ht="15.75" customHeight="1"/>
    <row r="15112" ht="15.75" customHeight="1"/>
    <row r="15113" ht="15.75" customHeight="1"/>
    <row r="15114" ht="15.75" customHeight="1"/>
    <row r="15115" ht="15.75" customHeight="1"/>
    <row r="15116" ht="15.75" customHeight="1"/>
    <row r="15117" ht="15.75" customHeight="1"/>
    <row r="15118" ht="15.75" customHeight="1"/>
    <row r="15119" ht="15.75" customHeight="1"/>
    <row r="15120" ht="15.75" customHeight="1"/>
    <row r="15121" ht="15.75" customHeight="1"/>
    <row r="15122" ht="15.75" customHeight="1"/>
    <row r="15123" ht="15.75" customHeight="1"/>
    <row r="15124" ht="15.75" customHeight="1"/>
    <row r="15125" ht="15.75" customHeight="1"/>
    <row r="15126" ht="15.75" customHeight="1"/>
    <row r="15127" ht="15.75" customHeight="1"/>
    <row r="15128" ht="15.75" customHeight="1"/>
    <row r="15129" ht="15.75" customHeight="1"/>
    <row r="15130" ht="15.75" customHeight="1"/>
    <row r="15131" ht="15.75" customHeight="1"/>
    <row r="15132" ht="15.75" customHeight="1"/>
    <row r="15133" ht="15.75" customHeight="1"/>
    <row r="15134" ht="15.75" customHeight="1"/>
    <row r="15135" ht="15.75" customHeight="1"/>
    <row r="15136" ht="15.75" customHeight="1"/>
    <row r="15137" ht="15.75" customHeight="1"/>
    <row r="15138" ht="15.75" customHeight="1"/>
    <row r="15139" ht="15.75" customHeight="1"/>
    <row r="15140" ht="15.75" customHeight="1"/>
    <row r="15141" ht="15.75" customHeight="1"/>
    <row r="15142" ht="15.75" customHeight="1"/>
    <row r="15143" ht="15.75" customHeight="1"/>
    <row r="15144" ht="15.75" customHeight="1"/>
    <row r="15145" ht="15.75" customHeight="1"/>
    <row r="15146" ht="15.75" customHeight="1"/>
    <row r="15147" ht="15.75" customHeight="1"/>
    <row r="15148" ht="15.75" customHeight="1"/>
    <row r="15149" ht="15.75" customHeight="1"/>
    <row r="15150" ht="15.75" customHeight="1"/>
    <row r="15151" ht="15.75" customHeight="1"/>
    <row r="15152" ht="15.75" customHeight="1"/>
    <row r="15153" ht="15.75" customHeight="1"/>
    <row r="15154" ht="15.75" customHeight="1"/>
    <row r="15155" ht="15.75" customHeight="1"/>
    <row r="15156" ht="15.75" customHeight="1"/>
    <row r="15157" ht="15.75" customHeight="1"/>
    <row r="15158" ht="15.75" customHeight="1"/>
    <row r="15159" ht="15.75" customHeight="1"/>
    <row r="15160" ht="15.75" customHeight="1"/>
    <row r="15161" ht="15.75" customHeight="1"/>
    <row r="15162" ht="15.75" customHeight="1"/>
    <row r="15163" ht="15.75" customHeight="1"/>
    <row r="15164" ht="15.75" customHeight="1"/>
    <row r="15165" ht="15.75" customHeight="1"/>
    <row r="15166" ht="15.75" customHeight="1"/>
    <row r="15167" ht="15.75" customHeight="1"/>
    <row r="15168" ht="15.75" customHeight="1"/>
    <row r="15169" ht="15.75" customHeight="1"/>
    <row r="15170" ht="15.75" customHeight="1"/>
    <row r="15171" ht="15.75" customHeight="1"/>
    <row r="15172" ht="15.75" customHeight="1"/>
    <row r="15173" ht="15.75" customHeight="1"/>
    <row r="15174" ht="15.75" customHeight="1"/>
    <row r="15175" ht="15.75" customHeight="1"/>
    <row r="15176" ht="15.75" customHeight="1"/>
    <row r="15177" ht="15.75" customHeight="1"/>
    <row r="15178" ht="15.75" customHeight="1"/>
    <row r="15179" ht="15.75" customHeight="1"/>
    <row r="15180" ht="15.75" customHeight="1"/>
    <row r="15181" ht="15.75" customHeight="1"/>
    <row r="15182" ht="15.75" customHeight="1"/>
    <row r="15183" ht="15.75" customHeight="1"/>
    <row r="15184" ht="15.75" customHeight="1"/>
    <row r="15185" ht="15.75" customHeight="1"/>
    <row r="15186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0"/>
    <col customWidth="1" min="3" max="8" width="9.14"/>
    <col customWidth="1" min="9" max="9" width="22.86"/>
    <col customWidth="1" min="10" max="11" width="8.71"/>
    <col customWidth="1" min="12" max="12" width="14.0"/>
    <col customWidth="1" min="13" max="25" width="8.71"/>
  </cols>
  <sheetData>
    <row r="1">
      <c r="A1" s="2" t="s">
        <v>1</v>
      </c>
      <c r="B1" s="2"/>
      <c r="C1" s="3"/>
      <c r="D1" s="2"/>
      <c r="E1" s="2" t="s">
        <v>2</v>
      </c>
      <c r="F1" s="2"/>
      <c r="G1" s="3"/>
      <c r="H1" s="2"/>
      <c r="I1" s="2" t="s">
        <v>3</v>
      </c>
      <c r="J1" s="2"/>
      <c r="K1" s="2"/>
      <c r="L1" s="2" t="s">
        <v>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6">
        <v>100.0</v>
      </c>
      <c r="C2" s="9">
        <v>880.0</v>
      </c>
      <c r="D2" s="2"/>
      <c r="E2" s="2" t="s">
        <v>6</v>
      </c>
      <c r="F2" s="2">
        <v>0.1</v>
      </c>
      <c r="G2" s="9">
        <v>2300.0</v>
      </c>
      <c r="H2" s="2"/>
      <c r="I2" s="6">
        <v>100.0</v>
      </c>
      <c r="J2" s="9">
        <v>1200.0</v>
      </c>
      <c r="K2" s="2"/>
      <c r="L2" s="11">
        <v>50.0</v>
      </c>
      <c r="M2" s="2">
        <v>740.0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6">
        <v>200.0</v>
      </c>
      <c r="C3" s="9">
        <v>1060.0</v>
      </c>
      <c r="D3" s="2"/>
      <c r="E3" s="2"/>
      <c r="F3" s="2">
        <v>0.5</v>
      </c>
      <c r="G3" s="9">
        <v>2300.0</v>
      </c>
      <c r="H3" s="2"/>
      <c r="I3" s="6">
        <v>200.0</v>
      </c>
      <c r="J3" s="9">
        <v>1410.0</v>
      </c>
      <c r="K3" s="2"/>
      <c r="L3" s="11">
        <v>100.0</v>
      </c>
      <c r="M3" s="2">
        <v>880.0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6">
        <v>300.0</v>
      </c>
      <c r="C4" s="9">
        <v>1240.0</v>
      </c>
      <c r="D4" s="2"/>
      <c r="E4" s="2" t="s">
        <v>8</v>
      </c>
      <c r="F4" s="2">
        <v>0.1</v>
      </c>
      <c r="G4" s="9">
        <v>2800.0</v>
      </c>
      <c r="H4" s="2"/>
      <c r="I4" s="6">
        <v>300.0</v>
      </c>
      <c r="J4" s="9">
        <v>1620.0</v>
      </c>
      <c r="K4" s="2"/>
      <c r="L4" s="11">
        <v>250.0</v>
      </c>
      <c r="M4" s="2">
        <v>1180.0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6">
        <v>400.0</v>
      </c>
      <c r="C5" s="9">
        <v>1420.0</v>
      </c>
      <c r="D5" s="2"/>
      <c r="E5" s="2"/>
      <c r="F5" s="2">
        <v>0.5</v>
      </c>
      <c r="G5" s="9">
        <v>2800.0</v>
      </c>
      <c r="H5" s="2"/>
      <c r="I5" s="6">
        <v>400.0</v>
      </c>
      <c r="J5" s="9">
        <v>1830.0</v>
      </c>
      <c r="K5" s="2"/>
      <c r="L5" s="11">
        <v>500.0</v>
      </c>
      <c r="M5" s="2">
        <v>1720.0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6">
        <v>500.0</v>
      </c>
      <c r="C6" s="9">
        <v>1600.0</v>
      </c>
      <c r="D6" s="2"/>
      <c r="E6" s="2"/>
      <c r="F6" s="2">
        <v>1.0</v>
      </c>
      <c r="G6" s="9">
        <v>3300.0</v>
      </c>
      <c r="H6" s="2"/>
      <c r="I6" s="6">
        <v>500.0</v>
      </c>
      <c r="J6" s="9">
        <v>2040.0</v>
      </c>
      <c r="K6" s="2"/>
      <c r="L6" s="11">
        <v>1000.0</v>
      </c>
      <c r="M6" s="2">
        <v>3320.0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6">
        <v>600.0</v>
      </c>
      <c r="C7" s="9">
        <v>1780.0</v>
      </c>
      <c r="D7" s="2"/>
      <c r="E7" s="2"/>
      <c r="F7" s="2">
        <v>1.5</v>
      </c>
      <c r="G7" s="9">
        <v>3800.0</v>
      </c>
      <c r="H7" s="2"/>
      <c r="I7" s="6">
        <v>600.0</v>
      </c>
      <c r="J7" s="9">
        <v>2250.0</v>
      </c>
      <c r="K7" s="2"/>
      <c r="L7" s="11">
        <v>2000.0</v>
      </c>
      <c r="M7" s="2">
        <v>5460.0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6">
        <v>700.0</v>
      </c>
      <c r="C8" s="9">
        <v>1960.0</v>
      </c>
      <c r="D8" s="2"/>
      <c r="E8" s="2"/>
      <c r="F8" s="2">
        <v>2.0</v>
      </c>
      <c r="G8" s="9">
        <v>4200.0</v>
      </c>
      <c r="H8" s="2"/>
      <c r="I8" s="6">
        <v>700.0</v>
      </c>
      <c r="J8" s="9">
        <v>2460.0</v>
      </c>
      <c r="K8" s="2"/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6">
        <v>800.0</v>
      </c>
      <c r="C9" s="9">
        <v>2140.0</v>
      </c>
      <c r="D9" s="2"/>
      <c r="E9" s="2"/>
      <c r="F9" s="2">
        <v>2.5</v>
      </c>
      <c r="G9" s="9">
        <v>4700.0</v>
      </c>
      <c r="H9" s="2"/>
      <c r="I9" s="6">
        <v>800.0</v>
      </c>
      <c r="J9" s="9">
        <v>2670.0</v>
      </c>
      <c r="K9" s="2"/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6">
        <v>900.0</v>
      </c>
      <c r="C10" s="9">
        <v>2320.0</v>
      </c>
      <c r="D10" s="2"/>
      <c r="E10" s="2" t="s">
        <v>12</v>
      </c>
      <c r="F10" s="2">
        <v>0.1</v>
      </c>
      <c r="G10" s="9">
        <v>2800.0</v>
      </c>
      <c r="H10" s="2"/>
      <c r="I10" s="6">
        <v>900.0</v>
      </c>
      <c r="J10" s="9">
        <v>2880.0</v>
      </c>
      <c r="K10" s="2"/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6">
        <v>1000.0</v>
      </c>
      <c r="C11" s="9">
        <v>2500.0</v>
      </c>
      <c r="D11" s="2"/>
      <c r="E11" s="2"/>
      <c r="F11" s="2">
        <v>0.5</v>
      </c>
      <c r="G11" s="9">
        <v>2800.0</v>
      </c>
      <c r="H11" s="2"/>
      <c r="I11" s="6">
        <v>1000.0</v>
      </c>
      <c r="J11" s="9">
        <v>3090.0</v>
      </c>
      <c r="K11" s="2"/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6">
        <v>1100.0</v>
      </c>
      <c r="C12" s="9">
        <v>2680.0</v>
      </c>
      <c r="D12" s="2"/>
      <c r="E12" s="2"/>
      <c r="F12" s="2">
        <v>1.0</v>
      </c>
      <c r="G12" s="9">
        <v>3100.0</v>
      </c>
      <c r="H12" s="2"/>
      <c r="I12" s="6">
        <v>1100.0</v>
      </c>
      <c r="J12" s="9">
        <v>3300.0</v>
      </c>
      <c r="K12" s="2"/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6">
        <v>1200.0</v>
      </c>
      <c r="C13" s="9">
        <v>2860.0</v>
      </c>
      <c r="D13" s="2"/>
      <c r="E13" s="2"/>
      <c r="F13" s="2">
        <v>2.0</v>
      </c>
      <c r="G13" s="9">
        <v>3300.0</v>
      </c>
      <c r="H13" s="2"/>
      <c r="I13" s="6">
        <v>1200.0</v>
      </c>
      <c r="J13" s="9">
        <v>3510.0</v>
      </c>
      <c r="K13" s="2"/>
      <c r="L13" s="1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6">
        <v>1300.0</v>
      </c>
      <c r="C14" s="9">
        <v>3040.0</v>
      </c>
      <c r="D14" s="2"/>
      <c r="E14" s="2"/>
      <c r="F14" s="2">
        <v>3.0</v>
      </c>
      <c r="G14" s="9">
        <v>4300.0</v>
      </c>
      <c r="H14" s="2"/>
      <c r="I14" s="6">
        <v>1300.0</v>
      </c>
      <c r="J14" s="9">
        <v>3720.0</v>
      </c>
      <c r="K14" s="2"/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6">
        <v>1400.0</v>
      </c>
      <c r="C15" s="9">
        <v>3220.0</v>
      </c>
      <c r="D15" s="2"/>
      <c r="E15" s="2"/>
      <c r="F15" s="2">
        <v>4.0</v>
      </c>
      <c r="G15" s="9">
        <v>4900.0</v>
      </c>
      <c r="H15" s="2"/>
      <c r="I15" s="6">
        <v>1400.0</v>
      </c>
      <c r="J15" s="9">
        <v>3930.0</v>
      </c>
      <c r="K15" s="2"/>
      <c r="L15" s="1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6">
        <v>1500.0</v>
      </c>
      <c r="C16" s="9">
        <v>3400.0</v>
      </c>
      <c r="D16" s="2"/>
      <c r="E16" s="2"/>
      <c r="F16" s="2">
        <v>5.0</v>
      </c>
      <c r="G16" s="9">
        <v>6000.0</v>
      </c>
      <c r="H16" s="2"/>
      <c r="I16" s="6">
        <v>1500.0</v>
      </c>
      <c r="J16" s="9">
        <v>4140.0</v>
      </c>
      <c r="K16" s="2"/>
      <c r="L16" s="1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6">
        <v>1600.0</v>
      </c>
      <c r="C17" s="9">
        <v>3580.0</v>
      </c>
      <c r="D17" s="2"/>
      <c r="E17" s="2"/>
      <c r="F17" s="2">
        <v>6.0</v>
      </c>
      <c r="G17" s="9">
        <v>7500.0</v>
      </c>
      <c r="H17" s="2"/>
      <c r="I17" s="6">
        <v>1600.0</v>
      </c>
      <c r="J17" s="9">
        <v>4350.0</v>
      </c>
      <c r="K17" s="2"/>
      <c r="L17" s="1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6">
        <v>1700.0</v>
      </c>
      <c r="C18" s="9">
        <v>3760.0</v>
      </c>
      <c r="D18" s="2"/>
      <c r="E18" s="2"/>
      <c r="F18" s="2">
        <v>7.0</v>
      </c>
      <c r="G18" s="9">
        <v>7900.0</v>
      </c>
      <c r="H18" s="2"/>
      <c r="I18" s="6">
        <v>1700.0</v>
      </c>
      <c r="J18" s="9">
        <v>4560.0</v>
      </c>
      <c r="K18" s="2"/>
      <c r="L18" s="1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6">
        <v>1800.0</v>
      </c>
      <c r="C19" s="9">
        <v>3940.0</v>
      </c>
      <c r="D19" s="2"/>
      <c r="E19" s="2"/>
      <c r="F19" s="2">
        <v>8.0</v>
      </c>
      <c r="G19" s="9">
        <v>8200.0</v>
      </c>
      <c r="H19" s="2"/>
      <c r="I19" s="6">
        <v>1800.0</v>
      </c>
      <c r="J19" s="9">
        <v>4770.0</v>
      </c>
      <c r="K19" s="2"/>
      <c r="L19" s="1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6">
        <v>1900.0</v>
      </c>
      <c r="C20" s="9">
        <v>4120.0</v>
      </c>
      <c r="D20" s="2"/>
      <c r="E20" s="2"/>
      <c r="F20" s="2">
        <v>9.0</v>
      </c>
      <c r="G20" s="9">
        <v>8600.0</v>
      </c>
      <c r="H20" s="2"/>
      <c r="I20" s="6">
        <v>1900.0</v>
      </c>
      <c r="J20" s="9">
        <v>4980.0</v>
      </c>
      <c r="K20" s="2"/>
      <c r="L20" s="1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6">
        <v>2000.0</v>
      </c>
      <c r="C21" s="9">
        <v>4300.0</v>
      </c>
      <c r="D21" s="2"/>
      <c r="E21" s="2"/>
      <c r="F21" s="2">
        <v>10.0</v>
      </c>
      <c r="G21" s="9">
        <v>11100.0</v>
      </c>
      <c r="H21" s="2"/>
      <c r="I21" s="6">
        <v>2000.0</v>
      </c>
      <c r="J21" s="9">
        <v>5190.0</v>
      </c>
      <c r="K21" s="2"/>
      <c r="L21" s="1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3"/>
      <c r="D22" s="2"/>
      <c r="E22" s="2"/>
      <c r="F22" s="2">
        <v>11.0</v>
      </c>
      <c r="G22" s="3">
        <v>11500.0</v>
      </c>
      <c r="H22" s="2"/>
      <c r="I22" s="2"/>
      <c r="J22" s="2"/>
      <c r="K22" s="2"/>
      <c r="L22" s="1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 t="s">
        <v>17</v>
      </c>
      <c r="B23" s="6">
        <v>500.0</v>
      </c>
      <c r="C23" s="9">
        <v>3900.0</v>
      </c>
      <c r="D23" s="2"/>
      <c r="E23" s="2"/>
      <c r="F23" s="2">
        <v>12.0</v>
      </c>
      <c r="G23" s="9">
        <v>11900.0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6">
        <v>600.0</v>
      </c>
      <c r="C24" s="9">
        <v>4180.0</v>
      </c>
      <c r="D24" s="2"/>
      <c r="E24" s="2"/>
      <c r="F24" s="2">
        <v>13.0</v>
      </c>
      <c r="G24" s="9">
        <v>14300.0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6">
        <v>700.0</v>
      </c>
      <c r="C25" s="9">
        <v>4460.0</v>
      </c>
      <c r="D25" s="2"/>
      <c r="E25" s="2"/>
      <c r="F25" s="2">
        <v>14.0</v>
      </c>
      <c r="G25" s="9">
        <v>14800.0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6">
        <v>800.0</v>
      </c>
      <c r="C26" s="9">
        <v>4740.0</v>
      </c>
      <c r="D26" s="2"/>
      <c r="E26" s="2"/>
      <c r="F26" s="2">
        <v>15.0</v>
      </c>
      <c r="G26" s="9">
        <v>15300.0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6">
        <v>900.0</v>
      </c>
      <c r="C27" s="9">
        <v>5020.0</v>
      </c>
      <c r="D27" s="2"/>
      <c r="E27" s="2"/>
      <c r="F27" s="2">
        <v>16.0</v>
      </c>
      <c r="G27" s="9">
        <v>18000.0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6">
        <v>1000.0</v>
      </c>
      <c r="C28" s="9">
        <v>5300.0</v>
      </c>
      <c r="D28" s="2"/>
      <c r="E28" s="2"/>
      <c r="F28" s="2">
        <v>17.0</v>
      </c>
      <c r="G28" s="9">
        <v>18600.0</v>
      </c>
      <c r="H28" s="2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6">
        <v>1250.0</v>
      </c>
      <c r="C29" s="9">
        <v>5990.0</v>
      </c>
      <c r="D29" s="2"/>
      <c r="E29" s="2"/>
      <c r="F29" s="2">
        <v>18.0</v>
      </c>
      <c r="G29" s="9">
        <v>19100.0</v>
      </c>
      <c r="H29" s="2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6">
        <v>1500.0</v>
      </c>
      <c r="C30" s="9">
        <v>6600.0</v>
      </c>
      <c r="D30" s="2"/>
      <c r="E30" s="2"/>
      <c r="F30" s="2">
        <v>19.0</v>
      </c>
      <c r="G30" s="9">
        <v>19700.0</v>
      </c>
      <c r="H30" s="2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6">
        <v>1750.0</v>
      </c>
      <c r="C31" s="9">
        <v>7290.0</v>
      </c>
      <c r="D31" s="2"/>
      <c r="E31" s="2"/>
      <c r="F31" s="2">
        <v>20.0</v>
      </c>
      <c r="G31" s="9">
        <v>20200.0</v>
      </c>
      <c r="H31" s="2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6">
        <v>2000.0</v>
      </c>
      <c r="C32" s="9">
        <v>7900.0</v>
      </c>
      <c r="D32" s="2"/>
      <c r="E32" s="2" t="s">
        <v>23</v>
      </c>
      <c r="F32" s="2">
        <v>0.1</v>
      </c>
      <c r="G32" s="9">
        <v>2700.0</v>
      </c>
      <c r="H32" s="2"/>
      <c r="I32" s="2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6">
        <v>2500.0</v>
      </c>
      <c r="C33" s="9">
        <v>9100.0</v>
      </c>
      <c r="D33" s="2"/>
      <c r="E33" s="2"/>
      <c r="F33" s="2">
        <v>0.5</v>
      </c>
      <c r="G33" s="9">
        <v>2700.0</v>
      </c>
      <c r="H33" s="2"/>
      <c r="I33" s="2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6">
        <v>3000.0</v>
      </c>
      <c r="C34" s="9">
        <v>10300.0</v>
      </c>
      <c r="D34" s="2"/>
      <c r="E34" s="2"/>
      <c r="F34" s="2">
        <v>1.0</v>
      </c>
      <c r="G34" s="9">
        <v>3000.0</v>
      </c>
      <c r="H34" s="2"/>
      <c r="I34" s="2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6">
        <v>3500.0</v>
      </c>
      <c r="C35" s="9">
        <v>11500.0</v>
      </c>
      <c r="D35" s="2"/>
      <c r="E35" s="2"/>
      <c r="F35" s="2">
        <v>2.0</v>
      </c>
      <c r="G35" s="9">
        <v>3200.0</v>
      </c>
      <c r="H35" s="2"/>
      <c r="I35" s="2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6">
        <v>4000.0</v>
      </c>
      <c r="C36" s="9">
        <v>12700.0</v>
      </c>
      <c r="D36" s="2"/>
      <c r="E36" s="2"/>
      <c r="F36" s="2">
        <v>3.0</v>
      </c>
      <c r="G36" s="9">
        <v>4200.0</v>
      </c>
      <c r="H36" s="2"/>
      <c r="I36" s="2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6">
        <v>4500.0</v>
      </c>
      <c r="C37" s="9">
        <v>13900.0</v>
      </c>
      <c r="D37" s="2"/>
      <c r="E37" s="2"/>
      <c r="F37" s="2">
        <v>4.0</v>
      </c>
      <c r="G37" s="9">
        <v>4800.0</v>
      </c>
      <c r="H37" s="2"/>
      <c r="I37" s="2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6">
        <v>5000.0</v>
      </c>
      <c r="C38" s="9">
        <v>15100.0</v>
      </c>
      <c r="D38" s="2"/>
      <c r="E38" s="2"/>
      <c r="F38" s="2">
        <v>5.0</v>
      </c>
      <c r="G38" s="9">
        <v>5900.0</v>
      </c>
      <c r="H38" s="2"/>
      <c r="I38" s="2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6">
        <v>5500.0</v>
      </c>
      <c r="C39" s="9">
        <v>16300.0</v>
      </c>
      <c r="D39" s="2"/>
      <c r="E39" s="2"/>
      <c r="F39" s="2">
        <v>6.0</v>
      </c>
      <c r="G39" s="9">
        <v>7400.0</v>
      </c>
      <c r="H39" s="2"/>
      <c r="I39" s="2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6">
        <v>6000.0</v>
      </c>
      <c r="C40" s="9">
        <v>17500.0</v>
      </c>
      <c r="D40" s="2"/>
      <c r="E40" s="2"/>
      <c r="F40" s="2">
        <v>7.0</v>
      </c>
      <c r="G40" s="9">
        <v>7700.0</v>
      </c>
      <c r="H40" s="2"/>
      <c r="I40" s="2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6">
        <v>7000.0</v>
      </c>
      <c r="C41" s="9">
        <v>19900.0</v>
      </c>
      <c r="D41" s="2"/>
      <c r="E41" s="2"/>
      <c r="F41" s="2">
        <v>8.0</v>
      </c>
      <c r="G41" s="9">
        <v>8100.0</v>
      </c>
      <c r="H41" s="2"/>
      <c r="I41" s="2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6">
        <v>8000.0</v>
      </c>
      <c r="C42" s="9">
        <v>22300.0</v>
      </c>
      <c r="D42" s="2"/>
      <c r="E42" s="2"/>
      <c r="F42" s="2">
        <v>9.0</v>
      </c>
      <c r="G42" s="9">
        <v>8400.0</v>
      </c>
      <c r="H42" s="2"/>
      <c r="I42" s="26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6">
        <v>9000.0</v>
      </c>
      <c r="C43" s="9">
        <v>24700.0</v>
      </c>
      <c r="D43" s="2"/>
      <c r="E43" s="2"/>
      <c r="F43" s="2">
        <v>10.0</v>
      </c>
      <c r="G43" s="9">
        <v>10900.0</v>
      </c>
      <c r="H43" s="2"/>
      <c r="I43" s="2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6">
        <v>10000.0</v>
      </c>
      <c r="C44" s="9">
        <v>27100.0</v>
      </c>
      <c r="D44" s="2"/>
      <c r="E44" s="2"/>
      <c r="F44" s="2">
        <v>11.0</v>
      </c>
      <c r="G44" s="9">
        <v>11100.0</v>
      </c>
      <c r="H44" s="2"/>
      <c r="I44" s="2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6">
        <v>11000.0</v>
      </c>
      <c r="C45" s="9">
        <v>29500.0</v>
      </c>
      <c r="D45" s="2"/>
      <c r="E45" s="2"/>
      <c r="F45" s="2">
        <v>12.0</v>
      </c>
      <c r="G45" s="9">
        <v>11400.0</v>
      </c>
      <c r="H45" s="2"/>
      <c r="I45" s="2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6">
        <v>12000.0</v>
      </c>
      <c r="C46" s="9">
        <v>31900.0</v>
      </c>
      <c r="D46" s="2"/>
      <c r="E46" s="2"/>
      <c r="F46" s="2">
        <v>13.0</v>
      </c>
      <c r="G46" s="9">
        <v>13500.0</v>
      </c>
      <c r="H46" s="2"/>
      <c r="I46" s="2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6">
        <v>13000.0</v>
      </c>
      <c r="C47" s="9">
        <v>34300.0</v>
      </c>
      <c r="D47" s="2"/>
      <c r="E47" s="2"/>
      <c r="F47" s="2">
        <v>14.0</v>
      </c>
      <c r="G47" s="9">
        <v>13800.0</v>
      </c>
      <c r="H47" s="2"/>
      <c r="I47" s="2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6">
        <v>14000.0</v>
      </c>
      <c r="C48" s="9">
        <v>36700.0</v>
      </c>
      <c r="D48" s="2"/>
      <c r="E48" s="2"/>
      <c r="F48" s="2">
        <v>15.0</v>
      </c>
      <c r="G48" s="9">
        <v>14000.0</v>
      </c>
      <c r="H48" s="2"/>
      <c r="I48" s="2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6">
        <v>15000.0</v>
      </c>
      <c r="C49" s="9">
        <v>39100.0</v>
      </c>
      <c r="D49" s="2"/>
      <c r="E49" s="2"/>
      <c r="F49" s="2">
        <v>16.0</v>
      </c>
      <c r="G49" s="9">
        <v>16400.0</v>
      </c>
      <c r="H49" s="2"/>
      <c r="I49" s="2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6">
        <v>16000.0</v>
      </c>
      <c r="C50" s="9">
        <v>41500.0</v>
      </c>
      <c r="D50" s="2"/>
      <c r="E50" s="2"/>
      <c r="F50" s="2">
        <v>17.0</v>
      </c>
      <c r="G50" s="9">
        <v>16700.0</v>
      </c>
      <c r="H50" s="2"/>
      <c r="I50" s="2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6">
        <v>17000.0</v>
      </c>
      <c r="C51" s="9">
        <v>43900.0</v>
      </c>
      <c r="D51" s="2"/>
      <c r="E51" s="2"/>
      <c r="F51" s="2">
        <v>18.0</v>
      </c>
      <c r="G51" s="9">
        <v>17000.0</v>
      </c>
      <c r="H51" s="2"/>
      <c r="I51" s="2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6">
        <v>18000.0</v>
      </c>
      <c r="C52" s="9">
        <v>46300.0</v>
      </c>
      <c r="D52" s="2"/>
      <c r="E52" s="2"/>
      <c r="F52" s="2">
        <v>19.0</v>
      </c>
      <c r="G52" s="9">
        <v>17400.0</v>
      </c>
      <c r="H52" s="2"/>
      <c r="I52" s="2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6">
        <v>19000.0</v>
      </c>
      <c r="C53" s="9">
        <v>48700.0</v>
      </c>
      <c r="D53" s="2"/>
      <c r="E53" s="2"/>
      <c r="F53" s="2">
        <v>20.0</v>
      </c>
      <c r="G53" s="9">
        <v>17700.0</v>
      </c>
      <c r="H53" s="2"/>
      <c r="I53" s="2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6">
        <v>20000.0</v>
      </c>
      <c r="C54" s="9">
        <v>51100.0</v>
      </c>
      <c r="D54" s="2"/>
      <c r="E54" s="2"/>
      <c r="F54" s="2"/>
      <c r="G54" s="9"/>
      <c r="H54" s="2"/>
      <c r="I54" s="26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6">
        <v>21000.0</v>
      </c>
      <c r="C55" s="9">
        <v>53500.0</v>
      </c>
      <c r="D55" s="2"/>
      <c r="E55" s="2"/>
      <c r="F55" s="2"/>
      <c r="G55" s="9"/>
      <c r="H55" s="2"/>
      <c r="I55" s="26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6">
        <v>22000.0</v>
      </c>
      <c r="C56" s="9">
        <v>55900.0</v>
      </c>
      <c r="D56" s="2"/>
      <c r="E56" s="2"/>
      <c r="F56" s="2"/>
      <c r="G56" s="9"/>
      <c r="H56" s="2"/>
      <c r="I56" s="26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6">
        <v>23000.0</v>
      </c>
      <c r="C57" s="9">
        <v>58300.0</v>
      </c>
      <c r="D57" s="2"/>
      <c r="E57" s="2"/>
      <c r="F57" s="2"/>
      <c r="G57" s="9"/>
      <c r="H57" s="2"/>
      <c r="I57" s="2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6">
        <v>24000.0</v>
      </c>
      <c r="C58" s="9">
        <v>60700.0</v>
      </c>
      <c r="D58" s="2"/>
      <c r="E58" s="2"/>
      <c r="F58" s="2"/>
      <c r="G58" s="9"/>
      <c r="H58" s="2"/>
      <c r="I58" s="2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6">
        <v>25000.0</v>
      </c>
      <c r="C59" s="9">
        <v>63100.0</v>
      </c>
      <c r="D59" s="2"/>
      <c r="E59" s="2"/>
      <c r="F59" s="2"/>
      <c r="G59" s="9"/>
      <c r="H59" s="2"/>
      <c r="I59" s="26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6">
        <v>26000.0</v>
      </c>
      <c r="C60" s="9">
        <v>65500.0</v>
      </c>
      <c r="D60" s="2"/>
      <c r="E60" s="2"/>
      <c r="F60" s="2"/>
      <c r="G60" s="9"/>
      <c r="H60" s="2"/>
      <c r="I60" s="2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6">
        <v>27000.0</v>
      </c>
      <c r="C61" s="9">
        <v>67900.0</v>
      </c>
      <c r="D61" s="2"/>
      <c r="E61" s="2"/>
      <c r="F61" s="2"/>
      <c r="G61" s="9"/>
      <c r="H61" s="2"/>
      <c r="I61" s="2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6">
        <v>28000.0</v>
      </c>
      <c r="C62" s="9">
        <v>70300.0</v>
      </c>
      <c r="D62" s="2"/>
      <c r="E62" s="2"/>
      <c r="F62" s="2"/>
      <c r="G62" s="9"/>
      <c r="H62" s="2"/>
      <c r="I62" s="2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6">
        <v>29000.0</v>
      </c>
      <c r="C63" s="9">
        <v>72700.0</v>
      </c>
      <c r="D63" s="2"/>
      <c r="E63" s="2"/>
      <c r="F63" s="2"/>
      <c r="G63" s="9"/>
      <c r="H63" s="2"/>
      <c r="I63" s="2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6">
        <v>30000.0</v>
      </c>
      <c r="C64" s="9">
        <v>75100.0</v>
      </c>
      <c r="D64" s="2"/>
      <c r="E64" s="2"/>
      <c r="F64" s="2"/>
      <c r="G64" s="9"/>
      <c r="H64" s="2"/>
      <c r="I64" s="2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3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 t="s">
        <v>32</v>
      </c>
      <c r="B66" s="6">
        <v>50.0</v>
      </c>
      <c r="C66" s="9">
        <v>710.0</v>
      </c>
      <c r="D66" s="2"/>
      <c r="E66" s="2"/>
      <c r="F66" s="2"/>
      <c r="G66" s="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6">
        <v>100.0</v>
      </c>
      <c r="C67" s="9">
        <v>850.0</v>
      </c>
      <c r="D67" s="2"/>
      <c r="E67" s="2"/>
      <c r="F67" s="2"/>
      <c r="G67" s="9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6">
        <v>200.0</v>
      </c>
      <c r="C68" s="9">
        <v>1060.0</v>
      </c>
      <c r="D68" s="2"/>
      <c r="E68" s="2"/>
      <c r="F68" s="2"/>
      <c r="G68" s="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6">
        <v>300.0</v>
      </c>
      <c r="C69" s="9">
        <v>1270.0</v>
      </c>
      <c r="D69" s="2"/>
      <c r="E69" s="2"/>
      <c r="F69" s="2"/>
      <c r="G69" s="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6">
        <v>400.0</v>
      </c>
      <c r="C70" s="9">
        <v>1480.0</v>
      </c>
      <c r="D70" s="2"/>
      <c r="E70" s="2"/>
      <c r="F70" s="2"/>
      <c r="G70" s="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6">
        <v>500.0</v>
      </c>
      <c r="C71" s="9">
        <v>1690.0</v>
      </c>
      <c r="D71" s="2"/>
      <c r="E71" s="2"/>
      <c r="F71" s="2"/>
      <c r="G71" s="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6">
        <v>600.0</v>
      </c>
      <c r="C72" s="9">
        <v>2330.0</v>
      </c>
      <c r="D72" s="2"/>
      <c r="E72" s="2"/>
      <c r="F72" s="2"/>
      <c r="G72" s="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6">
        <v>700.0</v>
      </c>
      <c r="C73" s="9">
        <v>2540.0</v>
      </c>
      <c r="D73" s="2"/>
      <c r="E73" s="2"/>
      <c r="F73" s="2"/>
      <c r="G73" s="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6">
        <v>800.0</v>
      </c>
      <c r="C74" s="9">
        <v>2750.0</v>
      </c>
      <c r="D74" s="2"/>
      <c r="E74" s="2"/>
      <c r="F74" s="2"/>
      <c r="G74" s="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6">
        <v>900.0</v>
      </c>
      <c r="C75" s="9">
        <v>2960.0</v>
      </c>
      <c r="D75" s="2"/>
      <c r="E75" s="2"/>
      <c r="F75" s="2"/>
      <c r="G75" s="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6">
        <v>1000.0</v>
      </c>
      <c r="C76" s="9">
        <v>3170.0</v>
      </c>
      <c r="D76" s="2"/>
      <c r="E76" s="2"/>
      <c r="F76" s="2"/>
      <c r="G76" s="9"/>
      <c r="H76" s="2"/>
      <c r="I76" s="26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6">
        <v>1100.0</v>
      </c>
      <c r="C77" s="9">
        <v>3380.0</v>
      </c>
      <c r="D77" s="2"/>
      <c r="E77" s="2"/>
      <c r="F77" s="2"/>
      <c r="G77" s="9"/>
      <c r="H77" s="2"/>
      <c r="I77" s="2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6">
        <v>1200.0</v>
      </c>
      <c r="C78" s="9">
        <v>3590.0</v>
      </c>
      <c r="D78" s="2"/>
      <c r="E78" s="2"/>
      <c r="F78" s="2"/>
      <c r="G78" s="9"/>
      <c r="H78" s="2"/>
      <c r="I78" s="2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6">
        <v>1300.0</v>
      </c>
      <c r="C79" s="9">
        <v>3800.0</v>
      </c>
      <c r="D79" s="2"/>
      <c r="E79" s="2"/>
      <c r="F79" s="2"/>
      <c r="G79" s="9"/>
      <c r="H79" s="2"/>
      <c r="I79" s="26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6">
        <v>1400.0</v>
      </c>
      <c r="C80" s="9">
        <v>4010.0</v>
      </c>
      <c r="D80" s="2"/>
      <c r="E80" s="2"/>
      <c r="F80" s="2"/>
      <c r="G80" s="9"/>
      <c r="H80" s="2"/>
      <c r="I80" s="2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6">
        <v>1500.0</v>
      </c>
      <c r="C81" s="9">
        <v>4220.0</v>
      </c>
      <c r="D81" s="2"/>
      <c r="E81" s="2"/>
      <c r="F81" s="2"/>
      <c r="G81" s="9"/>
      <c r="H81" s="2"/>
      <c r="I81" s="2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6">
        <v>1600.0</v>
      </c>
      <c r="C82" s="9">
        <v>4430.0</v>
      </c>
      <c r="D82" s="2"/>
      <c r="E82" s="2"/>
      <c r="F82" s="2"/>
      <c r="G82" s="9"/>
      <c r="H82" s="2"/>
      <c r="I82" s="2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6">
        <v>1700.0</v>
      </c>
      <c r="C83" s="9">
        <v>4640.0</v>
      </c>
      <c r="D83" s="2"/>
      <c r="E83" s="2"/>
      <c r="F83" s="2"/>
      <c r="G83" s="9"/>
      <c r="H83" s="2"/>
      <c r="I83" s="2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6">
        <v>1800.0</v>
      </c>
      <c r="C84" s="9">
        <v>4850.0</v>
      </c>
      <c r="D84" s="2"/>
      <c r="E84" s="2"/>
      <c r="F84" s="2"/>
      <c r="G84" s="9"/>
      <c r="H84" s="2"/>
      <c r="I84" s="26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6">
        <v>1900.0</v>
      </c>
      <c r="C85" s="9">
        <v>5060.0</v>
      </c>
      <c r="D85" s="2"/>
      <c r="E85" s="2"/>
      <c r="F85" s="2"/>
      <c r="G85" s="9"/>
      <c r="H85" s="2"/>
      <c r="I85" s="26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6">
        <v>2000.0</v>
      </c>
      <c r="C86" s="9">
        <v>5270.0</v>
      </c>
      <c r="D86" s="2"/>
      <c r="E86" s="2"/>
      <c r="F86" s="2"/>
      <c r="G86" s="9"/>
      <c r="H86" s="2"/>
      <c r="I86" s="26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6">
        <v>3000.0</v>
      </c>
      <c r="C87" s="9">
        <v>7260.0</v>
      </c>
      <c r="D87" s="2"/>
      <c r="E87" s="2"/>
      <c r="F87" s="2"/>
      <c r="G87" s="9"/>
      <c r="H87" s="2"/>
      <c r="I87" s="26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6">
        <v>4000.0</v>
      </c>
      <c r="C88" s="9">
        <v>8960.0</v>
      </c>
      <c r="D88" s="2"/>
      <c r="E88" s="2"/>
      <c r="F88" s="2"/>
      <c r="G88" s="9"/>
      <c r="H88" s="2"/>
      <c r="I88" s="26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6">
        <v>5000.0</v>
      </c>
      <c r="C89" s="9">
        <v>10660.0</v>
      </c>
      <c r="D89" s="2"/>
      <c r="E89" s="2"/>
      <c r="F89" s="2"/>
      <c r="G89" s="9"/>
      <c r="H89" s="2"/>
      <c r="I89" s="26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3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3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3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3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3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3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3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3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3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3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3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3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3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3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3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3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3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3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3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3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3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3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3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3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3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3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3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3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3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3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3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3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3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3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3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3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3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3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3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3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3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3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3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3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3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3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3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3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3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3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3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3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3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3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3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3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3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3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3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3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3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3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3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3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3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3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3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3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3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3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3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3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3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3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3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3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3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3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3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3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3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3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3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3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3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3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3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3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3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3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3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3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3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3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3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3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3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3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3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3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3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3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3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3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3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3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3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3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3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3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3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3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3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3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3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3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3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3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3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3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3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3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3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3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3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3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3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3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3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3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3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3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3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3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3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3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3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3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3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3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3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3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3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3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3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3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3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3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3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3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3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3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3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3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3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3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3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3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3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3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3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3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3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3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3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3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3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3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3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3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3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3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3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3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3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3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3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3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3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3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3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3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3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3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3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3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3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3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3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3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3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3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3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3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3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3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3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3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3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3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0"/>
    <col customWidth="1" min="3" max="3" width="18.86"/>
    <col customWidth="1" min="4" max="5" width="14.43"/>
    <col customWidth="1" min="6" max="6" width="26.0"/>
    <col customWidth="1" min="7" max="7" width="17.0"/>
    <col customWidth="1" min="10" max="38" width="10.0"/>
  </cols>
  <sheetData>
    <row r="1" ht="22.5" customHeight="1">
      <c r="A1" s="12"/>
      <c r="B1" s="13" t="s">
        <v>11</v>
      </c>
      <c r="C1" s="14"/>
      <c r="D1" s="12"/>
      <c r="E1" s="12"/>
      <c r="F1" s="12"/>
      <c r="G1" s="15"/>
      <c r="H1" s="13" t="s">
        <v>13</v>
      </c>
      <c r="I1" s="14"/>
      <c r="J1" s="12"/>
      <c r="K1" s="12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24.0" customHeight="1">
      <c r="A2" s="12"/>
      <c r="B2" s="18" t="s">
        <v>14</v>
      </c>
      <c r="C2" s="21">
        <f>'計算詳細'!I16</f>
        <v>3599</v>
      </c>
      <c r="D2" s="12"/>
      <c r="E2" s="12"/>
      <c r="F2" s="22" t="s">
        <v>16</v>
      </c>
      <c r="G2" s="24" t="s">
        <v>18</v>
      </c>
      <c r="H2" s="25" t="s">
        <v>14</v>
      </c>
      <c r="I2" s="21">
        <f>G4</f>
        <v>4919</v>
      </c>
      <c r="J2" s="12"/>
      <c r="K2" s="12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24.0" customHeight="1">
      <c r="A3" s="12"/>
      <c r="B3" s="29" t="s">
        <v>26</v>
      </c>
      <c r="C3" s="32">
        <f>IF(ISNUMBER(C2),ROUND(C2*$G$11,0),"")</f>
        <v>522</v>
      </c>
      <c r="D3" s="12"/>
      <c r="E3" s="12"/>
      <c r="F3" s="22" t="s">
        <v>29</v>
      </c>
      <c r="G3" s="34" t="str">
        <f>'設定'!B27</f>
        <v>イタリア</v>
      </c>
      <c r="H3" s="29" t="s">
        <v>26</v>
      </c>
      <c r="I3" s="32">
        <f>IF(ISNUMBER(I2),ROUND(I2*$G$11,0),"")</f>
        <v>713</v>
      </c>
      <c r="J3" s="12"/>
      <c r="K3" s="1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24.0" customHeight="1">
      <c r="A4" s="12"/>
      <c r="B4" s="36" t="s">
        <v>30</v>
      </c>
      <c r="C4" s="32">
        <f>IF(ISNUMBER($G$6),$G$6-'計算詳細'!I8-C2-C3,"")</f>
        <v>0</v>
      </c>
      <c r="D4" s="12"/>
      <c r="E4" s="12"/>
      <c r="F4" s="22" t="s">
        <v>31</v>
      </c>
      <c r="G4" s="40">
        <f t="array" ref="G4">IF('計算詳細'!D4&lt;=0,"重量未入力",IF(MIN('計算詳細'!C8:E8)&lt;=0,"サイズ未入力",IF('計算詳細'!Q4&gt;150,"150 EUR超",IF(OR(MAX('計算詳細'!C8:E8)&gt;120,SUM('計算詳細'!C8:E8)-MAX('計算詳細'!C8:E8)-MIN('計算詳細'!C8:E8)&gt;IF('計算詳細'!Q1="DE",60,40),PRODUCT('計算詳細'!C8:E8)&gt;180000),"発送不可",IF('計算詳細'!Q11&gt;20000,"料金表上限超過",INDEX(L10:AL65,COUNTIF(K10:K65,"&lt;"&amp;'計算詳細'!Q11)+1,MATCH('計算詳細'!Q1,L9:AL9,0)))))))</f>
        <v>4919</v>
      </c>
      <c r="H4" s="29" t="s">
        <v>30</v>
      </c>
      <c r="I4" s="32">
        <f>IF(ISNUMBER($G$5),$G$5-'計算詳細'!Q21-I2-I3,"")</f>
        <v>0</v>
      </c>
      <c r="J4" s="12"/>
      <c r="K4" s="12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42.0" customHeight="1">
      <c r="A5" s="12"/>
      <c r="B5" s="36" t="s">
        <v>38</v>
      </c>
      <c r="C5" s="32">
        <f>IF(ISNUMBER($G$6),$G$6-'計算詳細'!I8,"")</f>
        <v>4121</v>
      </c>
      <c r="D5" s="43"/>
      <c r="E5" s="43"/>
      <c r="F5" s="22" t="s">
        <v>39</v>
      </c>
      <c r="G5" s="40">
        <f>IF(ISNUMBER(G4),IF(ISNUMBER('計算詳細'!Q21),G4+ROUND(G4*$G$11,0)+IF(OR(MAX('計算詳細'!C8:E8)&lt;15,SUM('計算詳細'!C8:E8)-MAX('計算詳細'!C8:E8)-MIN('計算詳細'!C8:E8)&lt;11,MIN('計算詳細'!C8:E8)&lt;1),$G$14,0)+$G$15*$G$16+$G$17+'計算詳細'!Q21,"関税未計算"),G4)</f>
        <v>6199</v>
      </c>
      <c r="H5" s="29" t="s">
        <v>38</v>
      </c>
      <c r="I5" s="32">
        <f>IF(ISNUMBER($G$5),$G$5-'計算詳細'!Q21,"")</f>
        <v>5632</v>
      </c>
      <c r="J5" s="12"/>
      <c r="K5" s="12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42.0" customHeight="1">
      <c r="A6" s="12"/>
      <c r="B6" s="36" t="s">
        <v>41</v>
      </c>
      <c r="C6" s="32">
        <f>'計算詳細'!Q6</f>
        <v>725</v>
      </c>
      <c r="D6" s="43"/>
      <c r="E6" s="43"/>
      <c r="F6" s="22" t="s">
        <v>42</v>
      </c>
      <c r="G6" s="49">
        <f>IF(ISNUMBER('計算詳細'!I16),IF(ISNUMBER('計算詳細'!I8),'計算詳細'!I16+ROUND('計算詳細'!I16*$G$11,0)+IF(OR(MAX('計算詳細'!C8:E8)&gt;55.88,PRODUCT('計算詳細'!C8:E8)&gt;55000),$G$13,0)+$G$17+'計算詳細'!I8,"関税未計算"),'計算詳細'!I16)</f>
        <v>5106</v>
      </c>
      <c r="H6" s="29" t="s">
        <v>41</v>
      </c>
      <c r="I6" s="32">
        <f>'計算詳細'!Q5</f>
        <v>555</v>
      </c>
      <c r="J6" s="12"/>
      <c r="K6" s="12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4.0" customHeight="1">
      <c r="A7" s="12"/>
      <c r="B7" s="52" t="s">
        <v>47</v>
      </c>
      <c r="C7" s="54">
        <f>IF(ISNUMBER('計算詳細'!I8),'計算詳細'!I8-C6,"")</f>
        <v>260</v>
      </c>
      <c r="F7" s="22" t="s">
        <v>53</v>
      </c>
      <c r="G7" s="40">
        <f>'計算詳細'!I16</f>
        <v>3599</v>
      </c>
      <c r="H7" s="55" t="s">
        <v>47</v>
      </c>
      <c r="I7" s="54">
        <f>IF(AND(ISNUMBER('計算詳細'!Q21),ISNUMBER('計算詳細'!Q5)),'計算詳細'!Q21-'計算詳細'!Q5,"")</f>
        <v>12</v>
      </c>
      <c r="J7" s="12"/>
      <c r="K7" s="12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4.0" customHeight="1">
      <c r="A8" s="12"/>
      <c r="B8" s="56" t="s">
        <v>120</v>
      </c>
      <c r="C8" s="57">
        <f>IF(ISNUMBER($G$6),$G$6,"未計算")</f>
        <v>5106</v>
      </c>
      <c r="D8" s="12"/>
      <c r="E8" s="12"/>
      <c r="F8" s="22" t="s">
        <v>158</v>
      </c>
      <c r="G8" s="58">
        <f>'計算詳細'!Q11/1000</f>
        <v>1.5</v>
      </c>
      <c r="H8" s="56" t="s">
        <v>120</v>
      </c>
      <c r="I8" s="57">
        <f>IF(ISNUMBER($G$5),$G$5,"未計算")</f>
        <v>6199</v>
      </c>
      <c r="J8" s="12"/>
      <c r="K8" s="12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4.0" customHeight="1">
      <c r="A9" s="12"/>
      <c r="B9" s="59" t="s">
        <v>213</v>
      </c>
      <c r="C9" s="59" t="s">
        <v>221</v>
      </c>
      <c r="D9" s="60" t="s">
        <v>223</v>
      </c>
      <c r="E9" s="12"/>
      <c r="F9" s="22"/>
      <c r="G9" s="22"/>
      <c r="H9" s="61"/>
      <c r="J9" s="62" t="s">
        <v>236</v>
      </c>
      <c r="K9" s="62" t="s">
        <v>241</v>
      </c>
      <c r="L9" s="63" t="s">
        <v>243</v>
      </c>
      <c r="M9" s="63" t="s">
        <v>246</v>
      </c>
      <c r="N9" s="63" t="s">
        <v>248</v>
      </c>
      <c r="O9" s="63" t="s">
        <v>250</v>
      </c>
      <c r="P9" s="63" t="s">
        <v>253</v>
      </c>
      <c r="Q9" s="63" t="s">
        <v>255</v>
      </c>
      <c r="R9" s="63" t="s">
        <v>257</v>
      </c>
      <c r="S9" s="63" t="s">
        <v>259</v>
      </c>
      <c r="T9" s="63" t="s">
        <v>261</v>
      </c>
      <c r="U9" s="63" t="s">
        <v>263</v>
      </c>
      <c r="V9" s="63" t="s">
        <v>265</v>
      </c>
      <c r="W9" s="63" t="s">
        <v>267</v>
      </c>
      <c r="X9" s="63" t="s">
        <v>269</v>
      </c>
      <c r="Y9" s="63" t="s">
        <v>271</v>
      </c>
      <c r="Z9" s="63" t="s">
        <v>273</v>
      </c>
      <c r="AA9" s="63" t="s">
        <v>275</v>
      </c>
      <c r="AB9" s="62" t="s">
        <v>276</v>
      </c>
      <c r="AC9" s="62" t="s">
        <v>278</v>
      </c>
      <c r="AD9" s="62" t="s">
        <v>281</v>
      </c>
      <c r="AE9" s="62" t="s">
        <v>283</v>
      </c>
      <c r="AF9" s="62" t="s">
        <v>285</v>
      </c>
      <c r="AG9" s="62" t="s">
        <v>288</v>
      </c>
      <c r="AH9" s="62" t="s">
        <v>290</v>
      </c>
      <c r="AI9" s="62" t="s">
        <v>293</v>
      </c>
      <c r="AJ9" s="62" t="s">
        <v>295</v>
      </c>
      <c r="AK9" s="62" t="s">
        <v>298</v>
      </c>
      <c r="AL9" s="62" t="s">
        <v>300</v>
      </c>
    </row>
    <row r="10" ht="24.0" customHeight="1">
      <c r="A10" s="12"/>
      <c r="B10" s="64">
        <v>0.1</v>
      </c>
      <c r="C10" s="65">
        <f t="shared" ref="C10:C75" si="1">B10*1000</f>
        <v>100</v>
      </c>
      <c r="D10" s="65">
        <v>1157.0</v>
      </c>
      <c r="E10" s="66"/>
      <c r="F10" s="22"/>
      <c r="G10" s="22"/>
      <c r="H10" s="12"/>
      <c r="I10" s="12"/>
      <c r="J10" s="67">
        <v>0.1</v>
      </c>
      <c r="K10" s="68">
        <v>100.0</v>
      </c>
      <c r="L10" s="69">
        <v>1440.0</v>
      </c>
      <c r="M10" s="69">
        <v>1942.0</v>
      </c>
      <c r="N10" s="69">
        <v>2234.0</v>
      </c>
      <c r="O10" s="69">
        <v>1883.0</v>
      </c>
      <c r="P10" s="69">
        <v>3861.0</v>
      </c>
      <c r="Q10" s="69">
        <v>2234.0</v>
      </c>
      <c r="R10" s="69">
        <v>2205.0</v>
      </c>
      <c r="S10" s="69">
        <v>2352.0</v>
      </c>
      <c r="T10" s="69">
        <v>1793.0</v>
      </c>
      <c r="U10" s="69">
        <v>2991.0</v>
      </c>
      <c r="V10" s="69">
        <v>1963.0</v>
      </c>
      <c r="W10" s="69">
        <v>1810.0</v>
      </c>
      <c r="X10" s="69">
        <v>2264.0</v>
      </c>
      <c r="Y10" s="69">
        <v>1810.0</v>
      </c>
      <c r="Z10" s="69">
        <v>2071.0</v>
      </c>
      <c r="AA10" s="69">
        <v>1996.0</v>
      </c>
      <c r="AB10" s="70">
        <v>1712.0</v>
      </c>
      <c r="AC10" s="70">
        <v>1979.0</v>
      </c>
      <c r="AD10" s="70">
        <v>2032.0</v>
      </c>
      <c r="AE10" s="70">
        <v>3015.0</v>
      </c>
      <c r="AF10" s="70">
        <v>2104.0</v>
      </c>
      <c r="AG10" s="70">
        <v>1610.0</v>
      </c>
      <c r="AH10" s="70">
        <v>1784.0</v>
      </c>
      <c r="AI10" s="70">
        <v>1738.0</v>
      </c>
      <c r="AJ10" s="70">
        <v>1629.0</v>
      </c>
      <c r="AK10" s="70">
        <v>2217.0</v>
      </c>
      <c r="AL10" s="70">
        <v>2160.0</v>
      </c>
    </row>
    <row r="11" ht="24.0" customHeight="1">
      <c r="A11" s="12"/>
      <c r="B11" s="71">
        <v>0.2</v>
      </c>
      <c r="C11" s="72">
        <f t="shared" si="1"/>
        <v>200</v>
      </c>
      <c r="D11" s="72">
        <v>1289.0</v>
      </c>
      <c r="E11" s="66"/>
      <c r="F11" s="73" t="s">
        <v>374</v>
      </c>
      <c r="G11" s="74">
        <v>0.145</v>
      </c>
      <c r="H11" s="12"/>
      <c r="I11" s="12"/>
      <c r="J11" s="67">
        <v>0.2</v>
      </c>
      <c r="K11" s="68">
        <v>200.0</v>
      </c>
      <c r="L11" s="69">
        <v>1664.0</v>
      </c>
      <c r="M11" s="69">
        <v>2281.0</v>
      </c>
      <c r="N11" s="69">
        <v>2522.0</v>
      </c>
      <c r="O11" s="69">
        <v>2233.0</v>
      </c>
      <c r="P11" s="69">
        <v>4296.0</v>
      </c>
      <c r="Q11" s="69">
        <v>2515.0</v>
      </c>
      <c r="R11" s="69">
        <v>2471.0</v>
      </c>
      <c r="S11" s="69">
        <v>2751.0</v>
      </c>
      <c r="T11" s="69">
        <v>2119.0</v>
      </c>
      <c r="U11" s="69">
        <v>3255.0</v>
      </c>
      <c r="V11" s="69">
        <v>2313.0</v>
      </c>
      <c r="W11" s="69">
        <v>2239.0</v>
      </c>
      <c r="X11" s="69">
        <v>2613.0</v>
      </c>
      <c r="Y11" s="69">
        <v>2158.0</v>
      </c>
      <c r="Z11" s="69">
        <v>2411.0</v>
      </c>
      <c r="AA11" s="69">
        <v>2319.0</v>
      </c>
      <c r="AB11" s="70">
        <v>2119.0</v>
      </c>
      <c r="AC11" s="70">
        <v>2254.0</v>
      </c>
      <c r="AD11" s="70">
        <v>2437.0</v>
      </c>
      <c r="AE11" s="70">
        <v>3579.0</v>
      </c>
      <c r="AF11" s="70">
        <v>2367.0</v>
      </c>
      <c r="AG11" s="70">
        <v>1957.0</v>
      </c>
      <c r="AH11" s="70">
        <v>2090.0</v>
      </c>
      <c r="AI11" s="70">
        <v>2084.0</v>
      </c>
      <c r="AJ11" s="70">
        <v>1889.0</v>
      </c>
      <c r="AK11" s="70">
        <v>2569.0</v>
      </c>
      <c r="AL11" s="70">
        <v>2513.0</v>
      </c>
    </row>
    <row r="12" ht="24.0" customHeight="1">
      <c r="A12" s="12"/>
      <c r="B12" s="64">
        <v>0.3</v>
      </c>
      <c r="C12" s="65">
        <f t="shared" si="1"/>
        <v>300</v>
      </c>
      <c r="D12" s="65">
        <v>1491.0</v>
      </c>
      <c r="E12" s="66"/>
      <c r="F12" s="22"/>
      <c r="G12" s="22"/>
      <c r="H12" s="12"/>
      <c r="I12" s="12"/>
      <c r="J12" s="67">
        <v>0.3</v>
      </c>
      <c r="K12" s="68">
        <v>300.0</v>
      </c>
      <c r="L12" s="69">
        <v>1902.0</v>
      </c>
      <c r="M12" s="69">
        <v>2412.0</v>
      </c>
      <c r="N12" s="69">
        <v>2654.0</v>
      </c>
      <c r="O12" s="69">
        <v>2363.0</v>
      </c>
      <c r="P12" s="69">
        <v>4427.0</v>
      </c>
      <c r="Q12" s="69">
        <v>2646.0</v>
      </c>
      <c r="R12" s="69">
        <v>2603.0</v>
      </c>
      <c r="S12" s="69">
        <v>2882.0</v>
      </c>
      <c r="T12" s="69">
        <v>2248.0</v>
      </c>
      <c r="U12" s="69">
        <v>3386.0</v>
      </c>
      <c r="V12" s="69">
        <v>2445.0</v>
      </c>
      <c r="W12" s="69">
        <v>2370.0</v>
      </c>
      <c r="X12" s="69">
        <v>2741.0</v>
      </c>
      <c r="Y12" s="69">
        <v>2289.0</v>
      </c>
      <c r="Z12" s="69">
        <v>2541.0</v>
      </c>
      <c r="AA12" s="69">
        <v>2449.0</v>
      </c>
      <c r="AB12" s="70">
        <v>2248.0</v>
      </c>
      <c r="AC12" s="70">
        <v>2384.0</v>
      </c>
      <c r="AD12" s="70">
        <v>2567.0</v>
      </c>
      <c r="AE12" s="70">
        <v>3710.0</v>
      </c>
      <c r="AF12" s="70">
        <v>2498.0</v>
      </c>
      <c r="AG12" s="70">
        <v>2088.0</v>
      </c>
      <c r="AH12" s="70">
        <v>2221.0</v>
      </c>
      <c r="AI12" s="70">
        <v>2214.0</v>
      </c>
      <c r="AJ12" s="70">
        <v>2020.0</v>
      </c>
      <c r="AK12" s="70">
        <v>2699.0</v>
      </c>
      <c r="AL12" s="70">
        <v>2643.0</v>
      </c>
    </row>
    <row r="13" ht="24.0" customHeight="1">
      <c r="A13" s="12"/>
      <c r="B13" s="71">
        <v>0.4</v>
      </c>
      <c r="C13" s="72">
        <f t="shared" si="1"/>
        <v>400</v>
      </c>
      <c r="D13" s="72">
        <v>1677.0</v>
      </c>
      <c r="E13" s="66"/>
      <c r="F13" s="22" t="s">
        <v>432</v>
      </c>
      <c r="G13" s="75">
        <v>2475.0</v>
      </c>
      <c r="H13" s="12"/>
      <c r="I13" s="12"/>
      <c r="J13" s="67">
        <v>0.4</v>
      </c>
      <c r="K13" s="68">
        <v>400.0</v>
      </c>
      <c r="L13" s="69">
        <v>2044.0</v>
      </c>
      <c r="M13" s="69">
        <v>2829.0</v>
      </c>
      <c r="N13" s="69">
        <v>2971.0</v>
      </c>
      <c r="O13" s="69">
        <v>2799.0</v>
      </c>
      <c r="P13" s="69">
        <v>5027.0</v>
      </c>
      <c r="Q13" s="69">
        <v>2930.0</v>
      </c>
      <c r="R13" s="69">
        <v>2865.0</v>
      </c>
      <c r="S13" s="69">
        <v>3430.0</v>
      </c>
      <c r="T13" s="69">
        <v>2637.0</v>
      </c>
      <c r="U13" s="69">
        <v>3648.0</v>
      </c>
      <c r="V13" s="69">
        <v>2934.0</v>
      </c>
      <c r="W13" s="69">
        <v>2971.0</v>
      </c>
      <c r="X13" s="69">
        <v>3180.0</v>
      </c>
      <c r="Y13" s="69">
        <v>2728.0</v>
      </c>
      <c r="Z13" s="69">
        <v>2963.0</v>
      </c>
      <c r="AA13" s="69">
        <v>2838.0</v>
      </c>
      <c r="AB13" s="70">
        <v>2792.0</v>
      </c>
      <c r="AC13" s="70">
        <v>2691.0</v>
      </c>
      <c r="AD13" s="70">
        <v>3113.0</v>
      </c>
      <c r="AE13" s="70">
        <v>4569.0</v>
      </c>
      <c r="AF13" s="70">
        <v>2761.0</v>
      </c>
      <c r="AG13" s="70">
        <v>2520.0</v>
      </c>
      <c r="AH13" s="70">
        <v>2571.0</v>
      </c>
      <c r="AI13" s="70">
        <v>2654.0</v>
      </c>
      <c r="AJ13" s="70">
        <v>2281.0</v>
      </c>
      <c r="AK13" s="70">
        <v>3137.0</v>
      </c>
      <c r="AL13" s="70">
        <v>3092.0</v>
      </c>
    </row>
    <row r="14" ht="24.0" customHeight="1">
      <c r="A14" s="12"/>
      <c r="B14" s="64">
        <v>0.5</v>
      </c>
      <c r="C14" s="65">
        <f t="shared" si="1"/>
        <v>500</v>
      </c>
      <c r="D14" s="65">
        <v>1943.0</v>
      </c>
      <c r="E14" s="66"/>
      <c r="F14" s="22" t="s">
        <v>453</v>
      </c>
      <c r="G14" s="75">
        <v>2520.0</v>
      </c>
      <c r="H14" s="12"/>
      <c r="I14" s="12"/>
      <c r="J14" s="67">
        <v>0.5</v>
      </c>
      <c r="K14" s="68">
        <v>500.0</v>
      </c>
      <c r="L14" s="69">
        <v>2296.0</v>
      </c>
      <c r="M14" s="69">
        <v>3088.0</v>
      </c>
      <c r="N14" s="69">
        <v>3233.0</v>
      </c>
      <c r="O14" s="69">
        <v>3061.0</v>
      </c>
      <c r="P14" s="69">
        <v>5288.0</v>
      </c>
      <c r="Q14" s="69">
        <v>3190.0</v>
      </c>
      <c r="R14" s="69">
        <v>3126.0</v>
      </c>
      <c r="S14" s="69">
        <v>3691.0</v>
      </c>
      <c r="T14" s="69">
        <v>2897.0</v>
      </c>
      <c r="U14" s="69">
        <v>3909.0</v>
      </c>
      <c r="V14" s="69">
        <v>3196.0</v>
      </c>
      <c r="W14" s="69">
        <v>3233.0</v>
      </c>
      <c r="X14" s="69">
        <v>3442.0</v>
      </c>
      <c r="Y14" s="69">
        <v>2988.0</v>
      </c>
      <c r="Z14" s="69">
        <v>3224.0</v>
      </c>
      <c r="AA14" s="69">
        <v>3098.0</v>
      </c>
      <c r="AB14" s="70">
        <v>3053.0</v>
      </c>
      <c r="AC14" s="70">
        <v>2952.0</v>
      </c>
      <c r="AD14" s="70">
        <v>3374.0</v>
      </c>
      <c r="AE14" s="70">
        <v>4829.0</v>
      </c>
      <c r="AF14" s="70">
        <v>3021.0</v>
      </c>
      <c r="AG14" s="70">
        <v>2781.0</v>
      </c>
      <c r="AH14" s="70">
        <v>2832.0</v>
      </c>
      <c r="AI14" s="70">
        <v>2916.0</v>
      </c>
      <c r="AJ14" s="70">
        <v>2542.0</v>
      </c>
      <c r="AK14" s="70">
        <v>3396.0</v>
      </c>
      <c r="AL14" s="70">
        <v>3353.0</v>
      </c>
    </row>
    <row r="15" ht="24.0" customHeight="1">
      <c r="A15" s="12"/>
      <c r="B15" s="71">
        <v>0.6</v>
      </c>
      <c r="C15" s="72">
        <f t="shared" si="1"/>
        <v>600</v>
      </c>
      <c r="D15" s="72">
        <v>2096.0</v>
      </c>
      <c r="E15" s="66"/>
      <c r="F15" s="22" t="s">
        <v>477</v>
      </c>
      <c r="G15" s="75">
        <v>34.0</v>
      </c>
      <c r="H15" s="12"/>
      <c r="I15" s="12"/>
      <c r="J15" s="67">
        <v>0.6</v>
      </c>
      <c r="K15" s="68">
        <v>600.0</v>
      </c>
      <c r="L15" s="69">
        <v>2504.0</v>
      </c>
      <c r="M15" s="69">
        <v>3219.0</v>
      </c>
      <c r="N15" s="69">
        <v>3363.0</v>
      </c>
      <c r="O15" s="69">
        <v>3191.0</v>
      </c>
      <c r="P15" s="69">
        <v>5419.0</v>
      </c>
      <c r="Q15" s="69">
        <v>3321.0</v>
      </c>
      <c r="R15" s="69">
        <v>3256.0</v>
      </c>
      <c r="S15" s="69">
        <v>3821.0</v>
      </c>
      <c r="T15" s="69">
        <v>3028.0</v>
      </c>
      <c r="U15" s="69">
        <v>4040.0</v>
      </c>
      <c r="V15" s="69">
        <v>3326.0</v>
      </c>
      <c r="W15" s="69">
        <v>3363.0</v>
      </c>
      <c r="X15" s="69">
        <v>3572.0</v>
      </c>
      <c r="Y15" s="69">
        <v>3120.0</v>
      </c>
      <c r="Z15" s="69">
        <v>3353.0</v>
      </c>
      <c r="AA15" s="69">
        <v>3229.0</v>
      </c>
      <c r="AB15" s="70">
        <v>3182.0</v>
      </c>
      <c r="AC15" s="70">
        <v>3080.0</v>
      </c>
      <c r="AD15" s="70">
        <v>3504.0</v>
      </c>
      <c r="AE15" s="70">
        <v>4961.0</v>
      </c>
      <c r="AF15" s="70">
        <v>3152.0</v>
      </c>
      <c r="AG15" s="70">
        <v>2911.0</v>
      </c>
      <c r="AH15" s="70">
        <v>2962.0</v>
      </c>
      <c r="AI15" s="70">
        <v>3046.0</v>
      </c>
      <c r="AJ15" s="70">
        <v>2671.0</v>
      </c>
      <c r="AK15" s="70">
        <v>3527.0</v>
      </c>
      <c r="AL15" s="70">
        <v>3484.0</v>
      </c>
    </row>
    <row r="16" ht="24.0" customHeight="1">
      <c r="A16" s="12"/>
      <c r="B16" s="64">
        <v>0.7</v>
      </c>
      <c r="C16" s="65">
        <f t="shared" si="1"/>
        <v>700</v>
      </c>
      <c r="D16" s="65">
        <v>2189.0</v>
      </c>
      <c r="E16" s="66"/>
      <c r="F16" s="22" t="s">
        <v>548</v>
      </c>
      <c r="G16" s="78">
        <v>0.0</v>
      </c>
      <c r="H16" s="12"/>
      <c r="I16" s="12"/>
      <c r="J16" s="67">
        <v>0.7</v>
      </c>
      <c r="K16" s="68">
        <v>700.0</v>
      </c>
      <c r="L16" s="69">
        <v>2742.0</v>
      </c>
      <c r="M16" s="69">
        <v>3635.0</v>
      </c>
      <c r="N16" s="69">
        <v>3679.0</v>
      </c>
      <c r="O16" s="69">
        <v>3629.0</v>
      </c>
      <c r="P16" s="69">
        <v>6021.0</v>
      </c>
      <c r="Q16" s="69">
        <v>3601.0</v>
      </c>
      <c r="R16" s="69">
        <v>3521.0</v>
      </c>
      <c r="S16" s="69">
        <v>4368.0</v>
      </c>
      <c r="T16" s="69">
        <v>3413.0</v>
      </c>
      <c r="U16" s="69">
        <v>4304.0</v>
      </c>
      <c r="V16" s="69">
        <v>3823.0</v>
      </c>
      <c r="W16" s="69">
        <v>3963.0</v>
      </c>
      <c r="X16" s="69">
        <v>4012.0</v>
      </c>
      <c r="Y16" s="69">
        <v>3557.0</v>
      </c>
      <c r="Z16" s="69">
        <v>3775.0</v>
      </c>
      <c r="AA16" s="69">
        <v>3617.0</v>
      </c>
      <c r="AB16" s="70">
        <v>3729.0</v>
      </c>
      <c r="AC16" s="70">
        <v>3386.0</v>
      </c>
      <c r="AD16" s="70">
        <v>4046.0</v>
      </c>
      <c r="AE16" s="70">
        <v>5826.0</v>
      </c>
      <c r="AF16" s="70">
        <v>3416.0</v>
      </c>
      <c r="AG16" s="70">
        <v>3341.0</v>
      </c>
      <c r="AH16" s="70">
        <v>3408.0</v>
      </c>
      <c r="AI16" s="70">
        <v>3485.0</v>
      </c>
      <c r="AJ16" s="70">
        <v>3030.0</v>
      </c>
      <c r="AK16" s="70">
        <v>3965.0</v>
      </c>
      <c r="AL16" s="70">
        <v>3933.0</v>
      </c>
    </row>
    <row r="17" ht="24.0" customHeight="1">
      <c r="A17" s="12"/>
      <c r="B17" s="71">
        <v>0.8</v>
      </c>
      <c r="C17" s="72">
        <f t="shared" si="1"/>
        <v>800</v>
      </c>
      <c r="D17" s="72">
        <v>2549.0</v>
      </c>
      <c r="E17" s="66"/>
      <c r="F17" s="22" t="s">
        <v>581</v>
      </c>
      <c r="G17" s="75">
        <v>0.0</v>
      </c>
      <c r="H17" s="12"/>
      <c r="I17" s="12"/>
      <c r="J17" s="67">
        <v>0.8</v>
      </c>
      <c r="K17" s="68">
        <v>800.0</v>
      </c>
      <c r="L17" s="69">
        <v>3102.0</v>
      </c>
      <c r="M17" s="69">
        <v>3766.0</v>
      </c>
      <c r="N17" s="69">
        <v>3807.0</v>
      </c>
      <c r="O17" s="69">
        <v>3759.0</v>
      </c>
      <c r="P17" s="69">
        <v>6151.0</v>
      </c>
      <c r="Q17" s="69">
        <v>3732.0</v>
      </c>
      <c r="R17" s="69">
        <v>3651.0</v>
      </c>
      <c r="S17" s="69">
        <v>4498.0</v>
      </c>
      <c r="T17" s="69">
        <v>3544.0</v>
      </c>
      <c r="U17" s="69">
        <v>4434.0</v>
      </c>
      <c r="V17" s="69">
        <v>3954.0</v>
      </c>
      <c r="W17" s="69">
        <v>4094.0</v>
      </c>
      <c r="X17" s="69">
        <v>4142.0</v>
      </c>
      <c r="Y17" s="69">
        <v>3688.0</v>
      </c>
      <c r="Z17" s="69">
        <v>3905.0</v>
      </c>
      <c r="AA17" s="69">
        <v>3747.0</v>
      </c>
      <c r="AB17" s="70">
        <v>3858.0</v>
      </c>
      <c r="AC17" s="70">
        <v>3516.0</v>
      </c>
      <c r="AD17" s="70">
        <v>4177.0</v>
      </c>
      <c r="AE17" s="70">
        <v>5955.0</v>
      </c>
      <c r="AF17" s="70">
        <v>3546.0</v>
      </c>
      <c r="AG17" s="70">
        <v>3472.0</v>
      </c>
      <c r="AH17" s="70">
        <v>3538.0</v>
      </c>
      <c r="AI17" s="70">
        <v>3615.0</v>
      </c>
      <c r="AJ17" s="70">
        <v>3161.0</v>
      </c>
      <c r="AK17" s="70">
        <v>4096.0</v>
      </c>
      <c r="AL17" s="70">
        <v>4063.0</v>
      </c>
    </row>
    <row r="18">
      <c r="A18" s="12"/>
      <c r="B18" s="64">
        <v>0.9</v>
      </c>
      <c r="C18" s="65">
        <f t="shared" si="1"/>
        <v>900</v>
      </c>
      <c r="D18" s="65">
        <v>2660.0</v>
      </c>
      <c r="E18" s="66"/>
      <c r="F18" s="12"/>
      <c r="G18" s="12"/>
      <c r="H18" s="12"/>
      <c r="I18" s="12"/>
      <c r="J18" s="67">
        <v>0.9</v>
      </c>
      <c r="K18" s="68">
        <v>900.0</v>
      </c>
      <c r="L18" s="69">
        <v>3319.0</v>
      </c>
      <c r="M18" s="69">
        <v>4027.0</v>
      </c>
      <c r="N18" s="69">
        <v>4069.0</v>
      </c>
      <c r="O18" s="69">
        <v>4021.0</v>
      </c>
      <c r="P18" s="69">
        <v>6413.0</v>
      </c>
      <c r="Q18" s="69">
        <v>3993.0</v>
      </c>
      <c r="R18" s="69">
        <v>3912.0</v>
      </c>
      <c r="S18" s="69">
        <v>4759.0</v>
      </c>
      <c r="T18" s="69">
        <v>3804.0</v>
      </c>
      <c r="U18" s="69">
        <v>4696.0</v>
      </c>
      <c r="V18" s="69">
        <v>4215.0</v>
      </c>
      <c r="W18" s="69">
        <v>4354.0</v>
      </c>
      <c r="X18" s="69">
        <v>4403.0</v>
      </c>
      <c r="Y18" s="69">
        <v>3947.0</v>
      </c>
      <c r="Z18" s="69">
        <v>4167.0</v>
      </c>
      <c r="AA18" s="69">
        <v>4009.0</v>
      </c>
      <c r="AB18" s="70">
        <v>4120.0</v>
      </c>
      <c r="AC18" s="70">
        <v>3776.0</v>
      </c>
      <c r="AD18" s="70">
        <v>4438.0</v>
      </c>
      <c r="AE18" s="70">
        <v>6217.0</v>
      </c>
      <c r="AF18" s="70">
        <v>3807.0</v>
      </c>
      <c r="AG18" s="70">
        <v>3733.0</v>
      </c>
      <c r="AH18" s="70">
        <v>3800.0</v>
      </c>
      <c r="AI18" s="70">
        <v>3877.0</v>
      </c>
      <c r="AJ18" s="70">
        <v>3420.0</v>
      </c>
      <c r="AK18" s="70">
        <v>4356.0</v>
      </c>
      <c r="AL18" s="70">
        <v>4323.0</v>
      </c>
    </row>
    <row r="19">
      <c r="A19" s="12"/>
      <c r="B19" s="71">
        <v>1.0</v>
      </c>
      <c r="C19" s="72">
        <f t="shared" si="1"/>
        <v>1000</v>
      </c>
      <c r="D19" s="72">
        <v>2848.0</v>
      </c>
      <c r="E19" s="66"/>
      <c r="F19" s="12"/>
      <c r="G19" s="12"/>
      <c r="H19" s="12"/>
      <c r="I19" s="12"/>
      <c r="J19" s="67">
        <v>1.0</v>
      </c>
      <c r="K19" s="68">
        <v>1000.0</v>
      </c>
      <c r="L19" s="69">
        <v>3400.0</v>
      </c>
      <c r="M19" s="69">
        <v>4441.0</v>
      </c>
      <c r="N19" s="69">
        <v>4390.0</v>
      </c>
      <c r="O19" s="69">
        <v>4461.0</v>
      </c>
      <c r="P19" s="69">
        <v>7012.0</v>
      </c>
      <c r="Q19" s="69">
        <v>4279.0</v>
      </c>
      <c r="R19" s="69">
        <v>4177.0</v>
      </c>
      <c r="S19" s="69">
        <v>5303.0</v>
      </c>
      <c r="T19" s="69">
        <v>4196.0</v>
      </c>
      <c r="U19" s="69">
        <v>4958.0</v>
      </c>
      <c r="V19" s="69">
        <v>4563.0</v>
      </c>
      <c r="W19" s="69">
        <v>4955.0</v>
      </c>
      <c r="X19" s="69">
        <v>4842.0</v>
      </c>
      <c r="Y19" s="69">
        <v>4386.0</v>
      </c>
      <c r="Z19" s="69">
        <v>4587.0</v>
      </c>
      <c r="AA19" s="69">
        <v>4396.0</v>
      </c>
      <c r="AB19" s="70">
        <v>4664.0</v>
      </c>
      <c r="AC19" s="70">
        <v>4063.0</v>
      </c>
      <c r="AD19" s="70">
        <v>4984.0</v>
      </c>
      <c r="AE19" s="70">
        <v>7079.0</v>
      </c>
      <c r="AF19" s="70">
        <v>4077.0</v>
      </c>
      <c r="AG19" s="70">
        <v>4168.0</v>
      </c>
      <c r="AH19" s="70">
        <v>4154.0</v>
      </c>
      <c r="AI19" s="70">
        <v>4315.0</v>
      </c>
      <c r="AJ19" s="70">
        <v>3681.0</v>
      </c>
      <c r="AK19" s="70">
        <v>4796.0</v>
      </c>
      <c r="AL19" s="70">
        <v>4770.0</v>
      </c>
    </row>
    <row r="20">
      <c r="A20" s="12"/>
      <c r="B20" s="64">
        <v>1.1</v>
      </c>
      <c r="C20" s="65">
        <f t="shared" si="1"/>
        <v>1100</v>
      </c>
      <c r="D20" s="65">
        <v>2958.0</v>
      </c>
      <c r="E20" s="66"/>
      <c r="F20" s="12"/>
      <c r="G20" s="12"/>
      <c r="H20" s="12"/>
      <c r="I20" s="12"/>
      <c r="J20" s="67">
        <v>1.1</v>
      </c>
      <c r="K20" s="68">
        <v>1100.0</v>
      </c>
      <c r="L20" s="69">
        <v>3635.0</v>
      </c>
      <c r="M20" s="69">
        <v>4571.0</v>
      </c>
      <c r="N20" s="69">
        <v>4521.0</v>
      </c>
      <c r="O20" s="69">
        <v>4589.0</v>
      </c>
      <c r="P20" s="69">
        <v>7142.0</v>
      </c>
      <c r="Q20" s="69">
        <v>4410.0</v>
      </c>
      <c r="R20" s="69">
        <v>4307.0</v>
      </c>
      <c r="S20" s="69">
        <v>5433.0</v>
      </c>
      <c r="T20" s="69">
        <v>4326.0</v>
      </c>
      <c r="U20" s="69">
        <v>5088.0</v>
      </c>
      <c r="V20" s="69">
        <v>4694.0</v>
      </c>
      <c r="W20" s="69">
        <v>5086.0</v>
      </c>
      <c r="X20" s="69">
        <v>4972.0</v>
      </c>
      <c r="Y20" s="69">
        <v>4516.0</v>
      </c>
      <c r="Z20" s="69">
        <v>4718.0</v>
      </c>
      <c r="AA20" s="69">
        <v>4527.0</v>
      </c>
      <c r="AB20" s="70">
        <v>4795.0</v>
      </c>
      <c r="AC20" s="70">
        <v>4194.0</v>
      </c>
      <c r="AD20" s="70">
        <v>5114.0</v>
      </c>
      <c r="AE20" s="70">
        <v>7209.0</v>
      </c>
      <c r="AF20" s="70">
        <v>4207.0</v>
      </c>
      <c r="AG20" s="70">
        <v>4298.0</v>
      </c>
      <c r="AH20" s="70">
        <v>4284.0</v>
      </c>
      <c r="AI20" s="70">
        <v>4446.0</v>
      </c>
      <c r="AJ20" s="70">
        <v>3812.0</v>
      </c>
      <c r="AK20" s="70">
        <v>4927.0</v>
      </c>
      <c r="AL20" s="70">
        <v>4900.0</v>
      </c>
    </row>
    <row r="21" ht="15.75" customHeight="1">
      <c r="A21" s="12"/>
      <c r="B21" s="71">
        <v>1.2</v>
      </c>
      <c r="C21" s="72">
        <f t="shared" si="1"/>
        <v>1200</v>
      </c>
      <c r="D21" s="72">
        <v>3065.0</v>
      </c>
      <c r="E21" s="66"/>
      <c r="F21" s="12"/>
      <c r="G21" s="12"/>
      <c r="H21" s="12"/>
      <c r="I21" s="12"/>
      <c r="J21" s="67">
        <v>1.2</v>
      </c>
      <c r="K21" s="68">
        <v>1200.0</v>
      </c>
      <c r="L21" s="69">
        <v>4043.0</v>
      </c>
      <c r="M21" s="69">
        <v>4829.0</v>
      </c>
      <c r="N21" s="69">
        <v>4780.0</v>
      </c>
      <c r="O21" s="69">
        <v>4851.0</v>
      </c>
      <c r="P21" s="69">
        <v>7404.0</v>
      </c>
      <c r="Q21" s="69">
        <v>4671.0</v>
      </c>
      <c r="R21" s="69">
        <v>4569.0</v>
      </c>
      <c r="S21" s="69">
        <v>5695.0</v>
      </c>
      <c r="T21" s="69">
        <v>4587.0</v>
      </c>
      <c r="U21" s="69">
        <v>5349.0</v>
      </c>
      <c r="V21" s="69">
        <v>4955.0</v>
      </c>
      <c r="W21" s="69">
        <v>5347.0</v>
      </c>
      <c r="X21" s="69">
        <v>5233.0</v>
      </c>
      <c r="Y21" s="69">
        <v>4778.0</v>
      </c>
      <c r="Z21" s="69">
        <v>4979.0</v>
      </c>
      <c r="AA21" s="69">
        <v>4788.0</v>
      </c>
      <c r="AB21" s="70">
        <v>5054.0</v>
      </c>
      <c r="AC21" s="70">
        <v>4455.0</v>
      </c>
      <c r="AD21" s="70">
        <v>5376.0</v>
      </c>
      <c r="AE21" s="70">
        <v>7470.0</v>
      </c>
      <c r="AF21" s="70">
        <v>4468.0</v>
      </c>
      <c r="AG21" s="70">
        <v>4558.0</v>
      </c>
      <c r="AH21" s="70">
        <v>4543.0</v>
      </c>
      <c r="AI21" s="70">
        <v>4707.0</v>
      </c>
      <c r="AJ21" s="70">
        <v>4072.0</v>
      </c>
      <c r="AK21" s="70">
        <v>5188.0</v>
      </c>
      <c r="AL21" s="70">
        <v>5162.0</v>
      </c>
    </row>
    <row r="22" ht="15.75" customHeight="1">
      <c r="A22" s="12"/>
      <c r="B22" s="64">
        <v>1.3</v>
      </c>
      <c r="C22" s="65">
        <f t="shared" si="1"/>
        <v>1300</v>
      </c>
      <c r="D22" s="65">
        <v>3174.0</v>
      </c>
      <c r="E22" s="66"/>
      <c r="F22" s="12"/>
      <c r="G22" s="12"/>
      <c r="H22" s="12"/>
      <c r="I22" s="12"/>
      <c r="J22" s="67">
        <v>1.3</v>
      </c>
      <c r="K22" s="68">
        <v>1300.0</v>
      </c>
      <c r="L22" s="69">
        <v>4114.0</v>
      </c>
      <c r="M22" s="69">
        <v>4961.0</v>
      </c>
      <c r="N22" s="69">
        <v>4911.0</v>
      </c>
      <c r="O22" s="69">
        <v>4981.0</v>
      </c>
      <c r="P22" s="69">
        <v>7533.0</v>
      </c>
      <c r="Q22" s="69">
        <v>4801.0</v>
      </c>
      <c r="R22" s="69">
        <v>4699.0</v>
      </c>
      <c r="S22" s="69">
        <v>5825.0</v>
      </c>
      <c r="T22" s="69">
        <v>4718.0</v>
      </c>
      <c r="U22" s="69">
        <v>5480.0</v>
      </c>
      <c r="V22" s="69">
        <v>5086.0</v>
      </c>
      <c r="W22" s="69">
        <v>5478.0</v>
      </c>
      <c r="X22" s="69">
        <v>5364.0</v>
      </c>
      <c r="Y22" s="69">
        <v>4908.0</v>
      </c>
      <c r="Z22" s="69">
        <v>5109.0</v>
      </c>
      <c r="AA22" s="69">
        <v>4919.0</v>
      </c>
      <c r="AB22" s="70">
        <v>5185.0</v>
      </c>
      <c r="AC22" s="70">
        <v>4585.0</v>
      </c>
      <c r="AD22" s="70">
        <v>5504.0</v>
      </c>
      <c r="AE22" s="70">
        <v>7601.0</v>
      </c>
      <c r="AF22" s="70">
        <v>4599.0</v>
      </c>
      <c r="AG22" s="70">
        <v>4688.0</v>
      </c>
      <c r="AH22" s="70">
        <v>4673.0</v>
      </c>
      <c r="AI22" s="70">
        <v>4838.0</v>
      </c>
      <c r="AJ22" s="70">
        <v>4203.0</v>
      </c>
      <c r="AK22" s="70">
        <v>5318.0</v>
      </c>
      <c r="AL22" s="70">
        <v>5292.0</v>
      </c>
    </row>
    <row r="23" ht="15.75" customHeight="1">
      <c r="A23" s="12"/>
      <c r="B23" s="71">
        <v>1.4</v>
      </c>
      <c r="C23" s="72">
        <f t="shared" si="1"/>
        <v>1400</v>
      </c>
      <c r="D23" s="72">
        <v>3493.0</v>
      </c>
      <c r="E23" s="66"/>
      <c r="F23" s="12"/>
      <c r="G23" s="12"/>
      <c r="H23" s="12"/>
      <c r="I23" s="12"/>
      <c r="J23" s="67">
        <v>1.4</v>
      </c>
      <c r="K23" s="68">
        <v>1400.0</v>
      </c>
      <c r="L23" s="69">
        <v>4177.0</v>
      </c>
      <c r="M23" s="69">
        <v>4961.0</v>
      </c>
      <c r="N23" s="69">
        <v>4911.0</v>
      </c>
      <c r="O23" s="69">
        <v>4981.0</v>
      </c>
      <c r="P23" s="69">
        <v>7533.0</v>
      </c>
      <c r="Q23" s="69">
        <v>4801.0</v>
      </c>
      <c r="R23" s="69">
        <v>4699.0</v>
      </c>
      <c r="S23" s="69">
        <v>5825.0</v>
      </c>
      <c r="T23" s="69">
        <v>4718.0</v>
      </c>
      <c r="U23" s="69">
        <v>5480.0</v>
      </c>
      <c r="V23" s="69">
        <v>5086.0</v>
      </c>
      <c r="W23" s="69">
        <v>5478.0</v>
      </c>
      <c r="X23" s="69">
        <v>5364.0</v>
      </c>
      <c r="Y23" s="69">
        <v>4908.0</v>
      </c>
      <c r="Z23" s="69">
        <v>5109.0</v>
      </c>
      <c r="AA23" s="69">
        <v>4919.0</v>
      </c>
      <c r="AB23" s="70">
        <v>5185.0</v>
      </c>
      <c r="AC23" s="70">
        <v>4585.0</v>
      </c>
      <c r="AD23" s="70">
        <v>5504.0</v>
      </c>
      <c r="AE23" s="70">
        <v>7601.0</v>
      </c>
      <c r="AF23" s="70">
        <v>4599.0</v>
      </c>
      <c r="AG23" s="70">
        <v>4688.0</v>
      </c>
      <c r="AH23" s="70">
        <v>4673.0</v>
      </c>
      <c r="AI23" s="70">
        <v>4838.0</v>
      </c>
      <c r="AJ23" s="70">
        <v>4203.0</v>
      </c>
      <c r="AK23" s="70">
        <v>5318.0</v>
      </c>
      <c r="AL23" s="70">
        <v>5292.0</v>
      </c>
    </row>
    <row r="24" ht="15.75" customHeight="1">
      <c r="A24" s="12"/>
      <c r="B24" s="64">
        <v>1.5</v>
      </c>
      <c r="C24" s="65">
        <f t="shared" si="1"/>
        <v>1500</v>
      </c>
      <c r="D24" s="65">
        <v>3599.0</v>
      </c>
      <c r="E24" s="66"/>
      <c r="F24" s="12"/>
      <c r="G24" s="12"/>
      <c r="H24" s="12"/>
      <c r="I24" s="12"/>
      <c r="J24" s="67">
        <v>1.5</v>
      </c>
      <c r="K24" s="68">
        <v>1500.0</v>
      </c>
      <c r="L24" s="69">
        <v>4741.0</v>
      </c>
      <c r="M24" s="69">
        <v>4961.0</v>
      </c>
      <c r="N24" s="69">
        <v>4911.0</v>
      </c>
      <c r="O24" s="69">
        <v>4981.0</v>
      </c>
      <c r="P24" s="69">
        <v>7533.0</v>
      </c>
      <c r="Q24" s="69">
        <v>4801.0</v>
      </c>
      <c r="R24" s="69">
        <v>4699.0</v>
      </c>
      <c r="S24" s="69">
        <v>5825.0</v>
      </c>
      <c r="T24" s="69">
        <v>4718.0</v>
      </c>
      <c r="U24" s="69">
        <v>5480.0</v>
      </c>
      <c r="V24" s="69">
        <v>5086.0</v>
      </c>
      <c r="W24" s="69">
        <v>5478.0</v>
      </c>
      <c r="X24" s="69">
        <v>5364.0</v>
      </c>
      <c r="Y24" s="69">
        <v>4908.0</v>
      </c>
      <c r="Z24" s="69">
        <v>5109.0</v>
      </c>
      <c r="AA24" s="69">
        <v>4919.0</v>
      </c>
      <c r="AB24" s="70">
        <v>5185.0</v>
      </c>
      <c r="AC24" s="70">
        <v>4585.0</v>
      </c>
      <c r="AD24" s="70">
        <v>5504.0</v>
      </c>
      <c r="AE24" s="70">
        <v>7601.0</v>
      </c>
      <c r="AF24" s="70">
        <v>4599.0</v>
      </c>
      <c r="AG24" s="70">
        <v>4688.0</v>
      </c>
      <c r="AH24" s="70">
        <v>4673.0</v>
      </c>
      <c r="AI24" s="70">
        <v>4838.0</v>
      </c>
      <c r="AJ24" s="70">
        <v>4203.0</v>
      </c>
      <c r="AK24" s="70">
        <v>5318.0</v>
      </c>
      <c r="AL24" s="70">
        <v>5292.0</v>
      </c>
    </row>
    <row r="25" ht="15.75" customHeight="1">
      <c r="A25" s="12"/>
      <c r="B25" s="71">
        <v>1.6</v>
      </c>
      <c r="C25" s="72">
        <f t="shared" si="1"/>
        <v>1600</v>
      </c>
      <c r="D25" s="72">
        <v>3711.0</v>
      </c>
      <c r="E25" s="66"/>
      <c r="F25" s="12" t="s">
        <v>699</v>
      </c>
      <c r="G25" s="12"/>
      <c r="H25" s="12"/>
      <c r="I25" s="12"/>
      <c r="J25" s="67">
        <v>1.6</v>
      </c>
      <c r="K25" s="68">
        <v>1600.0</v>
      </c>
      <c r="L25" s="69">
        <v>5445.0</v>
      </c>
      <c r="M25" s="69">
        <v>6576.0</v>
      </c>
      <c r="N25" s="69">
        <v>6483.0</v>
      </c>
      <c r="O25" s="69">
        <v>6860.0</v>
      </c>
      <c r="P25" s="69">
        <v>12846.0</v>
      </c>
      <c r="Q25" s="69">
        <v>6095.0</v>
      </c>
      <c r="R25" s="69">
        <v>5944.0</v>
      </c>
      <c r="S25" s="69">
        <v>7550.0</v>
      </c>
      <c r="T25" s="69">
        <v>6235.0</v>
      </c>
      <c r="U25" s="69">
        <v>7030.0</v>
      </c>
      <c r="V25" s="69">
        <v>6687.0</v>
      </c>
      <c r="W25" s="69">
        <v>8101.0</v>
      </c>
      <c r="X25" s="69">
        <v>7302.0</v>
      </c>
      <c r="Y25" s="69">
        <v>6325.0</v>
      </c>
      <c r="Z25" s="69">
        <v>6746.0</v>
      </c>
      <c r="AA25" s="69">
        <v>6463.0</v>
      </c>
      <c r="AB25" s="70">
        <v>6649.0</v>
      </c>
      <c r="AC25" s="70">
        <v>5888.0</v>
      </c>
      <c r="AD25" s="70">
        <v>7342.0</v>
      </c>
      <c r="AE25" s="70">
        <v>10521.0</v>
      </c>
      <c r="AF25" s="70">
        <v>5825.0</v>
      </c>
      <c r="AG25" s="70">
        <v>6319.0</v>
      </c>
      <c r="AH25" s="70">
        <v>6429.0</v>
      </c>
      <c r="AI25" s="70">
        <v>6644.0</v>
      </c>
      <c r="AJ25" s="70">
        <v>5526.0</v>
      </c>
      <c r="AK25" s="70">
        <v>7013.0</v>
      </c>
      <c r="AL25" s="70">
        <v>6924.0</v>
      </c>
    </row>
    <row r="26" ht="15.75" customHeight="1">
      <c r="A26" s="12"/>
      <c r="B26" s="64">
        <v>1.7</v>
      </c>
      <c r="C26" s="65">
        <f t="shared" si="1"/>
        <v>1700</v>
      </c>
      <c r="D26" s="65">
        <v>3816.0</v>
      </c>
      <c r="E26" s="66"/>
      <c r="F26" s="12" t="s">
        <v>715</v>
      </c>
      <c r="G26" s="12"/>
      <c r="H26" s="12"/>
      <c r="I26" s="12"/>
      <c r="J26" s="67">
        <v>1.7</v>
      </c>
      <c r="K26" s="68">
        <v>1700.0</v>
      </c>
      <c r="L26" s="69">
        <v>5518.0</v>
      </c>
      <c r="M26" s="69">
        <v>6576.0</v>
      </c>
      <c r="N26" s="69">
        <v>6483.0</v>
      </c>
      <c r="O26" s="69">
        <v>6860.0</v>
      </c>
      <c r="P26" s="69">
        <v>12846.0</v>
      </c>
      <c r="Q26" s="69">
        <v>6095.0</v>
      </c>
      <c r="R26" s="69">
        <v>5944.0</v>
      </c>
      <c r="S26" s="69">
        <v>7550.0</v>
      </c>
      <c r="T26" s="69">
        <v>6235.0</v>
      </c>
      <c r="U26" s="69">
        <v>7030.0</v>
      </c>
      <c r="V26" s="69">
        <v>6687.0</v>
      </c>
      <c r="W26" s="69">
        <v>8101.0</v>
      </c>
      <c r="X26" s="69">
        <v>7302.0</v>
      </c>
      <c r="Y26" s="69">
        <v>6325.0</v>
      </c>
      <c r="Z26" s="69">
        <v>6746.0</v>
      </c>
      <c r="AA26" s="69">
        <v>6463.0</v>
      </c>
      <c r="AB26" s="70">
        <v>6649.0</v>
      </c>
      <c r="AC26" s="70">
        <v>5888.0</v>
      </c>
      <c r="AD26" s="70">
        <v>7342.0</v>
      </c>
      <c r="AE26" s="70">
        <v>10521.0</v>
      </c>
      <c r="AF26" s="70">
        <v>5825.0</v>
      </c>
      <c r="AG26" s="70">
        <v>6319.0</v>
      </c>
      <c r="AH26" s="70">
        <v>6429.0</v>
      </c>
      <c r="AI26" s="70">
        <v>6644.0</v>
      </c>
      <c r="AJ26" s="70">
        <v>5526.0</v>
      </c>
      <c r="AK26" s="70">
        <v>7013.0</v>
      </c>
      <c r="AL26" s="70">
        <v>6924.0</v>
      </c>
    </row>
    <row r="27" ht="15.75" customHeight="1">
      <c r="A27" s="12"/>
      <c r="B27" s="71">
        <v>1.8</v>
      </c>
      <c r="C27" s="72">
        <f t="shared" si="1"/>
        <v>1800</v>
      </c>
      <c r="D27" s="72">
        <v>3928.0</v>
      </c>
      <c r="E27" s="66"/>
      <c r="F27" s="12" t="s">
        <v>734</v>
      </c>
      <c r="G27" s="12"/>
      <c r="H27" s="12"/>
      <c r="I27" s="12"/>
      <c r="J27" s="67">
        <v>1.8</v>
      </c>
      <c r="K27" s="68">
        <v>1800.0</v>
      </c>
      <c r="L27" s="69">
        <v>6092.0</v>
      </c>
      <c r="M27" s="69">
        <v>6576.0</v>
      </c>
      <c r="N27" s="69">
        <v>6483.0</v>
      </c>
      <c r="O27" s="69">
        <v>6860.0</v>
      </c>
      <c r="P27" s="69">
        <v>12846.0</v>
      </c>
      <c r="Q27" s="69">
        <v>6095.0</v>
      </c>
      <c r="R27" s="69">
        <v>5944.0</v>
      </c>
      <c r="S27" s="69">
        <v>7550.0</v>
      </c>
      <c r="T27" s="69">
        <v>6235.0</v>
      </c>
      <c r="U27" s="69">
        <v>7030.0</v>
      </c>
      <c r="V27" s="69">
        <v>6687.0</v>
      </c>
      <c r="W27" s="69">
        <v>8101.0</v>
      </c>
      <c r="X27" s="69">
        <v>7302.0</v>
      </c>
      <c r="Y27" s="69">
        <v>6325.0</v>
      </c>
      <c r="Z27" s="69">
        <v>6746.0</v>
      </c>
      <c r="AA27" s="69">
        <v>6463.0</v>
      </c>
      <c r="AB27" s="70">
        <v>6649.0</v>
      </c>
      <c r="AC27" s="70">
        <v>5888.0</v>
      </c>
      <c r="AD27" s="70">
        <v>7342.0</v>
      </c>
      <c r="AE27" s="70">
        <v>10521.0</v>
      </c>
      <c r="AF27" s="70">
        <v>5825.0</v>
      </c>
      <c r="AG27" s="70">
        <v>6319.0</v>
      </c>
      <c r="AH27" s="70">
        <v>6429.0</v>
      </c>
      <c r="AI27" s="70">
        <v>6644.0</v>
      </c>
      <c r="AJ27" s="70">
        <v>5526.0</v>
      </c>
      <c r="AK27" s="70">
        <v>7013.0</v>
      </c>
      <c r="AL27" s="70">
        <v>6924.0</v>
      </c>
    </row>
    <row r="28" ht="15.75" customHeight="1">
      <c r="A28" s="12"/>
      <c r="B28" s="64">
        <v>1.9</v>
      </c>
      <c r="C28" s="65">
        <f t="shared" si="1"/>
        <v>1900</v>
      </c>
      <c r="D28" s="65">
        <v>4768.0</v>
      </c>
      <c r="E28" s="66"/>
      <c r="F28" s="12" t="s">
        <v>749</v>
      </c>
      <c r="G28" s="12"/>
      <c r="H28" s="12"/>
      <c r="I28" s="12"/>
      <c r="J28" s="67">
        <v>1.9</v>
      </c>
      <c r="K28" s="68">
        <v>1900.0</v>
      </c>
      <c r="L28" s="69">
        <v>6161.0</v>
      </c>
      <c r="M28" s="69">
        <v>7304.0</v>
      </c>
      <c r="N28" s="69">
        <v>7213.0</v>
      </c>
      <c r="O28" s="69">
        <v>7588.0</v>
      </c>
      <c r="P28" s="69">
        <v>13576.0</v>
      </c>
      <c r="Q28" s="69">
        <v>6822.0</v>
      </c>
      <c r="R28" s="69">
        <v>6672.0</v>
      </c>
      <c r="S28" s="69">
        <v>8279.0</v>
      </c>
      <c r="T28" s="69">
        <v>6963.0</v>
      </c>
      <c r="U28" s="69">
        <v>7759.0</v>
      </c>
      <c r="V28" s="69">
        <v>7414.0</v>
      </c>
      <c r="W28" s="69">
        <v>8830.0</v>
      </c>
      <c r="X28" s="69">
        <v>8031.0</v>
      </c>
      <c r="Y28" s="69">
        <v>7054.0</v>
      </c>
      <c r="Z28" s="69">
        <v>7474.0</v>
      </c>
      <c r="AA28" s="69">
        <v>7193.0</v>
      </c>
      <c r="AB28" s="70">
        <v>7378.0</v>
      </c>
      <c r="AC28" s="70">
        <v>6616.0</v>
      </c>
      <c r="AD28" s="70">
        <v>8072.0</v>
      </c>
      <c r="AE28" s="70">
        <v>11250.0</v>
      </c>
      <c r="AF28" s="70">
        <v>6554.0</v>
      </c>
      <c r="AG28" s="70">
        <v>7048.0</v>
      </c>
      <c r="AH28" s="70">
        <v>7159.0</v>
      </c>
      <c r="AI28" s="70">
        <v>7373.0</v>
      </c>
      <c r="AJ28" s="70">
        <v>6254.0</v>
      </c>
      <c r="AK28" s="70">
        <v>7742.0</v>
      </c>
      <c r="AL28" s="70">
        <v>7654.0</v>
      </c>
    </row>
    <row r="29" ht="15.75" customHeight="1">
      <c r="A29" s="12"/>
      <c r="B29" s="71">
        <v>2.0</v>
      </c>
      <c r="C29" s="72">
        <f t="shared" si="1"/>
        <v>2000</v>
      </c>
      <c r="D29" s="72">
        <v>4947.0</v>
      </c>
      <c r="E29" s="66"/>
      <c r="F29" s="12" t="s">
        <v>764</v>
      </c>
      <c r="G29" s="12"/>
      <c r="H29" s="12"/>
      <c r="I29" s="12"/>
      <c r="J29" s="67">
        <v>2.0</v>
      </c>
      <c r="K29" s="68">
        <v>2000.0</v>
      </c>
      <c r="L29" s="69">
        <v>7032.0</v>
      </c>
      <c r="M29" s="69">
        <v>7304.0</v>
      </c>
      <c r="N29" s="69">
        <v>7213.0</v>
      </c>
      <c r="O29" s="69">
        <v>7588.0</v>
      </c>
      <c r="P29" s="69">
        <v>13576.0</v>
      </c>
      <c r="Q29" s="69">
        <v>6822.0</v>
      </c>
      <c r="R29" s="69">
        <v>6672.0</v>
      </c>
      <c r="S29" s="69">
        <v>8279.0</v>
      </c>
      <c r="T29" s="69">
        <v>6963.0</v>
      </c>
      <c r="U29" s="69">
        <v>7759.0</v>
      </c>
      <c r="V29" s="69">
        <v>7414.0</v>
      </c>
      <c r="W29" s="69">
        <v>8830.0</v>
      </c>
      <c r="X29" s="69">
        <v>8031.0</v>
      </c>
      <c r="Y29" s="69">
        <v>7054.0</v>
      </c>
      <c r="Z29" s="69">
        <v>7474.0</v>
      </c>
      <c r="AA29" s="69">
        <v>7193.0</v>
      </c>
      <c r="AB29" s="70">
        <v>7378.0</v>
      </c>
      <c r="AC29" s="70">
        <v>6616.0</v>
      </c>
      <c r="AD29" s="70">
        <v>8072.0</v>
      </c>
      <c r="AE29" s="70">
        <v>11250.0</v>
      </c>
      <c r="AF29" s="70">
        <v>6554.0</v>
      </c>
      <c r="AG29" s="70">
        <v>7048.0</v>
      </c>
      <c r="AH29" s="70">
        <v>7159.0</v>
      </c>
      <c r="AI29" s="70">
        <v>7373.0</v>
      </c>
      <c r="AJ29" s="70">
        <v>6254.0</v>
      </c>
      <c r="AK29" s="70">
        <v>7742.0</v>
      </c>
      <c r="AL29" s="70">
        <v>7654.0</v>
      </c>
    </row>
    <row r="30" ht="15.75" customHeight="1">
      <c r="A30" s="12"/>
      <c r="B30" s="64">
        <v>2.5</v>
      </c>
      <c r="C30" s="65">
        <f t="shared" si="1"/>
        <v>2500</v>
      </c>
      <c r="D30" s="65">
        <v>5264.0</v>
      </c>
      <c r="E30" s="66"/>
      <c r="F30" s="12"/>
      <c r="G30" s="12"/>
      <c r="H30" s="12"/>
      <c r="I30" s="12"/>
      <c r="J30" s="67">
        <v>2.5</v>
      </c>
      <c r="K30" s="68">
        <v>2500.0</v>
      </c>
      <c r="L30" s="69">
        <v>8279.0</v>
      </c>
      <c r="M30" s="69">
        <v>9106.0</v>
      </c>
      <c r="N30" s="69">
        <v>8796.0</v>
      </c>
      <c r="O30" s="69">
        <v>9442.0</v>
      </c>
      <c r="P30" s="69">
        <v>16862.0</v>
      </c>
      <c r="Q30" s="69">
        <v>8336.0</v>
      </c>
      <c r="R30" s="69">
        <v>8350.0</v>
      </c>
      <c r="S30" s="69">
        <v>9790.0</v>
      </c>
      <c r="T30" s="69">
        <v>8705.0</v>
      </c>
      <c r="U30" s="69">
        <v>9225.0</v>
      </c>
      <c r="V30" s="69">
        <v>9152.0</v>
      </c>
      <c r="W30" s="69">
        <v>11230.0</v>
      </c>
      <c r="X30" s="69">
        <v>10087.0</v>
      </c>
      <c r="Y30" s="69">
        <v>8567.0</v>
      </c>
      <c r="Z30" s="69">
        <v>9294.0</v>
      </c>
      <c r="AA30" s="69">
        <v>9149.0</v>
      </c>
      <c r="AB30" s="70">
        <v>8890.0</v>
      </c>
      <c r="AC30" s="70">
        <v>8177.0</v>
      </c>
      <c r="AD30" s="70">
        <v>9583.0</v>
      </c>
      <c r="AE30" s="70">
        <v>14054.0</v>
      </c>
      <c r="AF30" s="70">
        <v>8022.0</v>
      </c>
      <c r="AG30" s="70">
        <v>8893.0</v>
      </c>
      <c r="AH30" s="70">
        <v>8788.0</v>
      </c>
      <c r="AI30" s="70">
        <v>9225.0</v>
      </c>
      <c r="AJ30" s="70">
        <v>7714.0</v>
      </c>
      <c r="AK30" s="70">
        <v>9248.0</v>
      </c>
      <c r="AL30" s="70">
        <v>9061.0</v>
      </c>
    </row>
    <row r="31" ht="15.75" customHeight="1">
      <c r="A31" s="12"/>
      <c r="B31" s="71">
        <v>3.0</v>
      </c>
      <c r="C31" s="72">
        <f t="shared" si="1"/>
        <v>3000</v>
      </c>
      <c r="D31" s="72">
        <v>5973.0</v>
      </c>
      <c r="E31" s="66"/>
      <c r="F31" s="12"/>
      <c r="G31" s="12"/>
      <c r="H31" s="12"/>
      <c r="I31" s="12"/>
      <c r="J31" s="67">
        <v>3.0</v>
      </c>
      <c r="K31" s="68">
        <v>3000.0</v>
      </c>
      <c r="L31" s="69">
        <v>9407.0</v>
      </c>
      <c r="M31" s="69">
        <v>10182.0</v>
      </c>
      <c r="N31" s="69">
        <v>9654.0</v>
      </c>
      <c r="O31" s="69">
        <v>10569.0</v>
      </c>
      <c r="P31" s="69">
        <v>19424.0</v>
      </c>
      <c r="Q31" s="69">
        <v>9113.0</v>
      </c>
      <c r="R31" s="69">
        <v>9084.0</v>
      </c>
      <c r="S31" s="69">
        <v>10569.0</v>
      </c>
      <c r="T31" s="69">
        <v>9719.0</v>
      </c>
      <c r="U31" s="69">
        <v>9963.0</v>
      </c>
      <c r="V31" s="69">
        <v>10160.0</v>
      </c>
      <c r="W31" s="69">
        <v>12896.0</v>
      </c>
      <c r="X31" s="69">
        <v>11317.0</v>
      </c>
      <c r="Y31" s="69">
        <v>9344.0</v>
      </c>
      <c r="Z31" s="69">
        <v>10377.0</v>
      </c>
      <c r="AA31" s="69">
        <v>10163.0</v>
      </c>
      <c r="AB31" s="70">
        <v>9668.0</v>
      </c>
      <c r="AC31" s="70">
        <v>9003.0</v>
      </c>
      <c r="AD31" s="70">
        <v>10361.0</v>
      </c>
      <c r="AE31" s="70">
        <v>16129.0</v>
      </c>
      <c r="AF31" s="70">
        <v>8759.0</v>
      </c>
      <c r="AG31" s="70">
        <v>10005.0</v>
      </c>
      <c r="AH31" s="70">
        <v>9564.0</v>
      </c>
      <c r="AI31" s="70">
        <v>10353.0</v>
      </c>
      <c r="AJ31" s="70">
        <v>8441.0</v>
      </c>
      <c r="AK31" s="70">
        <v>10029.0</v>
      </c>
      <c r="AL31" s="70">
        <v>9838.0</v>
      </c>
    </row>
    <row r="32" ht="15.75" customHeight="1">
      <c r="A32" s="12"/>
      <c r="B32" s="64">
        <v>3.5</v>
      </c>
      <c r="C32" s="65">
        <f t="shared" si="1"/>
        <v>3500</v>
      </c>
      <c r="D32" s="65">
        <v>6562.0</v>
      </c>
      <c r="E32" s="66"/>
      <c r="F32" s="12"/>
      <c r="G32" s="12"/>
      <c r="H32" s="12"/>
      <c r="I32" s="12"/>
      <c r="J32" s="67">
        <v>3.5</v>
      </c>
      <c r="K32" s="68">
        <v>3500.0</v>
      </c>
      <c r="L32" s="69">
        <v>11430.0</v>
      </c>
      <c r="M32" s="69">
        <v>11984.0</v>
      </c>
      <c r="N32" s="69">
        <v>11800.0</v>
      </c>
      <c r="O32" s="69">
        <v>13286.0</v>
      </c>
      <c r="P32" s="69">
        <v>22713.0</v>
      </c>
      <c r="Q32" s="69">
        <v>10622.0</v>
      </c>
      <c r="R32" s="69">
        <v>10895.0</v>
      </c>
      <c r="S32" s="69">
        <v>12078.0</v>
      </c>
      <c r="T32" s="69">
        <v>12185.0</v>
      </c>
      <c r="U32" s="69">
        <v>11776.0</v>
      </c>
      <c r="V32" s="69">
        <v>11825.0</v>
      </c>
      <c r="W32" s="69">
        <v>15293.0</v>
      </c>
      <c r="X32" s="69">
        <v>13520.0</v>
      </c>
      <c r="Y32" s="69">
        <v>10852.0</v>
      </c>
      <c r="Z32" s="69">
        <v>12194.0</v>
      </c>
      <c r="AA32" s="69">
        <v>12029.0</v>
      </c>
      <c r="AB32" s="70">
        <v>11176.0</v>
      </c>
      <c r="AC32" s="70">
        <v>10597.0</v>
      </c>
      <c r="AD32" s="70">
        <v>11871.0</v>
      </c>
      <c r="AE32" s="70">
        <v>18931.0</v>
      </c>
      <c r="AF32" s="70">
        <v>10224.0</v>
      </c>
      <c r="AG32" s="70">
        <v>12146.0</v>
      </c>
      <c r="AH32" s="70">
        <v>11077.0</v>
      </c>
      <c r="AI32" s="70">
        <v>12337.0</v>
      </c>
      <c r="AJ32" s="70">
        <v>10183.0</v>
      </c>
      <c r="AK32" s="70">
        <v>11538.0</v>
      </c>
      <c r="AL32" s="70">
        <v>11346.0</v>
      </c>
    </row>
    <row r="33" ht="15.75" customHeight="1">
      <c r="A33" s="12"/>
      <c r="B33" s="71">
        <v>4.0</v>
      </c>
      <c r="C33" s="72">
        <f t="shared" si="1"/>
        <v>4000</v>
      </c>
      <c r="D33" s="72">
        <v>7266.0</v>
      </c>
      <c r="E33" s="66"/>
      <c r="F33" s="12"/>
      <c r="G33" s="12"/>
      <c r="H33" s="12"/>
      <c r="I33" s="12"/>
      <c r="J33" s="67">
        <v>4.0</v>
      </c>
      <c r="K33" s="68">
        <v>4000.0</v>
      </c>
      <c r="L33" s="69">
        <v>12560.0</v>
      </c>
      <c r="M33" s="69">
        <v>12713.0</v>
      </c>
      <c r="N33" s="69">
        <v>12529.0</v>
      </c>
      <c r="O33" s="69">
        <v>14015.0</v>
      </c>
      <c r="P33" s="69">
        <v>23443.0</v>
      </c>
      <c r="Q33" s="69">
        <v>11352.0</v>
      </c>
      <c r="R33" s="69">
        <v>11625.0</v>
      </c>
      <c r="S33" s="69">
        <v>12808.0</v>
      </c>
      <c r="T33" s="69">
        <v>12915.0</v>
      </c>
      <c r="U33" s="69">
        <v>12504.0</v>
      </c>
      <c r="V33" s="69">
        <v>12554.0</v>
      </c>
      <c r="W33" s="69">
        <v>16022.0</v>
      </c>
      <c r="X33" s="69">
        <v>14248.0</v>
      </c>
      <c r="Y33" s="69">
        <v>11582.0</v>
      </c>
      <c r="Z33" s="69">
        <v>12922.0</v>
      </c>
      <c r="AA33" s="69">
        <v>12758.0</v>
      </c>
      <c r="AB33" s="70">
        <v>11905.0</v>
      </c>
      <c r="AC33" s="70">
        <v>11326.0</v>
      </c>
      <c r="AD33" s="70">
        <v>12599.0</v>
      </c>
      <c r="AE33" s="70">
        <v>19662.0</v>
      </c>
      <c r="AF33" s="70">
        <v>10954.0</v>
      </c>
      <c r="AG33" s="70">
        <v>12876.0</v>
      </c>
      <c r="AH33" s="70">
        <v>11806.0</v>
      </c>
      <c r="AI33" s="70">
        <v>13066.0</v>
      </c>
      <c r="AJ33" s="70">
        <v>10913.0</v>
      </c>
      <c r="AK33" s="70">
        <v>12267.0</v>
      </c>
      <c r="AL33" s="70">
        <v>12077.0</v>
      </c>
    </row>
    <row r="34" ht="15.75" customHeight="1">
      <c r="A34" s="12"/>
      <c r="B34" s="64">
        <v>4.5</v>
      </c>
      <c r="C34" s="65">
        <f t="shared" si="1"/>
        <v>4500</v>
      </c>
      <c r="D34" s="65">
        <v>8615.0</v>
      </c>
      <c r="E34" s="66"/>
      <c r="F34" s="12"/>
      <c r="G34" s="12"/>
      <c r="H34" s="12"/>
      <c r="I34" s="12"/>
      <c r="J34" s="67">
        <v>4.5</v>
      </c>
      <c r="K34" s="68">
        <v>4500.0</v>
      </c>
      <c r="L34" s="69">
        <v>13709.0</v>
      </c>
      <c r="M34" s="69">
        <v>14516.0</v>
      </c>
      <c r="N34" s="69">
        <v>14113.0</v>
      </c>
      <c r="O34" s="69">
        <v>16011.0</v>
      </c>
      <c r="P34" s="69">
        <v>26735.0</v>
      </c>
      <c r="Q34" s="69">
        <v>12859.0</v>
      </c>
      <c r="R34" s="69">
        <v>13088.0</v>
      </c>
      <c r="S34" s="69">
        <v>14313.0</v>
      </c>
      <c r="T34" s="69">
        <v>14421.0</v>
      </c>
      <c r="U34" s="69">
        <v>13969.0</v>
      </c>
      <c r="V34" s="69">
        <v>14063.0</v>
      </c>
      <c r="W34" s="69">
        <v>18420.0</v>
      </c>
      <c r="X34" s="69">
        <v>16201.0</v>
      </c>
      <c r="Y34" s="69">
        <v>13088.0</v>
      </c>
      <c r="Z34" s="69">
        <v>14740.0</v>
      </c>
      <c r="AA34" s="69">
        <v>14500.0</v>
      </c>
      <c r="AB34" s="70">
        <v>13413.0</v>
      </c>
      <c r="AC34" s="70">
        <v>12884.0</v>
      </c>
      <c r="AD34" s="70">
        <v>14105.0</v>
      </c>
      <c r="AE34" s="70">
        <v>22463.0</v>
      </c>
      <c r="AF34" s="70">
        <v>12417.0</v>
      </c>
      <c r="AG34" s="70">
        <v>14717.0</v>
      </c>
      <c r="AH34" s="70">
        <v>13313.0</v>
      </c>
      <c r="AI34" s="70">
        <v>14918.0</v>
      </c>
      <c r="AJ34" s="70">
        <v>12371.0</v>
      </c>
      <c r="AK34" s="70">
        <v>13775.0</v>
      </c>
      <c r="AL34" s="70">
        <v>13585.0</v>
      </c>
    </row>
    <row r="35" ht="15.75" customHeight="1">
      <c r="A35" s="12"/>
      <c r="B35" s="71">
        <v>5.0</v>
      </c>
      <c r="C35" s="72">
        <f t="shared" si="1"/>
        <v>5000</v>
      </c>
      <c r="D35" s="72">
        <v>11065.0</v>
      </c>
      <c r="E35" s="66"/>
      <c r="F35" s="12"/>
      <c r="G35" s="12"/>
      <c r="H35" s="12"/>
      <c r="I35" s="12"/>
      <c r="J35" s="67">
        <v>5.0</v>
      </c>
      <c r="K35" s="68">
        <v>5000.0</v>
      </c>
      <c r="L35" s="69">
        <v>14829.0</v>
      </c>
      <c r="M35" s="69">
        <v>16321.0</v>
      </c>
      <c r="N35" s="69">
        <v>15694.0</v>
      </c>
      <c r="O35" s="69">
        <v>18032.0</v>
      </c>
      <c r="P35" s="69">
        <v>30020.0</v>
      </c>
      <c r="Q35" s="69">
        <v>14360.0</v>
      </c>
      <c r="R35" s="69">
        <v>14554.0</v>
      </c>
      <c r="S35" s="69">
        <v>15822.0</v>
      </c>
      <c r="T35" s="69">
        <v>15931.0</v>
      </c>
      <c r="U35" s="69">
        <v>15774.0</v>
      </c>
      <c r="V35" s="69">
        <v>15570.0</v>
      </c>
      <c r="W35" s="69">
        <v>20817.0</v>
      </c>
      <c r="X35" s="69">
        <v>17693.0</v>
      </c>
      <c r="Y35" s="69">
        <v>14596.0</v>
      </c>
      <c r="Z35" s="69">
        <v>16553.0</v>
      </c>
      <c r="AA35" s="69">
        <v>16240.0</v>
      </c>
      <c r="AB35" s="70">
        <v>14921.0</v>
      </c>
      <c r="AC35" s="70">
        <v>14440.0</v>
      </c>
      <c r="AD35" s="70">
        <v>15615.0</v>
      </c>
      <c r="AE35" s="70">
        <v>25267.0</v>
      </c>
      <c r="AF35" s="70">
        <v>13885.0</v>
      </c>
      <c r="AG35" s="70">
        <v>16562.0</v>
      </c>
      <c r="AH35" s="70">
        <v>14821.0</v>
      </c>
      <c r="AI35" s="70">
        <v>16966.0</v>
      </c>
      <c r="AJ35" s="70">
        <v>13829.0</v>
      </c>
      <c r="AK35" s="70">
        <v>15282.0</v>
      </c>
      <c r="AL35" s="70">
        <v>15096.0</v>
      </c>
    </row>
    <row r="36" ht="15.75" customHeight="1">
      <c r="A36" s="12"/>
      <c r="B36" s="64">
        <v>5.5</v>
      </c>
      <c r="C36" s="65">
        <f t="shared" si="1"/>
        <v>5500</v>
      </c>
      <c r="D36" s="65">
        <v>11789.0</v>
      </c>
      <c r="E36" s="66"/>
      <c r="F36" s="12"/>
      <c r="G36" s="12"/>
      <c r="H36" s="12"/>
      <c r="I36" s="12"/>
      <c r="J36" s="67">
        <v>5.5</v>
      </c>
      <c r="K36" s="68">
        <v>5500.0</v>
      </c>
      <c r="L36" s="69">
        <v>16905.0</v>
      </c>
      <c r="M36" s="69">
        <v>17396.0</v>
      </c>
      <c r="N36" s="69">
        <v>16554.0</v>
      </c>
      <c r="O36" s="69">
        <v>18990.0</v>
      </c>
      <c r="P36" s="69">
        <v>32586.0</v>
      </c>
      <c r="Q36" s="69">
        <v>15141.0</v>
      </c>
      <c r="R36" s="69">
        <v>15290.0</v>
      </c>
      <c r="S36" s="69">
        <v>16601.0</v>
      </c>
      <c r="T36" s="69">
        <v>16708.0</v>
      </c>
      <c r="U36" s="69">
        <v>16554.0</v>
      </c>
      <c r="V36" s="69">
        <v>16353.0</v>
      </c>
      <c r="W36" s="69">
        <v>22486.0</v>
      </c>
      <c r="X36" s="69">
        <v>18493.0</v>
      </c>
      <c r="Y36" s="69">
        <v>15375.0</v>
      </c>
      <c r="Z36" s="69">
        <v>17640.0</v>
      </c>
      <c r="AA36" s="69">
        <v>17120.0</v>
      </c>
      <c r="AB36" s="70">
        <v>15698.0</v>
      </c>
      <c r="AC36" s="70">
        <v>15271.0</v>
      </c>
      <c r="AD36" s="70">
        <v>16393.0</v>
      </c>
      <c r="AE36" s="70">
        <v>27340.0</v>
      </c>
      <c r="AF36" s="70">
        <v>14621.0</v>
      </c>
      <c r="AG36" s="70">
        <v>17677.0</v>
      </c>
      <c r="AH36" s="70">
        <v>15599.0</v>
      </c>
      <c r="AI36" s="70">
        <v>18165.0</v>
      </c>
      <c r="AJ36" s="70">
        <v>14559.0</v>
      </c>
      <c r="AK36" s="70">
        <v>16059.0</v>
      </c>
      <c r="AL36" s="70">
        <v>15872.0</v>
      </c>
    </row>
    <row r="37" ht="15.75" customHeight="1">
      <c r="A37" s="12"/>
      <c r="B37" s="71">
        <v>6.0</v>
      </c>
      <c r="C37" s="72">
        <f t="shared" si="1"/>
        <v>6000</v>
      </c>
      <c r="D37" s="72">
        <v>12576.0</v>
      </c>
      <c r="E37" s="66"/>
      <c r="F37" s="12"/>
      <c r="G37" s="12"/>
      <c r="H37" s="12"/>
      <c r="I37" s="12"/>
      <c r="J37" s="67">
        <v>6.0</v>
      </c>
      <c r="K37" s="68">
        <v>6000.0</v>
      </c>
      <c r="L37" s="69">
        <v>18028.0</v>
      </c>
      <c r="M37" s="69">
        <v>19201.0</v>
      </c>
      <c r="N37" s="69">
        <v>18138.0</v>
      </c>
      <c r="O37" s="69">
        <v>20501.0</v>
      </c>
      <c r="P37" s="69">
        <v>35874.0</v>
      </c>
      <c r="Q37" s="69">
        <v>16651.0</v>
      </c>
      <c r="R37" s="69">
        <v>16755.0</v>
      </c>
      <c r="S37" s="69">
        <v>18112.0</v>
      </c>
      <c r="T37" s="69">
        <v>18214.0</v>
      </c>
      <c r="U37" s="69">
        <v>18064.0</v>
      </c>
      <c r="V37" s="69">
        <v>17858.0</v>
      </c>
      <c r="W37" s="69">
        <v>24883.0</v>
      </c>
      <c r="X37" s="69">
        <v>20006.0</v>
      </c>
      <c r="Y37" s="69">
        <v>16886.0</v>
      </c>
      <c r="Z37" s="69">
        <v>19459.0</v>
      </c>
      <c r="AA37" s="69">
        <v>18626.0</v>
      </c>
      <c r="AB37" s="70">
        <v>17211.0</v>
      </c>
      <c r="AC37" s="70">
        <v>16828.0</v>
      </c>
      <c r="AD37" s="70">
        <v>17904.0</v>
      </c>
      <c r="AE37" s="70">
        <v>30143.0</v>
      </c>
      <c r="AF37" s="70">
        <v>16088.0</v>
      </c>
      <c r="AG37" s="70">
        <v>19517.0</v>
      </c>
      <c r="AH37" s="70">
        <v>17109.0</v>
      </c>
      <c r="AI37" s="70">
        <v>20103.0</v>
      </c>
      <c r="AJ37" s="70">
        <v>16017.0</v>
      </c>
      <c r="AK37" s="70">
        <v>17567.0</v>
      </c>
      <c r="AL37" s="70">
        <v>17380.0</v>
      </c>
    </row>
    <row r="38" ht="15.75" customHeight="1">
      <c r="A38" s="12"/>
      <c r="B38" s="64">
        <v>6.5</v>
      </c>
      <c r="C38" s="65">
        <f t="shared" si="1"/>
        <v>6500</v>
      </c>
      <c r="D38" s="65">
        <v>13354.0</v>
      </c>
      <c r="E38" s="66"/>
      <c r="F38" s="12"/>
      <c r="G38" s="12"/>
      <c r="H38" s="12"/>
      <c r="I38" s="12"/>
      <c r="J38" s="67">
        <v>6.5</v>
      </c>
      <c r="K38" s="68">
        <v>6500.0</v>
      </c>
      <c r="L38" s="69">
        <v>19169.0</v>
      </c>
      <c r="M38" s="69">
        <v>19930.0</v>
      </c>
      <c r="N38" s="69">
        <v>18866.0</v>
      </c>
      <c r="O38" s="69">
        <v>21229.0</v>
      </c>
      <c r="P38" s="69">
        <v>36604.0</v>
      </c>
      <c r="Q38" s="69">
        <v>17379.0</v>
      </c>
      <c r="R38" s="69">
        <v>17485.0</v>
      </c>
      <c r="S38" s="69">
        <v>18841.0</v>
      </c>
      <c r="T38" s="69">
        <v>18944.0</v>
      </c>
      <c r="U38" s="69">
        <v>18792.0</v>
      </c>
      <c r="V38" s="69">
        <v>18588.0</v>
      </c>
      <c r="W38" s="69">
        <v>25613.0</v>
      </c>
      <c r="X38" s="69">
        <v>20733.0</v>
      </c>
      <c r="Y38" s="69">
        <v>17615.0</v>
      </c>
      <c r="Z38" s="69">
        <v>20189.0</v>
      </c>
      <c r="AA38" s="69">
        <v>19356.0</v>
      </c>
      <c r="AB38" s="70">
        <v>17939.0</v>
      </c>
      <c r="AC38" s="70">
        <v>17555.0</v>
      </c>
      <c r="AD38" s="70">
        <v>18634.0</v>
      </c>
      <c r="AE38" s="70">
        <v>30872.0</v>
      </c>
      <c r="AF38" s="70">
        <v>16816.0</v>
      </c>
      <c r="AG38" s="70">
        <v>20246.0</v>
      </c>
      <c r="AH38" s="70">
        <v>17838.0</v>
      </c>
      <c r="AI38" s="70">
        <v>20831.0</v>
      </c>
      <c r="AJ38" s="70">
        <v>16746.0</v>
      </c>
      <c r="AK38" s="70">
        <v>18295.0</v>
      </c>
      <c r="AL38" s="70">
        <v>18111.0</v>
      </c>
    </row>
    <row r="39" ht="15.75" customHeight="1">
      <c r="A39" s="12"/>
      <c r="B39" s="71">
        <v>7.0</v>
      </c>
      <c r="C39" s="72">
        <f t="shared" si="1"/>
        <v>7000</v>
      </c>
      <c r="D39" s="72">
        <v>14344.0</v>
      </c>
      <c r="E39" s="66"/>
      <c r="F39" s="12"/>
      <c r="G39" s="12"/>
      <c r="H39" s="12"/>
      <c r="I39" s="12"/>
      <c r="J39" s="67">
        <v>7.0</v>
      </c>
      <c r="K39" s="68">
        <v>7000.0</v>
      </c>
      <c r="L39" s="69">
        <v>21220.0</v>
      </c>
      <c r="M39" s="69">
        <v>23094.0</v>
      </c>
      <c r="N39" s="69">
        <v>21528.0</v>
      </c>
      <c r="O39" s="69">
        <v>22960.0</v>
      </c>
      <c r="P39" s="69">
        <v>47195.0</v>
      </c>
      <c r="Q39" s="69">
        <v>19087.0</v>
      </c>
      <c r="R39" s="69">
        <v>19199.0</v>
      </c>
      <c r="S39" s="69">
        <v>20544.0</v>
      </c>
      <c r="T39" s="69">
        <v>20651.0</v>
      </c>
      <c r="U39" s="69">
        <v>22170.0</v>
      </c>
      <c r="V39" s="69">
        <v>20300.0</v>
      </c>
      <c r="W39" s="69">
        <v>31768.0</v>
      </c>
      <c r="X39" s="69">
        <v>22438.0</v>
      </c>
      <c r="Y39" s="69">
        <v>19318.0</v>
      </c>
      <c r="Z39" s="69">
        <v>22664.0</v>
      </c>
      <c r="AA39" s="69">
        <v>21052.0</v>
      </c>
      <c r="AB39" s="70">
        <v>19642.0</v>
      </c>
      <c r="AC39" s="70">
        <v>19526.0</v>
      </c>
      <c r="AD39" s="70">
        <v>20337.0</v>
      </c>
      <c r="AE39" s="70">
        <v>39063.0</v>
      </c>
      <c r="AF39" s="70">
        <v>19009.0</v>
      </c>
      <c r="AG39" s="70">
        <v>23629.0</v>
      </c>
      <c r="AH39" s="70">
        <v>19544.0</v>
      </c>
      <c r="AI39" s="70">
        <v>24657.0</v>
      </c>
      <c r="AJ39" s="70">
        <v>18348.0</v>
      </c>
      <c r="AK39" s="70">
        <v>20006.0</v>
      </c>
      <c r="AL39" s="70">
        <v>19818.0</v>
      </c>
    </row>
    <row r="40" ht="15.75" customHeight="1">
      <c r="A40" s="12"/>
      <c r="B40" s="64">
        <v>7.5</v>
      </c>
      <c r="C40" s="65">
        <f t="shared" si="1"/>
        <v>7500</v>
      </c>
      <c r="D40" s="65">
        <v>15144.0</v>
      </c>
      <c r="E40" s="66"/>
      <c r="F40" s="12"/>
      <c r="G40" s="12"/>
      <c r="H40" s="12"/>
      <c r="I40" s="12"/>
      <c r="J40" s="67">
        <v>7.5</v>
      </c>
      <c r="K40" s="68">
        <v>7500.0</v>
      </c>
      <c r="L40" s="69">
        <v>22364.0</v>
      </c>
      <c r="M40" s="69">
        <v>24552.0</v>
      </c>
      <c r="N40" s="69">
        <v>22986.0</v>
      </c>
      <c r="O40" s="69">
        <v>24418.0</v>
      </c>
      <c r="P40" s="69">
        <v>48654.0</v>
      </c>
      <c r="Q40" s="69">
        <v>20546.0</v>
      </c>
      <c r="R40" s="69">
        <v>20658.0</v>
      </c>
      <c r="S40" s="69">
        <v>22001.0</v>
      </c>
      <c r="T40" s="69">
        <v>22111.0</v>
      </c>
      <c r="U40" s="69">
        <v>23629.0</v>
      </c>
      <c r="V40" s="69">
        <v>21757.0</v>
      </c>
      <c r="W40" s="69">
        <v>33227.0</v>
      </c>
      <c r="X40" s="69">
        <v>23896.0</v>
      </c>
      <c r="Y40" s="69">
        <v>20777.0</v>
      </c>
      <c r="Z40" s="69">
        <v>24123.0</v>
      </c>
      <c r="AA40" s="69">
        <v>22512.0</v>
      </c>
      <c r="AB40" s="70">
        <v>21102.0</v>
      </c>
      <c r="AC40" s="70">
        <v>20984.0</v>
      </c>
      <c r="AD40" s="70">
        <v>21794.0</v>
      </c>
      <c r="AE40" s="70">
        <v>40521.0</v>
      </c>
      <c r="AF40" s="70">
        <v>20467.0</v>
      </c>
      <c r="AG40" s="70">
        <v>25086.0</v>
      </c>
      <c r="AH40" s="70">
        <v>21001.0</v>
      </c>
      <c r="AI40" s="70">
        <v>26115.0</v>
      </c>
      <c r="AJ40" s="70">
        <v>19806.0</v>
      </c>
      <c r="AK40" s="70">
        <v>21463.0</v>
      </c>
      <c r="AL40" s="70">
        <v>21277.0</v>
      </c>
    </row>
    <row r="41" ht="15.75" customHeight="1">
      <c r="A41" s="12"/>
      <c r="B41" s="71">
        <v>8.0</v>
      </c>
      <c r="C41" s="72">
        <f t="shared" si="1"/>
        <v>8000</v>
      </c>
      <c r="D41" s="72">
        <v>15932.0</v>
      </c>
      <c r="E41" s="66"/>
      <c r="F41" s="12"/>
      <c r="G41" s="12"/>
      <c r="H41" s="12"/>
      <c r="I41" s="12"/>
      <c r="J41" s="67">
        <v>8.0</v>
      </c>
      <c r="K41" s="68">
        <v>8000.0</v>
      </c>
      <c r="L41" s="69">
        <v>23481.0</v>
      </c>
      <c r="M41" s="69">
        <v>25281.0</v>
      </c>
      <c r="N41" s="69">
        <v>23714.0</v>
      </c>
      <c r="O41" s="69">
        <v>25146.0</v>
      </c>
      <c r="P41" s="69">
        <v>49383.0</v>
      </c>
      <c r="Q41" s="69">
        <v>21275.0</v>
      </c>
      <c r="R41" s="69">
        <v>21385.0</v>
      </c>
      <c r="S41" s="69">
        <v>22731.0</v>
      </c>
      <c r="T41" s="69">
        <v>22838.0</v>
      </c>
      <c r="U41" s="69">
        <v>24357.0</v>
      </c>
      <c r="V41" s="69">
        <v>22487.0</v>
      </c>
      <c r="W41" s="69">
        <v>33954.0</v>
      </c>
      <c r="X41" s="69">
        <v>24623.0</v>
      </c>
      <c r="Y41" s="69">
        <v>21505.0</v>
      </c>
      <c r="Z41" s="69">
        <v>24850.0</v>
      </c>
      <c r="AA41" s="69">
        <v>23239.0</v>
      </c>
      <c r="AB41" s="70">
        <v>21829.0</v>
      </c>
      <c r="AC41" s="70">
        <v>21713.0</v>
      </c>
      <c r="AD41" s="70">
        <v>22523.0</v>
      </c>
      <c r="AE41" s="70">
        <v>41249.0</v>
      </c>
      <c r="AF41" s="70">
        <v>21195.0</v>
      </c>
      <c r="AG41" s="70">
        <v>25815.0</v>
      </c>
      <c r="AH41" s="70">
        <v>21729.0</v>
      </c>
      <c r="AI41" s="70">
        <v>26845.0</v>
      </c>
      <c r="AJ41" s="70">
        <v>20537.0</v>
      </c>
      <c r="AK41" s="70">
        <v>22193.0</v>
      </c>
      <c r="AL41" s="70">
        <v>22006.0</v>
      </c>
    </row>
    <row r="42" ht="15.75" customHeight="1">
      <c r="A42" s="12"/>
      <c r="B42" s="64">
        <v>8.5</v>
      </c>
      <c r="C42" s="65">
        <f t="shared" si="1"/>
        <v>8500</v>
      </c>
      <c r="D42" s="65">
        <v>16563.0</v>
      </c>
      <c r="E42" s="66"/>
      <c r="F42" s="12"/>
      <c r="G42" s="12"/>
      <c r="H42" s="12"/>
      <c r="I42" s="12"/>
      <c r="J42" s="67">
        <v>8.5</v>
      </c>
      <c r="K42" s="68">
        <v>8500.0</v>
      </c>
      <c r="L42" s="69">
        <v>25570.0</v>
      </c>
      <c r="M42" s="69">
        <v>26738.0</v>
      </c>
      <c r="N42" s="69">
        <v>25171.0</v>
      </c>
      <c r="O42" s="69">
        <v>26605.0</v>
      </c>
      <c r="P42" s="69">
        <v>50840.0</v>
      </c>
      <c r="Q42" s="69">
        <v>22732.0</v>
      </c>
      <c r="R42" s="69">
        <v>22845.0</v>
      </c>
      <c r="S42" s="69">
        <v>24188.0</v>
      </c>
      <c r="T42" s="69">
        <v>24296.0</v>
      </c>
      <c r="U42" s="69">
        <v>25815.0</v>
      </c>
      <c r="V42" s="69">
        <v>23945.0</v>
      </c>
      <c r="W42" s="69">
        <v>35413.0</v>
      </c>
      <c r="X42" s="69">
        <v>26083.0</v>
      </c>
      <c r="Y42" s="69">
        <v>22963.0</v>
      </c>
      <c r="Z42" s="69">
        <v>26310.0</v>
      </c>
      <c r="AA42" s="69">
        <v>24697.0</v>
      </c>
      <c r="AB42" s="70">
        <v>23288.0</v>
      </c>
      <c r="AC42" s="70">
        <v>23170.0</v>
      </c>
      <c r="AD42" s="70">
        <v>23982.0</v>
      </c>
      <c r="AE42" s="70">
        <v>42707.0</v>
      </c>
      <c r="AF42" s="70">
        <v>22654.0</v>
      </c>
      <c r="AG42" s="70">
        <v>27274.0</v>
      </c>
      <c r="AH42" s="70">
        <v>23188.0</v>
      </c>
      <c r="AI42" s="70">
        <v>28303.0</v>
      </c>
      <c r="AJ42" s="70">
        <v>21994.0</v>
      </c>
      <c r="AK42" s="70">
        <v>23652.0</v>
      </c>
      <c r="AL42" s="70">
        <v>23463.0</v>
      </c>
    </row>
    <row r="43" ht="15.75" customHeight="1">
      <c r="A43" s="12"/>
      <c r="B43" s="64">
        <v>9.0</v>
      </c>
      <c r="C43" s="65">
        <f t="shared" si="1"/>
        <v>9000</v>
      </c>
      <c r="D43" s="65">
        <v>17119.0</v>
      </c>
      <c r="E43" s="12"/>
      <c r="F43" s="12"/>
      <c r="G43" s="12"/>
      <c r="H43" s="12"/>
      <c r="I43" s="12"/>
      <c r="J43" s="67">
        <v>9.0</v>
      </c>
      <c r="K43" s="68">
        <v>9000.0</v>
      </c>
      <c r="L43" s="69">
        <v>26686.0</v>
      </c>
      <c r="M43" s="69">
        <v>27469.0</v>
      </c>
      <c r="N43" s="69">
        <v>25902.0</v>
      </c>
      <c r="O43" s="69">
        <v>27335.0</v>
      </c>
      <c r="P43" s="69">
        <v>51571.0</v>
      </c>
      <c r="Q43" s="69">
        <v>23463.0</v>
      </c>
      <c r="R43" s="69">
        <v>23573.0</v>
      </c>
      <c r="S43" s="69">
        <v>24918.0</v>
      </c>
      <c r="T43" s="69">
        <v>25027.0</v>
      </c>
      <c r="U43" s="69">
        <v>26544.0</v>
      </c>
      <c r="V43" s="69">
        <v>24673.0</v>
      </c>
      <c r="W43" s="69">
        <v>36141.0</v>
      </c>
      <c r="X43" s="69">
        <v>26812.0</v>
      </c>
      <c r="Y43" s="69">
        <v>23692.0</v>
      </c>
      <c r="Z43" s="69">
        <v>27038.0</v>
      </c>
      <c r="AA43" s="69">
        <v>25428.0</v>
      </c>
      <c r="AB43" s="70">
        <v>24017.0</v>
      </c>
      <c r="AC43" s="70">
        <v>23900.0</v>
      </c>
      <c r="AD43" s="70">
        <v>24711.0</v>
      </c>
      <c r="AE43" s="70">
        <v>43438.0</v>
      </c>
      <c r="AF43" s="70">
        <v>23383.0</v>
      </c>
      <c r="AG43" s="70">
        <v>28004.0</v>
      </c>
      <c r="AH43" s="70">
        <v>23917.0</v>
      </c>
      <c r="AI43" s="70">
        <v>29032.0</v>
      </c>
      <c r="AJ43" s="70">
        <v>22723.0</v>
      </c>
      <c r="AK43" s="70">
        <v>24380.0</v>
      </c>
      <c r="AL43" s="70">
        <v>24194.0</v>
      </c>
    </row>
    <row r="44" ht="15.75" customHeight="1">
      <c r="A44" s="12"/>
      <c r="B44" s="71">
        <v>9.5</v>
      </c>
      <c r="C44" s="72">
        <f t="shared" si="1"/>
        <v>9500</v>
      </c>
      <c r="D44" s="72">
        <v>18019.0</v>
      </c>
      <c r="E44" s="12"/>
      <c r="F44" s="12"/>
      <c r="G44" s="12"/>
      <c r="H44" s="12"/>
      <c r="I44" s="12"/>
      <c r="J44" s="67">
        <v>9.5</v>
      </c>
      <c r="K44" s="68">
        <v>9500.0</v>
      </c>
      <c r="L44" s="69">
        <v>27820.0</v>
      </c>
      <c r="M44" s="69">
        <v>28927.0</v>
      </c>
      <c r="N44" s="69">
        <v>27360.0</v>
      </c>
      <c r="O44" s="69">
        <v>28792.0</v>
      </c>
      <c r="P44" s="69">
        <v>53028.0</v>
      </c>
      <c r="Q44" s="69">
        <v>24920.0</v>
      </c>
      <c r="R44" s="69">
        <v>25030.0</v>
      </c>
      <c r="S44" s="69">
        <v>26377.0</v>
      </c>
      <c r="T44" s="69">
        <v>26484.0</v>
      </c>
      <c r="U44" s="69">
        <v>28001.0</v>
      </c>
      <c r="V44" s="69">
        <v>26132.0</v>
      </c>
      <c r="W44" s="69">
        <v>37599.0</v>
      </c>
      <c r="X44" s="69">
        <v>28269.0</v>
      </c>
      <c r="Y44" s="69">
        <v>25151.0</v>
      </c>
      <c r="Z44" s="69">
        <v>28496.0</v>
      </c>
      <c r="AA44" s="69">
        <v>26885.0</v>
      </c>
      <c r="AB44" s="70">
        <v>25474.0</v>
      </c>
      <c r="AC44" s="70">
        <v>25358.0</v>
      </c>
      <c r="AD44" s="70">
        <v>26169.0</v>
      </c>
      <c r="AE44" s="70">
        <v>44895.0</v>
      </c>
      <c r="AF44" s="70">
        <v>24840.0</v>
      </c>
      <c r="AG44" s="70">
        <v>29461.0</v>
      </c>
      <c r="AH44" s="70">
        <v>25375.0</v>
      </c>
      <c r="AI44" s="70">
        <v>30490.0</v>
      </c>
      <c r="AJ44" s="70">
        <v>24180.0</v>
      </c>
      <c r="AK44" s="70">
        <v>25838.0</v>
      </c>
      <c r="AL44" s="70">
        <v>25651.0</v>
      </c>
    </row>
    <row r="45" ht="15.75" customHeight="1">
      <c r="A45" s="12"/>
      <c r="B45" s="64">
        <v>10.0</v>
      </c>
      <c r="C45" s="65">
        <f t="shared" si="1"/>
        <v>10000</v>
      </c>
      <c r="D45" s="65">
        <v>18522.0</v>
      </c>
      <c r="E45" s="12"/>
      <c r="F45" s="12"/>
      <c r="G45" s="12"/>
      <c r="H45" s="12"/>
      <c r="I45" s="12"/>
      <c r="J45" s="67">
        <v>10.0</v>
      </c>
      <c r="K45" s="68">
        <v>10000.0</v>
      </c>
      <c r="L45" s="69">
        <v>28956.0</v>
      </c>
      <c r="M45" s="69">
        <v>32115.0</v>
      </c>
      <c r="N45" s="69">
        <v>29452.0</v>
      </c>
      <c r="O45" s="69">
        <v>30504.0</v>
      </c>
      <c r="P45" s="69">
        <v>63646.0</v>
      </c>
      <c r="Q45" s="69">
        <v>26629.0</v>
      </c>
      <c r="R45" s="69">
        <v>27549.0</v>
      </c>
      <c r="S45" s="69">
        <v>28085.0</v>
      </c>
      <c r="T45" s="69">
        <v>28192.0</v>
      </c>
      <c r="U45" s="69">
        <v>29708.0</v>
      </c>
      <c r="V45" s="69">
        <v>27834.0</v>
      </c>
      <c r="W45" s="69">
        <v>43757.0</v>
      </c>
      <c r="X45" s="69">
        <v>29980.0</v>
      </c>
      <c r="Y45" s="69">
        <v>26862.0</v>
      </c>
      <c r="Z45" s="69">
        <v>30203.0</v>
      </c>
      <c r="AA45" s="69">
        <v>28579.0</v>
      </c>
      <c r="AB45" s="70">
        <v>27187.0</v>
      </c>
      <c r="AC45" s="70">
        <v>27634.0</v>
      </c>
      <c r="AD45" s="70">
        <v>27877.0</v>
      </c>
      <c r="AE45" s="70">
        <v>53079.0</v>
      </c>
      <c r="AF45" s="70">
        <v>26394.0</v>
      </c>
      <c r="AG45" s="70">
        <v>32844.0</v>
      </c>
      <c r="AH45" s="70">
        <v>27086.0</v>
      </c>
      <c r="AI45" s="70">
        <v>34318.0</v>
      </c>
      <c r="AJ45" s="70">
        <v>25892.0</v>
      </c>
      <c r="AK45" s="70">
        <v>27546.0</v>
      </c>
      <c r="AL45" s="70">
        <v>27356.0</v>
      </c>
    </row>
    <row r="46" ht="15.75" customHeight="1">
      <c r="A46" s="12"/>
      <c r="B46" s="71">
        <v>10.5</v>
      </c>
      <c r="C46" s="72">
        <f t="shared" si="1"/>
        <v>10500</v>
      </c>
      <c r="D46" s="72">
        <v>19122.0</v>
      </c>
      <c r="E46" s="12"/>
      <c r="F46" s="12"/>
      <c r="G46" s="12"/>
      <c r="H46" s="12"/>
      <c r="I46" s="12"/>
      <c r="J46" s="67">
        <v>10.5</v>
      </c>
      <c r="K46" s="68">
        <v>10500.0</v>
      </c>
      <c r="L46" s="69">
        <v>31070.0</v>
      </c>
      <c r="M46" s="69">
        <v>32846.0</v>
      </c>
      <c r="N46" s="69">
        <v>30181.0</v>
      </c>
      <c r="O46" s="69">
        <v>31231.0</v>
      </c>
      <c r="P46" s="69">
        <v>64376.0</v>
      </c>
      <c r="Q46" s="69">
        <v>27357.0</v>
      </c>
      <c r="R46" s="69">
        <v>28279.0</v>
      </c>
      <c r="S46" s="69">
        <v>28813.0</v>
      </c>
      <c r="T46" s="69">
        <v>28921.0</v>
      </c>
      <c r="U46" s="69">
        <v>30437.0</v>
      </c>
      <c r="V46" s="69">
        <v>28563.0</v>
      </c>
      <c r="W46" s="69">
        <v>44486.0</v>
      </c>
      <c r="X46" s="69">
        <v>30709.0</v>
      </c>
      <c r="Y46" s="69">
        <v>27591.0</v>
      </c>
      <c r="Z46" s="69">
        <v>30931.0</v>
      </c>
      <c r="AA46" s="69">
        <v>29307.0</v>
      </c>
      <c r="AB46" s="70">
        <v>27915.0</v>
      </c>
      <c r="AC46" s="70">
        <v>28364.0</v>
      </c>
      <c r="AD46" s="70">
        <v>28605.0</v>
      </c>
      <c r="AE46" s="70">
        <v>53809.0</v>
      </c>
      <c r="AF46" s="70">
        <v>27121.0</v>
      </c>
      <c r="AG46" s="70">
        <v>33572.0</v>
      </c>
      <c r="AH46" s="70">
        <v>27816.0</v>
      </c>
      <c r="AI46" s="70">
        <v>35048.0</v>
      </c>
      <c r="AJ46" s="70">
        <v>26622.0</v>
      </c>
      <c r="AK46" s="70">
        <v>28277.0</v>
      </c>
      <c r="AL46" s="70">
        <v>28086.0</v>
      </c>
    </row>
    <row r="47" ht="15.75" customHeight="1">
      <c r="A47" s="12"/>
      <c r="B47" s="64">
        <v>11.0</v>
      </c>
      <c r="C47" s="65">
        <f t="shared" si="1"/>
        <v>11000</v>
      </c>
      <c r="D47" s="65">
        <v>19677.0</v>
      </c>
      <c r="E47" s="12"/>
      <c r="F47" s="12"/>
      <c r="G47" s="12"/>
      <c r="H47" s="12"/>
      <c r="I47" s="12"/>
      <c r="J47" s="67">
        <v>11.0</v>
      </c>
      <c r="K47" s="68">
        <v>11000.0</v>
      </c>
      <c r="L47" s="69">
        <v>32186.0</v>
      </c>
      <c r="M47" s="69">
        <v>34303.0</v>
      </c>
      <c r="N47" s="69">
        <v>31638.0</v>
      </c>
      <c r="O47" s="69">
        <v>32691.0</v>
      </c>
      <c r="P47" s="69">
        <v>65833.0</v>
      </c>
      <c r="Q47" s="69">
        <v>28816.0</v>
      </c>
      <c r="R47" s="69">
        <v>29738.0</v>
      </c>
      <c r="S47" s="69">
        <v>30271.0</v>
      </c>
      <c r="T47" s="69">
        <v>30380.0</v>
      </c>
      <c r="U47" s="69">
        <v>31895.0</v>
      </c>
      <c r="V47" s="69">
        <v>30021.0</v>
      </c>
      <c r="W47" s="69">
        <v>45946.0</v>
      </c>
      <c r="X47" s="69">
        <v>32168.0</v>
      </c>
      <c r="Y47" s="69">
        <v>29049.0</v>
      </c>
      <c r="Z47" s="69">
        <v>32388.0</v>
      </c>
      <c r="AA47" s="69">
        <v>30767.0</v>
      </c>
      <c r="AB47" s="70">
        <v>29373.0</v>
      </c>
      <c r="AC47" s="70">
        <v>29821.0</v>
      </c>
      <c r="AD47" s="70">
        <v>30064.0</v>
      </c>
      <c r="AE47" s="70">
        <v>55267.0</v>
      </c>
      <c r="AF47" s="70">
        <v>28579.0</v>
      </c>
      <c r="AG47" s="70">
        <v>35031.0</v>
      </c>
      <c r="AH47" s="70">
        <v>29273.0</v>
      </c>
      <c r="AI47" s="70">
        <v>36505.0</v>
      </c>
      <c r="AJ47" s="70">
        <v>28079.0</v>
      </c>
      <c r="AK47" s="70">
        <v>29734.0</v>
      </c>
      <c r="AL47" s="70">
        <v>29545.0</v>
      </c>
    </row>
    <row r="48" ht="15.75" customHeight="1">
      <c r="A48" s="12"/>
      <c r="B48" s="71">
        <v>11.5</v>
      </c>
      <c r="C48" s="72">
        <f t="shared" si="1"/>
        <v>11500</v>
      </c>
      <c r="D48" s="72">
        <v>20338.0</v>
      </c>
      <c r="E48" s="12"/>
      <c r="F48" s="12"/>
      <c r="G48" s="12"/>
      <c r="H48" s="12"/>
      <c r="I48" s="12"/>
      <c r="J48" s="67">
        <v>11.5</v>
      </c>
      <c r="K48" s="68">
        <v>11500.0</v>
      </c>
      <c r="L48" s="69">
        <v>33321.0</v>
      </c>
      <c r="M48" s="69">
        <v>35032.0</v>
      </c>
      <c r="N48" s="69">
        <v>32367.0</v>
      </c>
      <c r="O48" s="69">
        <v>33420.0</v>
      </c>
      <c r="P48" s="69">
        <v>66563.0</v>
      </c>
      <c r="Q48" s="69">
        <v>29546.0</v>
      </c>
      <c r="R48" s="69">
        <v>30465.0</v>
      </c>
      <c r="S48" s="69">
        <v>31000.0</v>
      </c>
      <c r="T48" s="69">
        <v>31109.0</v>
      </c>
      <c r="U48" s="69">
        <v>32623.0</v>
      </c>
      <c r="V48" s="69">
        <v>30750.0</v>
      </c>
      <c r="W48" s="69">
        <v>46673.0</v>
      </c>
      <c r="X48" s="69">
        <v>32897.0</v>
      </c>
      <c r="Y48" s="69">
        <v>29777.0</v>
      </c>
      <c r="Z48" s="69">
        <v>33118.0</v>
      </c>
      <c r="AA48" s="69">
        <v>31496.0</v>
      </c>
      <c r="AB48" s="70">
        <v>30102.0</v>
      </c>
      <c r="AC48" s="70">
        <v>30551.0</v>
      </c>
      <c r="AD48" s="70">
        <v>30793.0</v>
      </c>
      <c r="AE48" s="70">
        <v>55996.0</v>
      </c>
      <c r="AF48" s="70">
        <v>29310.0</v>
      </c>
      <c r="AG48" s="70">
        <v>35760.0</v>
      </c>
      <c r="AH48" s="70">
        <v>30003.0</v>
      </c>
      <c r="AI48" s="70">
        <v>37235.0</v>
      </c>
      <c r="AJ48" s="70">
        <v>28808.0</v>
      </c>
      <c r="AK48" s="70">
        <v>30463.0</v>
      </c>
      <c r="AL48" s="70">
        <v>30271.0</v>
      </c>
    </row>
    <row r="49" ht="15.75" customHeight="1">
      <c r="A49" s="12"/>
      <c r="B49" s="64">
        <v>12.0</v>
      </c>
      <c r="C49" s="65">
        <f t="shared" si="1"/>
        <v>12000</v>
      </c>
      <c r="D49" s="65">
        <v>20936.0</v>
      </c>
      <c r="E49" s="12"/>
      <c r="F49" s="12"/>
      <c r="G49" s="12"/>
      <c r="H49" s="12"/>
      <c r="I49" s="12"/>
      <c r="J49" s="67">
        <v>12.0</v>
      </c>
      <c r="K49" s="68">
        <v>12000.0</v>
      </c>
      <c r="L49" s="69">
        <v>35399.0</v>
      </c>
      <c r="M49" s="69">
        <v>36491.0</v>
      </c>
      <c r="N49" s="69">
        <v>33827.0</v>
      </c>
      <c r="O49" s="69">
        <v>34877.0</v>
      </c>
      <c r="P49" s="69">
        <v>68021.0</v>
      </c>
      <c r="Q49" s="69">
        <v>31003.0</v>
      </c>
      <c r="R49" s="69">
        <v>31925.0</v>
      </c>
      <c r="S49" s="69">
        <v>32457.0</v>
      </c>
      <c r="T49" s="69">
        <v>32567.0</v>
      </c>
      <c r="U49" s="69">
        <v>34082.0</v>
      </c>
      <c r="V49" s="69">
        <v>32210.0</v>
      </c>
      <c r="W49" s="69">
        <v>48131.0</v>
      </c>
      <c r="X49" s="69">
        <v>34354.0</v>
      </c>
      <c r="Y49" s="69">
        <v>31237.0</v>
      </c>
      <c r="Z49" s="69">
        <v>34577.0</v>
      </c>
      <c r="AA49" s="69">
        <v>32953.0</v>
      </c>
      <c r="AB49" s="70">
        <v>31561.0</v>
      </c>
      <c r="AC49" s="70">
        <v>32010.0</v>
      </c>
      <c r="AD49" s="70">
        <v>32250.0</v>
      </c>
      <c r="AE49" s="70">
        <v>57454.0</v>
      </c>
      <c r="AF49" s="70">
        <v>30767.0</v>
      </c>
      <c r="AG49" s="70">
        <v>37218.0</v>
      </c>
      <c r="AH49" s="70">
        <v>31462.0</v>
      </c>
      <c r="AI49" s="70">
        <v>38694.0</v>
      </c>
      <c r="AJ49" s="70">
        <v>30268.0</v>
      </c>
      <c r="AK49" s="70">
        <v>31922.0</v>
      </c>
      <c r="AL49" s="70">
        <v>31731.0</v>
      </c>
    </row>
    <row r="50" ht="15.75" customHeight="1">
      <c r="A50" s="12"/>
      <c r="B50" s="71">
        <v>12.5</v>
      </c>
      <c r="C50" s="72">
        <f t="shared" si="1"/>
        <v>12500</v>
      </c>
      <c r="D50" s="72">
        <v>21585.0</v>
      </c>
      <c r="E50" s="12"/>
      <c r="F50" s="12"/>
      <c r="G50" s="12"/>
      <c r="H50" s="12"/>
      <c r="I50" s="12"/>
      <c r="J50" s="67">
        <v>12.5</v>
      </c>
      <c r="K50" s="68">
        <v>12500.0</v>
      </c>
      <c r="L50" s="69">
        <v>36540.0</v>
      </c>
      <c r="M50" s="69">
        <v>37948.0</v>
      </c>
      <c r="N50" s="69">
        <v>35284.0</v>
      </c>
      <c r="O50" s="69">
        <v>36337.0</v>
      </c>
      <c r="P50" s="69">
        <v>69479.0</v>
      </c>
      <c r="Q50" s="69">
        <v>32462.0</v>
      </c>
      <c r="R50" s="69">
        <v>33383.0</v>
      </c>
      <c r="S50" s="69">
        <v>33917.0</v>
      </c>
      <c r="T50" s="69">
        <v>34024.0</v>
      </c>
      <c r="U50" s="69">
        <v>35539.0</v>
      </c>
      <c r="V50" s="69">
        <v>33667.0</v>
      </c>
      <c r="W50" s="69">
        <v>49590.0</v>
      </c>
      <c r="X50" s="69">
        <v>35813.0</v>
      </c>
      <c r="Y50" s="69">
        <v>32694.0</v>
      </c>
      <c r="Z50" s="69">
        <v>36034.0</v>
      </c>
      <c r="AA50" s="69">
        <v>34413.0</v>
      </c>
      <c r="AB50" s="70">
        <v>33019.0</v>
      </c>
      <c r="AC50" s="70">
        <v>33467.0</v>
      </c>
      <c r="AD50" s="70">
        <v>33710.0</v>
      </c>
      <c r="AE50" s="70">
        <v>58912.0</v>
      </c>
      <c r="AF50" s="70">
        <v>32224.0</v>
      </c>
      <c r="AG50" s="70">
        <v>38677.0</v>
      </c>
      <c r="AH50" s="70">
        <v>32919.0</v>
      </c>
      <c r="AI50" s="70">
        <v>40151.0</v>
      </c>
      <c r="AJ50" s="70">
        <v>31725.0</v>
      </c>
      <c r="AK50" s="70">
        <v>33379.0</v>
      </c>
      <c r="AL50" s="70">
        <v>33188.0</v>
      </c>
    </row>
    <row r="51" ht="15.75" customHeight="1">
      <c r="A51" s="12"/>
      <c r="B51" s="64">
        <v>13.0</v>
      </c>
      <c r="C51" s="65">
        <f t="shared" si="1"/>
        <v>13000</v>
      </c>
      <c r="D51" s="65">
        <v>22131.0</v>
      </c>
      <c r="E51" s="12"/>
      <c r="F51" s="12"/>
      <c r="G51" s="12"/>
      <c r="H51" s="12"/>
      <c r="I51" s="12"/>
      <c r="J51" s="67">
        <v>13.0</v>
      </c>
      <c r="K51" s="68">
        <v>13000.0</v>
      </c>
      <c r="L51" s="69">
        <v>37670.0</v>
      </c>
      <c r="M51" s="69">
        <v>42012.0</v>
      </c>
      <c r="N51" s="69">
        <v>37175.0</v>
      </c>
      <c r="O51" s="69">
        <v>38922.0</v>
      </c>
      <c r="P51" s="69">
        <v>79368.0</v>
      </c>
      <c r="Q51" s="69">
        <v>35043.0</v>
      </c>
      <c r="R51" s="69">
        <v>35925.0</v>
      </c>
      <c r="S51" s="69">
        <v>36500.0</v>
      </c>
      <c r="T51" s="69">
        <v>36607.0</v>
      </c>
      <c r="U51" s="69">
        <v>38129.0</v>
      </c>
      <c r="V51" s="69">
        <v>36255.0</v>
      </c>
      <c r="W51" s="69">
        <v>55018.0</v>
      </c>
      <c r="X51" s="69">
        <v>38398.0</v>
      </c>
      <c r="Y51" s="69">
        <v>35279.0</v>
      </c>
      <c r="Z51" s="69">
        <v>37040.0</v>
      </c>
      <c r="AA51" s="69">
        <v>36983.0</v>
      </c>
      <c r="AB51" s="70">
        <v>35607.0</v>
      </c>
      <c r="AC51" s="70">
        <v>34444.0</v>
      </c>
      <c r="AD51" s="70">
        <v>36295.0</v>
      </c>
      <c r="AE51" s="70">
        <v>66363.0</v>
      </c>
      <c r="AF51" s="70">
        <v>34600.0</v>
      </c>
      <c r="AG51" s="70">
        <v>41410.0</v>
      </c>
      <c r="AH51" s="70">
        <v>35504.0</v>
      </c>
      <c r="AI51" s="70">
        <v>43248.0</v>
      </c>
      <c r="AJ51" s="70">
        <v>31725.0</v>
      </c>
      <c r="AK51" s="70">
        <v>35962.0</v>
      </c>
      <c r="AL51" s="70">
        <v>35774.0</v>
      </c>
    </row>
    <row r="52" ht="15.75" customHeight="1">
      <c r="A52" s="12"/>
      <c r="B52" s="71">
        <v>13.5</v>
      </c>
      <c r="C52" s="72">
        <f t="shared" si="1"/>
        <v>13500</v>
      </c>
      <c r="D52" s="72">
        <v>22685.0</v>
      </c>
      <c r="E52" s="12"/>
      <c r="F52" s="12"/>
      <c r="G52" s="12"/>
      <c r="H52" s="12"/>
      <c r="I52" s="12"/>
      <c r="J52" s="67">
        <v>13.5</v>
      </c>
      <c r="K52" s="68">
        <v>13500.0</v>
      </c>
      <c r="L52" s="69">
        <v>39759.0</v>
      </c>
      <c r="M52" s="69">
        <v>43470.0</v>
      </c>
      <c r="N52" s="69">
        <v>38635.0</v>
      </c>
      <c r="O52" s="69">
        <v>40379.0</v>
      </c>
      <c r="P52" s="69">
        <v>80827.0</v>
      </c>
      <c r="Q52" s="69">
        <v>36503.0</v>
      </c>
      <c r="R52" s="69">
        <v>37383.0</v>
      </c>
      <c r="S52" s="69">
        <v>37957.0</v>
      </c>
      <c r="T52" s="69">
        <v>38064.0</v>
      </c>
      <c r="U52" s="69">
        <v>39587.0</v>
      </c>
      <c r="V52" s="69">
        <v>37713.0</v>
      </c>
      <c r="W52" s="69">
        <v>56478.0</v>
      </c>
      <c r="X52" s="69">
        <v>39855.0</v>
      </c>
      <c r="Y52" s="69">
        <v>36738.0</v>
      </c>
      <c r="Z52" s="69">
        <v>38497.0</v>
      </c>
      <c r="AA52" s="69">
        <v>38442.0</v>
      </c>
      <c r="AB52" s="70">
        <v>37065.0</v>
      </c>
      <c r="AC52" s="70">
        <v>35902.0</v>
      </c>
      <c r="AD52" s="70">
        <v>37754.0</v>
      </c>
      <c r="AE52" s="70">
        <v>67822.0</v>
      </c>
      <c r="AF52" s="70">
        <v>36059.0</v>
      </c>
      <c r="AG52" s="70">
        <v>42867.0</v>
      </c>
      <c r="AH52" s="70">
        <v>36963.0</v>
      </c>
      <c r="AI52" s="70">
        <v>44706.0</v>
      </c>
      <c r="AJ52" s="70">
        <v>31725.0</v>
      </c>
      <c r="AK52" s="70">
        <v>37419.0</v>
      </c>
      <c r="AL52" s="70">
        <v>37232.0</v>
      </c>
    </row>
    <row r="53" ht="15.75" customHeight="1">
      <c r="A53" s="12"/>
      <c r="B53" s="64">
        <v>14.0</v>
      </c>
      <c r="C53" s="65">
        <f t="shared" si="1"/>
        <v>14000</v>
      </c>
      <c r="D53" s="65">
        <v>23454.0</v>
      </c>
      <c r="E53" s="12"/>
      <c r="F53" s="12"/>
      <c r="G53" s="12"/>
      <c r="H53" s="12"/>
      <c r="I53" s="12"/>
      <c r="J53" s="67">
        <v>14.0</v>
      </c>
      <c r="K53" s="68">
        <v>14000.0</v>
      </c>
      <c r="L53" s="69">
        <v>40869.0</v>
      </c>
      <c r="M53" s="69">
        <v>44198.0</v>
      </c>
      <c r="N53" s="69">
        <v>39363.0</v>
      </c>
      <c r="O53" s="69">
        <v>41108.0</v>
      </c>
      <c r="P53" s="69">
        <v>81554.0</v>
      </c>
      <c r="Q53" s="69">
        <v>37231.0</v>
      </c>
      <c r="R53" s="69">
        <v>38113.0</v>
      </c>
      <c r="S53" s="69">
        <v>38687.0</v>
      </c>
      <c r="T53" s="69">
        <v>38794.0</v>
      </c>
      <c r="U53" s="69">
        <v>40315.0</v>
      </c>
      <c r="V53" s="69">
        <v>38443.0</v>
      </c>
      <c r="W53" s="69">
        <v>57204.0</v>
      </c>
      <c r="X53" s="69">
        <v>40586.0</v>
      </c>
      <c r="Y53" s="69">
        <v>37468.0</v>
      </c>
      <c r="Z53" s="69">
        <v>39226.0</v>
      </c>
      <c r="AA53" s="69">
        <v>39169.0</v>
      </c>
      <c r="AB53" s="70">
        <v>37794.0</v>
      </c>
      <c r="AC53" s="70">
        <v>36632.0</v>
      </c>
      <c r="AD53" s="70">
        <v>38480.0</v>
      </c>
      <c r="AE53" s="70">
        <v>68551.0</v>
      </c>
      <c r="AF53" s="70">
        <v>36788.0</v>
      </c>
      <c r="AG53" s="70">
        <v>43596.0</v>
      </c>
      <c r="AH53" s="70">
        <v>37692.0</v>
      </c>
      <c r="AI53" s="70">
        <v>45435.0</v>
      </c>
      <c r="AJ53" s="70">
        <v>31725.0</v>
      </c>
      <c r="AK53" s="70">
        <v>38149.0</v>
      </c>
      <c r="AL53" s="70">
        <v>37963.0</v>
      </c>
    </row>
    <row r="54" ht="15.75" customHeight="1">
      <c r="A54" s="12"/>
      <c r="B54" s="71">
        <v>14.5</v>
      </c>
      <c r="C54" s="72">
        <f t="shared" si="1"/>
        <v>14500</v>
      </c>
      <c r="D54" s="72">
        <v>23766.0</v>
      </c>
      <c r="E54" s="12"/>
      <c r="F54" s="12"/>
      <c r="G54" s="12"/>
      <c r="H54" s="12"/>
      <c r="I54" s="12"/>
      <c r="J54" s="67">
        <v>14.5</v>
      </c>
      <c r="K54" s="68">
        <v>14500.0</v>
      </c>
      <c r="L54" s="69">
        <v>42000.0</v>
      </c>
      <c r="M54" s="69">
        <v>45657.0</v>
      </c>
      <c r="N54" s="69">
        <v>40821.0</v>
      </c>
      <c r="O54" s="69">
        <v>42568.0</v>
      </c>
      <c r="P54" s="69">
        <v>83013.0</v>
      </c>
      <c r="Q54" s="69">
        <v>38688.0</v>
      </c>
      <c r="R54" s="69">
        <v>39570.0</v>
      </c>
      <c r="S54" s="69">
        <v>40145.0</v>
      </c>
      <c r="T54" s="69">
        <v>40253.0</v>
      </c>
      <c r="U54" s="69">
        <v>41772.0</v>
      </c>
      <c r="V54" s="69">
        <v>39900.0</v>
      </c>
      <c r="W54" s="69">
        <v>58663.0</v>
      </c>
      <c r="X54" s="69">
        <v>42043.0</v>
      </c>
      <c r="Y54" s="69">
        <v>38925.0</v>
      </c>
      <c r="Z54" s="69">
        <v>40683.0</v>
      </c>
      <c r="AA54" s="69">
        <v>40628.0</v>
      </c>
      <c r="AB54" s="70">
        <v>39253.0</v>
      </c>
      <c r="AC54" s="70">
        <v>38089.0</v>
      </c>
      <c r="AD54" s="70">
        <v>39940.0</v>
      </c>
      <c r="AE54" s="70">
        <v>70009.0</v>
      </c>
      <c r="AF54" s="70">
        <v>38246.0</v>
      </c>
      <c r="AG54" s="70">
        <v>45054.0</v>
      </c>
      <c r="AH54" s="70">
        <v>39149.0</v>
      </c>
      <c r="AI54" s="70">
        <v>46894.0</v>
      </c>
      <c r="AJ54" s="70">
        <v>31725.0</v>
      </c>
      <c r="AK54" s="70">
        <v>39607.0</v>
      </c>
      <c r="AL54" s="70">
        <v>39420.0</v>
      </c>
    </row>
    <row r="55" ht="15.75" customHeight="1">
      <c r="A55" s="12"/>
      <c r="B55" s="64">
        <v>15.0</v>
      </c>
      <c r="C55" s="65">
        <f t="shared" si="1"/>
        <v>15000</v>
      </c>
      <c r="D55" s="65">
        <v>24509.0</v>
      </c>
      <c r="E55" s="12"/>
      <c r="F55" s="12"/>
      <c r="G55" s="12"/>
      <c r="H55" s="12"/>
      <c r="I55" s="12"/>
      <c r="J55" s="67">
        <v>15.0</v>
      </c>
      <c r="K55" s="68">
        <v>15000.0</v>
      </c>
      <c r="L55" s="69">
        <v>43132.0</v>
      </c>
      <c r="M55" s="69">
        <v>47115.0</v>
      </c>
      <c r="N55" s="69">
        <v>42280.0</v>
      </c>
      <c r="O55" s="69">
        <v>44025.0</v>
      </c>
      <c r="P55" s="69">
        <v>84472.0</v>
      </c>
      <c r="Q55" s="69">
        <v>40146.0</v>
      </c>
      <c r="R55" s="69">
        <v>41029.0</v>
      </c>
      <c r="S55" s="69">
        <v>41603.0</v>
      </c>
      <c r="T55" s="69">
        <v>41710.0</v>
      </c>
      <c r="U55" s="69">
        <v>43232.0</v>
      </c>
      <c r="V55" s="69">
        <v>41359.0</v>
      </c>
      <c r="W55" s="69">
        <v>60121.0</v>
      </c>
      <c r="X55" s="69">
        <v>43501.0</v>
      </c>
      <c r="Y55" s="69">
        <v>40383.0</v>
      </c>
      <c r="Z55" s="69">
        <v>42143.0</v>
      </c>
      <c r="AA55" s="69">
        <v>42086.0</v>
      </c>
      <c r="AB55" s="70">
        <v>40710.0</v>
      </c>
      <c r="AC55" s="70">
        <v>39547.0</v>
      </c>
      <c r="AD55" s="70">
        <v>41397.0</v>
      </c>
      <c r="AE55" s="70">
        <v>71468.0</v>
      </c>
      <c r="AF55" s="70">
        <v>39704.0</v>
      </c>
      <c r="AG55" s="70">
        <v>46513.0</v>
      </c>
      <c r="AH55" s="70">
        <v>40606.0</v>
      </c>
      <c r="AI55" s="70">
        <v>48352.0</v>
      </c>
      <c r="AJ55" s="70">
        <v>31725.0</v>
      </c>
      <c r="AK55" s="70">
        <v>41065.0</v>
      </c>
      <c r="AL55" s="70">
        <v>40878.0</v>
      </c>
    </row>
    <row r="56" ht="15.75" customHeight="1">
      <c r="A56" s="12"/>
      <c r="B56" s="71">
        <v>15.5</v>
      </c>
      <c r="C56" s="72">
        <f t="shared" si="1"/>
        <v>15500</v>
      </c>
      <c r="D56" s="72">
        <v>25139.0</v>
      </c>
      <c r="E56" s="12"/>
      <c r="F56" s="12"/>
      <c r="G56" s="12"/>
      <c r="H56" s="12"/>
      <c r="I56" s="12"/>
      <c r="J56" s="67">
        <v>15.5</v>
      </c>
      <c r="K56" s="68">
        <v>15500.0</v>
      </c>
      <c r="L56" s="69">
        <v>45271.0</v>
      </c>
      <c r="M56" s="69">
        <v>47844.0</v>
      </c>
      <c r="N56" s="69">
        <v>43008.0</v>
      </c>
      <c r="O56" s="69">
        <v>44754.0</v>
      </c>
      <c r="P56" s="69">
        <v>85199.0</v>
      </c>
      <c r="Q56" s="69">
        <v>40875.0</v>
      </c>
      <c r="R56" s="69">
        <v>41758.0</v>
      </c>
      <c r="S56" s="69">
        <v>42332.0</v>
      </c>
      <c r="T56" s="69">
        <v>42439.0</v>
      </c>
      <c r="U56" s="69">
        <v>43961.0</v>
      </c>
      <c r="V56" s="69">
        <v>42086.0</v>
      </c>
      <c r="W56" s="69">
        <v>60850.0</v>
      </c>
      <c r="X56" s="69">
        <v>44231.0</v>
      </c>
      <c r="Y56" s="69">
        <v>41113.0</v>
      </c>
      <c r="Z56" s="69">
        <v>42871.0</v>
      </c>
      <c r="AA56" s="69">
        <v>42814.0</v>
      </c>
      <c r="AB56" s="70">
        <v>41439.0</v>
      </c>
      <c r="AC56" s="70">
        <v>40278.0</v>
      </c>
      <c r="AD56" s="70">
        <v>42126.0</v>
      </c>
      <c r="AE56" s="70">
        <v>72196.0</v>
      </c>
      <c r="AF56" s="70">
        <v>40431.0</v>
      </c>
      <c r="AG56" s="70">
        <v>47242.0</v>
      </c>
      <c r="AH56" s="70">
        <v>41337.0</v>
      </c>
      <c r="AI56" s="70">
        <v>49080.0</v>
      </c>
      <c r="AJ56" s="70">
        <v>31725.0</v>
      </c>
      <c r="AK56" s="70">
        <v>41795.0</v>
      </c>
      <c r="AL56" s="70">
        <v>41606.0</v>
      </c>
    </row>
    <row r="57" ht="15.75" customHeight="1">
      <c r="A57" s="12"/>
      <c r="B57" s="64">
        <v>16.0</v>
      </c>
      <c r="C57" s="65">
        <f t="shared" si="1"/>
        <v>16000</v>
      </c>
      <c r="D57" s="65">
        <v>26547.0</v>
      </c>
      <c r="E57" s="12"/>
      <c r="F57" s="12"/>
      <c r="G57" s="12"/>
      <c r="H57" s="12"/>
      <c r="I57" s="12"/>
      <c r="J57" s="67">
        <v>16.0</v>
      </c>
      <c r="K57" s="68">
        <v>16000.0</v>
      </c>
      <c r="L57" s="69">
        <v>46405.0</v>
      </c>
      <c r="M57" s="69">
        <v>51031.0</v>
      </c>
      <c r="N57" s="69">
        <v>45101.0</v>
      </c>
      <c r="O57" s="69">
        <v>46460.0</v>
      </c>
      <c r="P57" s="69">
        <v>95820.0</v>
      </c>
      <c r="Q57" s="69">
        <v>42588.0</v>
      </c>
      <c r="R57" s="69">
        <v>43463.0</v>
      </c>
      <c r="S57" s="69">
        <v>44043.0</v>
      </c>
      <c r="T57" s="69">
        <v>44152.0</v>
      </c>
      <c r="U57" s="69">
        <v>45666.0</v>
      </c>
      <c r="V57" s="69">
        <v>43790.0</v>
      </c>
      <c r="W57" s="69">
        <v>67005.0</v>
      </c>
      <c r="X57" s="69">
        <v>45937.0</v>
      </c>
      <c r="Y57" s="69">
        <v>42817.0</v>
      </c>
      <c r="Z57" s="69">
        <v>44579.0</v>
      </c>
      <c r="AA57" s="69">
        <v>44512.0</v>
      </c>
      <c r="AB57" s="70">
        <v>43142.0</v>
      </c>
      <c r="AC57" s="70">
        <v>41987.0</v>
      </c>
      <c r="AD57" s="70">
        <v>43834.0</v>
      </c>
      <c r="AE57" s="70">
        <v>80384.0</v>
      </c>
      <c r="AF57" s="70">
        <v>41928.0</v>
      </c>
      <c r="AG57" s="70">
        <v>50624.0</v>
      </c>
      <c r="AH57" s="70">
        <v>43042.0</v>
      </c>
      <c r="AI57" s="70">
        <v>52917.0</v>
      </c>
      <c r="AJ57" s="70">
        <v>31725.0</v>
      </c>
      <c r="AK57" s="70">
        <v>43505.0</v>
      </c>
      <c r="AL57" s="70">
        <v>43319.0</v>
      </c>
    </row>
    <row r="58" ht="15.75" customHeight="1">
      <c r="A58" s="12"/>
      <c r="B58" s="71">
        <v>16.5</v>
      </c>
      <c r="C58" s="72">
        <f t="shared" si="1"/>
        <v>16500</v>
      </c>
      <c r="D58" s="72">
        <v>27138.0</v>
      </c>
      <c r="E58" s="12"/>
      <c r="F58" s="12"/>
      <c r="G58" s="12"/>
      <c r="H58" s="12"/>
      <c r="I58" s="12"/>
      <c r="J58" s="67">
        <v>16.5</v>
      </c>
      <c r="K58" s="68">
        <v>16500.0</v>
      </c>
      <c r="L58" s="69">
        <v>47507.0</v>
      </c>
      <c r="M58" s="69">
        <v>51760.0</v>
      </c>
      <c r="N58" s="69">
        <v>45829.0</v>
      </c>
      <c r="O58" s="69">
        <v>47188.0</v>
      </c>
      <c r="P58" s="69">
        <v>96550.0</v>
      </c>
      <c r="Q58" s="69">
        <v>43317.0</v>
      </c>
      <c r="R58" s="69">
        <v>44192.0</v>
      </c>
      <c r="S58" s="69">
        <v>44771.0</v>
      </c>
      <c r="T58" s="69">
        <v>44879.0</v>
      </c>
      <c r="U58" s="69">
        <v>46395.0</v>
      </c>
      <c r="V58" s="69">
        <v>44519.0</v>
      </c>
      <c r="W58" s="69">
        <v>67734.0</v>
      </c>
      <c r="X58" s="69">
        <v>46665.0</v>
      </c>
      <c r="Y58" s="69">
        <v>43546.0</v>
      </c>
      <c r="Z58" s="69">
        <v>45310.0</v>
      </c>
      <c r="AA58" s="69">
        <v>45242.0</v>
      </c>
      <c r="AB58" s="70">
        <v>43870.0</v>
      </c>
      <c r="AC58" s="70">
        <v>42716.0</v>
      </c>
      <c r="AD58" s="70">
        <v>44564.0</v>
      </c>
      <c r="AE58" s="70">
        <v>81113.0</v>
      </c>
      <c r="AF58" s="70">
        <v>42656.0</v>
      </c>
      <c r="AG58" s="70">
        <v>51354.0</v>
      </c>
      <c r="AH58" s="70">
        <v>43771.0</v>
      </c>
      <c r="AI58" s="70">
        <v>53644.0</v>
      </c>
      <c r="AJ58" s="70">
        <v>31725.0</v>
      </c>
      <c r="AK58" s="70">
        <v>44234.0</v>
      </c>
      <c r="AL58" s="70">
        <v>44047.0</v>
      </c>
    </row>
    <row r="59" ht="15.75" customHeight="1">
      <c r="A59" s="12"/>
      <c r="B59" s="64">
        <v>17.0</v>
      </c>
      <c r="C59" s="65">
        <f t="shared" si="1"/>
        <v>17000</v>
      </c>
      <c r="D59" s="65">
        <v>27817.0</v>
      </c>
      <c r="E59" s="12"/>
      <c r="F59" s="12"/>
      <c r="G59" s="12"/>
      <c r="H59" s="12"/>
      <c r="I59" s="12"/>
      <c r="J59" s="67">
        <v>17.0</v>
      </c>
      <c r="K59" s="68">
        <v>17000.0</v>
      </c>
      <c r="L59" s="69">
        <v>49605.0</v>
      </c>
      <c r="M59" s="69">
        <v>53217.0</v>
      </c>
      <c r="N59" s="69">
        <v>47288.0</v>
      </c>
      <c r="O59" s="69">
        <v>48646.0</v>
      </c>
      <c r="P59" s="69">
        <v>98008.0</v>
      </c>
      <c r="Q59" s="69">
        <v>44774.0</v>
      </c>
      <c r="R59" s="69">
        <v>45650.0</v>
      </c>
      <c r="S59" s="69">
        <v>46229.0</v>
      </c>
      <c r="T59" s="69">
        <v>46338.0</v>
      </c>
      <c r="U59" s="69">
        <v>47854.0</v>
      </c>
      <c r="V59" s="69">
        <v>45977.0</v>
      </c>
      <c r="W59" s="69">
        <v>69191.0</v>
      </c>
      <c r="X59" s="69">
        <v>48123.0</v>
      </c>
      <c r="Y59" s="69">
        <v>45005.0</v>
      </c>
      <c r="Z59" s="69">
        <v>46767.0</v>
      </c>
      <c r="AA59" s="69">
        <v>46699.0</v>
      </c>
      <c r="AB59" s="70">
        <v>45329.0</v>
      </c>
      <c r="AC59" s="70">
        <v>44173.0</v>
      </c>
      <c r="AD59" s="70">
        <v>46022.0</v>
      </c>
      <c r="AE59" s="70">
        <v>82571.0</v>
      </c>
      <c r="AF59" s="70">
        <v>44113.0</v>
      </c>
      <c r="AG59" s="70">
        <v>52813.0</v>
      </c>
      <c r="AH59" s="70">
        <v>45229.0</v>
      </c>
      <c r="AI59" s="70">
        <v>55103.0</v>
      </c>
      <c r="AJ59" s="70">
        <v>31725.0</v>
      </c>
      <c r="AK59" s="70">
        <v>45694.0</v>
      </c>
      <c r="AL59" s="70">
        <v>45504.0</v>
      </c>
    </row>
    <row r="60" ht="15.75" customHeight="1">
      <c r="A60" s="12"/>
      <c r="B60" s="71">
        <v>17.5</v>
      </c>
      <c r="C60" s="72">
        <f t="shared" si="1"/>
        <v>17500</v>
      </c>
      <c r="D60" s="72">
        <v>28478.0</v>
      </c>
      <c r="E60" s="12"/>
      <c r="F60" s="12"/>
      <c r="G60" s="12"/>
      <c r="H60" s="12"/>
      <c r="I60" s="12"/>
      <c r="J60" s="67">
        <v>17.5</v>
      </c>
      <c r="K60" s="68">
        <v>17500.0</v>
      </c>
      <c r="L60" s="69">
        <v>50736.0</v>
      </c>
      <c r="M60" s="69">
        <v>54677.0</v>
      </c>
      <c r="N60" s="69">
        <v>48745.0</v>
      </c>
      <c r="O60" s="69">
        <v>50105.0</v>
      </c>
      <c r="P60" s="69">
        <v>99465.0</v>
      </c>
      <c r="Q60" s="69">
        <v>46233.0</v>
      </c>
      <c r="R60" s="69">
        <v>47107.0</v>
      </c>
      <c r="S60" s="69">
        <v>47688.0</v>
      </c>
      <c r="T60" s="69">
        <v>47796.0</v>
      </c>
      <c r="U60" s="69">
        <v>49311.0</v>
      </c>
      <c r="V60" s="69">
        <v>47436.0</v>
      </c>
      <c r="W60" s="69">
        <v>70651.0</v>
      </c>
      <c r="X60" s="69">
        <v>49580.0</v>
      </c>
      <c r="Y60" s="69">
        <v>46463.0</v>
      </c>
      <c r="Z60" s="69">
        <v>48225.0</v>
      </c>
      <c r="AA60" s="69">
        <v>48157.0</v>
      </c>
      <c r="AB60" s="70">
        <v>46787.0</v>
      </c>
      <c r="AC60" s="70">
        <v>45632.0</v>
      </c>
      <c r="AD60" s="70">
        <v>47479.0</v>
      </c>
      <c r="AE60" s="70">
        <v>84029.0</v>
      </c>
      <c r="AF60" s="70">
        <v>45573.0</v>
      </c>
      <c r="AG60" s="70">
        <v>54270.0</v>
      </c>
      <c r="AH60" s="70">
        <v>46688.0</v>
      </c>
      <c r="AI60" s="70">
        <v>56561.0</v>
      </c>
      <c r="AJ60" s="70">
        <v>31725.0</v>
      </c>
      <c r="AK60" s="70">
        <v>47151.0</v>
      </c>
      <c r="AL60" s="70">
        <v>46964.0</v>
      </c>
    </row>
    <row r="61" ht="15.75" customHeight="1">
      <c r="A61" s="12"/>
      <c r="B61" s="64">
        <v>18.0</v>
      </c>
      <c r="C61" s="65">
        <f t="shared" si="1"/>
        <v>18000</v>
      </c>
      <c r="D61" s="65">
        <v>29144.0</v>
      </c>
      <c r="E61" s="12"/>
      <c r="F61" s="12"/>
      <c r="G61" s="12"/>
      <c r="H61" s="12"/>
      <c r="I61" s="12"/>
      <c r="J61" s="67">
        <v>18.0</v>
      </c>
      <c r="K61" s="68">
        <v>18000.0</v>
      </c>
      <c r="L61" s="69">
        <v>51868.0</v>
      </c>
      <c r="M61" s="69">
        <v>55404.0</v>
      </c>
      <c r="N61" s="69">
        <v>49475.0</v>
      </c>
      <c r="O61" s="69">
        <v>50833.0</v>
      </c>
      <c r="P61" s="69">
        <v>100196.0</v>
      </c>
      <c r="Q61" s="69">
        <v>46963.0</v>
      </c>
      <c r="R61" s="69">
        <v>47838.0</v>
      </c>
      <c r="S61" s="69">
        <v>48417.0</v>
      </c>
      <c r="T61" s="69">
        <v>48524.0</v>
      </c>
      <c r="U61" s="69">
        <v>50040.0</v>
      </c>
      <c r="V61" s="69">
        <v>48164.0</v>
      </c>
      <c r="W61" s="69">
        <v>71379.0</v>
      </c>
      <c r="X61" s="69">
        <v>50311.0</v>
      </c>
      <c r="Y61" s="69">
        <v>47191.0</v>
      </c>
      <c r="Z61" s="69">
        <v>48954.0</v>
      </c>
      <c r="AA61" s="69">
        <v>48885.0</v>
      </c>
      <c r="AB61" s="70">
        <v>47515.0</v>
      </c>
      <c r="AC61" s="70">
        <v>46362.0</v>
      </c>
      <c r="AD61" s="70">
        <v>48210.0</v>
      </c>
      <c r="AE61" s="70">
        <v>84759.0</v>
      </c>
      <c r="AF61" s="70">
        <v>46302.0</v>
      </c>
      <c r="AG61" s="70">
        <v>54998.0</v>
      </c>
      <c r="AH61" s="70">
        <v>47417.0</v>
      </c>
      <c r="AI61" s="70">
        <v>57289.0</v>
      </c>
      <c r="AJ61" s="70">
        <v>31725.0</v>
      </c>
      <c r="AK61" s="70">
        <v>47879.0</v>
      </c>
      <c r="AL61" s="70">
        <v>47691.0</v>
      </c>
    </row>
    <row r="62" ht="15.75" customHeight="1">
      <c r="A62" s="12"/>
      <c r="B62" s="71">
        <v>18.5</v>
      </c>
      <c r="C62" s="72">
        <f t="shared" si="1"/>
        <v>18500</v>
      </c>
      <c r="D62" s="72">
        <v>29687.0</v>
      </c>
      <c r="E62" s="12"/>
      <c r="F62" s="12"/>
      <c r="G62" s="12"/>
      <c r="H62" s="12"/>
      <c r="I62" s="12"/>
      <c r="J62" s="67">
        <v>18.5</v>
      </c>
      <c r="K62" s="68">
        <v>18500.0</v>
      </c>
      <c r="L62" s="69">
        <v>53962.0</v>
      </c>
      <c r="M62" s="69">
        <v>56863.0</v>
      </c>
      <c r="N62" s="69">
        <v>50933.0</v>
      </c>
      <c r="O62" s="69">
        <v>52291.0</v>
      </c>
      <c r="P62" s="69">
        <v>101653.0</v>
      </c>
      <c r="Q62" s="69">
        <v>48420.0</v>
      </c>
      <c r="R62" s="69">
        <v>49296.0</v>
      </c>
      <c r="S62" s="69">
        <v>49874.0</v>
      </c>
      <c r="T62" s="69">
        <v>49984.0</v>
      </c>
      <c r="U62" s="69">
        <v>51499.0</v>
      </c>
      <c r="V62" s="69">
        <v>49622.0</v>
      </c>
      <c r="W62" s="69">
        <v>72837.0</v>
      </c>
      <c r="X62" s="69">
        <v>51769.0</v>
      </c>
      <c r="Y62" s="69">
        <v>48650.0</v>
      </c>
      <c r="Z62" s="69">
        <v>50413.0</v>
      </c>
      <c r="AA62" s="69">
        <v>50345.0</v>
      </c>
      <c r="AB62" s="70">
        <v>48975.0</v>
      </c>
      <c r="AC62" s="70">
        <v>47819.0</v>
      </c>
      <c r="AD62" s="70">
        <v>49667.0</v>
      </c>
      <c r="AE62" s="70">
        <v>86216.0</v>
      </c>
      <c r="AF62" s="70">
        <v>47759.0</v>
      </c>
      <c r="AG62" s="70">
        <v>56456.0</v>
      </c>
      <c r="AH62" s="70">
        <v>48874.0</v>
      </c>
      <c r="AI62" s="70">
        <v>58746.0</v>
      </c>
      <c r="AJ62" s="70">
        <v>31725.0</v>
      </c>
      <c r="AK62" s="70">
        <v>49339.0</v>
      </c>
      <c r="AL62" s="70">
        <v>49150.0</v>
      </c>
    </row>
    <row r="63" ht="15.75" customHeight="1">
      <c r="A63" s="12"/>
      <c r="B63" s="64">
        <v>19.0</v>
      </c>
      <c r="C63" s="65">
        <f t="shared" si="1"/>
        <v>19000</v>
      </c>
      <c r="D63" s="65">
        <v>30372.0</v>
      </c>
      <c r="E63" s="12"/>
      <c r="F63" s="12"/>
      <c r="G63" s="12"/>
      <c r="H63" s="12"/>
      <c r="I63" s="12"/>
      <c r="J63" s="67">
        <v>19.0</v>
      </c>
      <c r="K63" s="68">
        <v>19000.0</v>
      </c>
      <c r="L63" s="69">
        <v>55094.0</v>
      </c>
      <c r="M63" s="69">
        <v>57593.0</v>
      </c>
      <c r="N63" s="69">
        <v>51661.0</v>
      </c>
      <c r="O63" s="69">
        <v>53021.0</v>
      </c>
      <c r="P63" s="69">
        <v>102382.0</v>
      </c>
      <c r="Q63" s="69">
        <v>49148.0</v>
      </c>
      <c r="R63" s="69">
        <v>50023.0</v>
      </c>
      <c r="S63" s="69">
        <v>50604.0</v>
      </c>
      <c r="T63" s="69">
        <v>50712.0</v>
      </c>
      <c r="U63" s="69">
        <v>52228.0</v>
      </c>
      <c r="V63" s="69">
        <v>50351.0</v>
      </c>
      <c r="W63" s="69">
        <v>73567.0</v>
      </c>
      <c r="X63" s="69">
        <v>52496.0</v>
      </c>
      <c r="Y63" s="69">
        <v>49379.0</v>
      </c>
      <c r="Z63" s="69">
        <v>51142.0</v>
      </c>
      <c r="AA63" s="69">
        <v>51073.0</v>
      </c>
      <c r="AB63" s="70">
        <v>49702.0</v>
      </c>
      <c r="AC63" s="70">
        <v>48549.0</v>
      </c>
      <c r="AD63" s="70">
        <v>50396.0</v>
      </c>
      <c r="AE63" s="70">
        <v>86945.0</v>
      </c>
      <c r="AF63" s="70">
        <v>48489.0</v>
      </c>
      <c r="AG63" s="70">
        <v>57185.0</v>
      </c>
      <c r="AH63" s="70">
        <v>49603.0</v>
      </c>
      <c r="AI63" s="70">
        <v>59477.0</v>
      </c>
      <c r="AJ63" s="70">
        <v>31725.0</v>
      </c>
      <c r="AK63" s="70">
        <v>50066.0</v>
      </c>
      <c r="AL63" s="70">
        <v>49879.0</v>
      </c>
    </row>
    <row r="64" ht="15.75" customHeight="1">
      <c r="A64" s="12"/>
      <c r="B64" s="71">
        <v>19.5</v>
      </c>
      <c r="C64" s="72">
        <f t="shared" si="1"/>
        <v>19500</v>
      </c>
      <c r="D64" s="72">
        <v>31062.0</v>
      </c>
      <c r="E64" s="12"/>
      <c r="F64" s="12"/>
      <c r="G64" s="12"/>
      <c r="H64" s="12"/>
      <c r="I64" s="12"/>
      <c r="J64" s="67">
        <v>19.5</v>
      </c>
      <c r="K64" s="68">
        <v>19500.0</v>
      </c>
      <c r="L64" s="69">
        <v>56203.0</v>
      </c>
      <c r="M64" s="69">
        <v>57593.0</v>
      </c>
      <c r="N64" s="69">
        <v>51661.0</v>
      </c>
      <c r="O64" s="69">
        <v>53021.0</v>
      </c>
      <c r="P64" s="69">
        <v>102382.0</v>
      </c>
      <c r="Q64" s="69">
        <v>49148.0</v>
      </c>
      <c r="R64" s="69">
        <v>50023.0</v>
      </c>
      <c r="S64" s="69">
        <v>50604.0</v>
      </c>
      <c r="T64" s="69">
        <v>50712.0</v>
      </c>
      <c r="U64" s="69">
        <v>52228.0</v>
      </c>
      <c r="V64" s="69">
        <v>50351.0</v>
      </c>
      <c r="W64" s="69">
        <v>73567.0</v>
      </c>
      <c r="X64" s="69">
        <v>52496.0</v>
      </c>
      <c r="Y64" s="69">
        <v>49379.0</v>
      </c>
      <c r="Z64" s="69">
        <v>51142.0</v>
      </c>
      <c r="AA64" s="69">
        <v>51073.0</v>
      </c>
      <c r="AB64" s="70">
        <v>49702.0</v>
      </c>
      <c r="AC64" s="70">
        <v>48549.0</v>
      </c>
      <c r="AD64" s="70">
        <v>50396.0</v>
      </c>
      <c r="AE64" s="70">
        <v>86945.0</v>
      </c>
      <c r="AF64" s="70">
        <v>48489.0</v>
      </c>
      <c r="AG64" s="70">
        <v>57185.0</v>
      </c>
      <c r="AH64" s="70">
        <v>49603.0</v>
      </c>
      <c r="AI64" s="70">
        <v>59477.0</v>
      </c>
      <c r="AJ64" s="70">
        <v>31725.0</v>
      </c>
      <c r="AK64" s="70">
        <v>50066.0</v>
      </c>
      <c r="AL64" s="70">
        <v>49879.0</v>
      </c>
    </row>
    <row r="65" ht="15.75" customHeight="1">
      <c r="A65" s="12"/>
      <c r="B65" s="64">
        <v>20.0</v>
      </c>
      <c r="C65" s="65">
        <f t="shared" si="1"/>
        <v>20000</v>
      </c>
      <c r="D65" s="65">
        <v>32016.0</v>
      </c>
      <c r="E65" s="12"/>
      <c r="F65" s="12"/>
      <c r="G65" s="12"/>
      <c r="H65" s="12"/>
      <c r="I65" s="12"/>
      <c r="J65" s="67">
        <v>20.0</v>
      </c>
      <c r="K65" s="68">
        <v>20000.0</v>
      </c>
      <c r="L65" s="69">
        <v>57332.0</v>
      </c>
      <c r="M65" s="69">
        <v>57593.0</v>
      </c>
      <c r="N65" s="69">
        <v>51661.0</v>
      </c>
      <c r="O65" s="69">
        <v>53021.0</v>
      </c>
      <c r="P65" s="69">
        <v>102382.0</v>
      </c>
      <c r="Q65" s="69">
        <v>49148.0</v>
      </c>
      <c r="R65" s="69">
        <v>50023.0</v>
      </c>
      <c r="S65" s="69">
        <v>50604.0</v>
      </c>
      <c r="T65" s="69">
        <v>50712.0</v>
      </c>
      <c r="U65" s="69">
        <v>52228.0</v>
      </c>
      <c r="V65" s="69">
        <v>50351.0</v>
      </c>
      <c r="W65" s="69">
        <v>73567.0</v>
      </c>
      <c r="X65" s="69">
        <v>52496.0</v>
      </c>
      <c r="Y65" s="69">
        <v>49379.0</v>
      </c>
      <c r="Z65" s="69">
        <v>51142.0</v>
      </c>
      <c r="AA65" s="69">
        <v>51073.0</v>
      </c>
      <c r="AB65" s="70">
        <v>49702.0</v>
      </c>
      <c r="AC65" s="70">
        <v>48549.0</v>
      </c>
      <c r="AD65" s="70">
        <v>50396.0</v>
      </c>
      <c r="AE65" s="70">
        <v>86945.0</v>
      </c>
      <c r="AF65" s="70">
        <v>48489.0</v>
      </c>
      <c r="AG65" s="70">
        <v>57185.0</v>
      </c>
      <c r="AH65" s="70">
        <v>49603.0</v>
      </c>
      <c r="AI65" s="70">
        <v>59477.0</v>
      </c>
      <c r="AJ65" s="70">
        <v>31725.0</v>
      </c>
      <c r="AK65" s="70">
        <v>50066.0</v>
      </c>
      <c r="AL65" s="70">
        <v>49879.0</v>
      </c>
    </row>
    <row r="66" ht="15.75" customHeight="1">
      <c r="A66" s="12"/>
      <c r="B66" s="71">
        <v>20.5</v>
      </c>
      <c r="C66" s="72">
        <f t="shared" si="1"/>
        <v>20500</v>
      </c>
      <c r="D66" s="72">
        <v>32683.0</v>
      </c>
      <c r="E66" s="12"/>
      <c r="F66" s="12"/>
      <c r="G66" s="12"/>
      <c r="H66" s="12"/>
      <c r="I66" s="12"/>
      <c r="J66" s="12"/>
      <c r="K66" s="1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5.75" customHeight="1">
      <c r="A67" s="12"/>
      <c r="B67" s="64">
        <v>21.0</v>
      </c>
      <c r="C67" s="65">
        <f t="shared" si="1"/>
        <v>21000</v>
      </c>
      <c r="D67" s="65">
        <v>33410.0</v>
      </c>
      <c r="E67" s="12"/>
      <c r="F67" s="12"/>
      <c r="G67" s="12"/>
      <c r="H67" s="12"/>
      <c r="I67" s="12"/>
      <c r="J67" s="12"/>
      <c r="K67" s="12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5.75" customHeight="1">
      <c r="A68" s="12"/>
      <c r="B68" s="71">
        <v>21.5</v>
      </c>
      <c r="C68" s="72">
        <f t="shared" si="1"/>
        <v>21500</v>
      </c>
      <c r="D68" s="72">
        <v>34089.0</v>
      </c>
      <c r="E68" s="12"/>
      <c r="F68" s="12"/>
      <c r="G68" s="12"/>
      <c r="H68" s="12"/>
      <c r="I68" s="12"/>
      <c r="J68" s="12"/>
      <c r="K68" s="12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5.75" customHeight="1">
      <c r="A69" s="12"/>
      <c r="B69" s="64">
        <v>22.0</v>
      </c>
      <c r="C69" s="65">
        <f t="shared" si="1"/>
        <v>22000</v>
      </c>
      <c r="D69" s="65">
        <v>34762.0</v>
      </c>
      <c r="E69" s="12"/>
      <c r="F69" s="12"/>
      <c r="G69" s="12"/>
      <c r="H69" s="12"/>
      <c r="I69" s="12"/>
      <c r="J69" s="12"/>
      <c r="K69" s="12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5.75" customHeight="1">
      <c r="A70" s="12"/>
      <c r="B70" s="71">
        <v>22.5</v>
      </c>
      <c r="C70" s="72">
        <f t="shared" si="1"/>
        <v>22500</v>
      </c>
      <c r="D70" s="72">
        <v>35463.0</v>
      </c>
      <c r="E70" s="12"/>
      <c r="F70" s="12"/>
      <c r="G70" s="12"/>
      <c r="H70" s="12"/>
      <c r="I70" s="12"/>
      <c r="J70" s="12"/>
      <c r="K70" s="12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5.75" customHeight="1">
      <c r="A71" s="12"/>
      <c r="B71" s="64">
        <v>23.0</v>
      </c>
      <c r="C71" s="65">
        <f t="shared" si="1"/>
        <v>23000</v>
      </c>
      <c r="D71" s="65">
        <v>36325.0</v>
      </c>
      <c r="E71" s="12"/>
      <c r="F71" s="12"/>
      <c r="G71" s="12"/>
      <c r="H71" s="12"/>
      <c r="I71" s="12"/>
      <c r="J71" s="12"/>
      <c r="K71" s="1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5.75" customHeight="1">
      <c r="A72" s="12"/>
      <c r="B72" s="71">
        <v>23.5</v>
      </c>
      <c r="C72" s="72">
        <f t="shared" si="1"/>
        <v>23500</v>
      </c>
      <c r="D72" s="72">
        <v>36860.0</v>
      </c>
      <c r="E72" s="12"/>
      <c r="F72" s="12"/>
      <c r="G72" s="12"/>
      <c r="H72" s="12"/>
      <c r="I72" s="12"/>
      <c r="J72" s="12"/>
      <c r="K72" s="12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5.75" customHeight="1">
      <c r="A73" s="12"/>
      <c r="B73" s="64">
        <v>24.0</v>
      </c>
      <c r="C73" s="65">
        <f t="shared" si="1"/>
        <v>24000</v>
      </c>
      <c r="D73" s="65">
        <v>37421.0</v>
      </c>
      <c r="E73" s="12"/>
      <c r="F73" s="12"/>
      <c r="G73" s="12"/>
      <c r="H73" s="12"/>
      <c r="I73" s="12"/>
      <c r="J73" s="12"/>
      <c r="K73" s="12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5.75" customHeight="1">
      <c r="A74" s="12"/>
      <c r="B74" s="71">
        <v>24.5</v>
      </c>
      <c r="C74" s="72">
        <f t="shared" si="1"/>
        <v>24500</v>
      </c>
      <c r="D74" s="72">
        <v>38077.0</v>
      </c>
      <c r="E74" s="12"/>
      <c r="F74" s="12"/>
      <c r="G74" s="12"/>
      <c r="H74" s="12"/>
      <c r="I74" s="12"/>
      <c r="J74" s="12"/>
      <c r="K74" s="12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5.75" customHeight="1">
      <c r="A75" s="12"/>
      <c r="B75" s="64">
        <v>25.0</v>
      </c>
      <c r="C75" s="65">
        <f t="shared" si="1"/>
        <v>25000</v>
      </c>
      <c r="D75" s="65">
        <v>38625.0</v>
      </c>
      <c r="E75" s="12"/>
      <c r="F75" s="12"/>
      <c r="G75" s="12"/>
      <c r="H75" s="12"/>
      <c r="I75" s="12"/>
      <c r="J75" s="12"/>
      <c r="K75" s="12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5.75" customHeight="1">
      <c r="A76" s="16"/>
      <c r="B76" s="16"/>
      <c r="C76" s="83"/>
      <c r="D76" s="83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5.75" customHeight="1">
      <c r="A77" s="16"/>
      <c r="B77" s="16"/>
      <c r="C77" s="83"/>
      <c r="D77" s="83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5.75" customHeight="1">
      <c r="A78" s="16"/>
      <c r="B78" s="16"/>
      <c r="C78" s="83"/>
      <c r="D78" s="83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5.75" customHeight="1">
      <c r="A79" s="16"/>
      <c r="B79" s="16"/>
      <c r="C79" s="83"/>
      <c r="D79" s="83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5.75" customHeight="1">
      <c r="A80" s="16"/>
      <c r="B80" s="16"/>
      <c r="C80" s="83"/>
      <c r="D80" s="8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5.75" customHeight="1">
      <c r="A81" s="16"/>
      <c r="B81" s="16" t="s">
        <v>236</v>
      </c>
      <c r="C81" s="83" t="s">
        <v>241</v>
      </c>
      <c r="D81" s="83" t="s">
        <v>1217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5.75" customHeight="1">
      <c r="A82" s="16"/>
      <c r="B82" s="16">
        <v>0.1</v>
      </c>
      <c r="C82" s="83">
        <v>100.0</v>
      </c>
      <c r="D82" s="83">
        <v>1226.0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5.75" customHeight="1">
      <c r="A83" s="16"/>
      <c r="B83" s="16">
        <v>0.2</v>
      </c>
      <c r="C83" s="83">
        <v>200.0</v>
      </c>
      <c r="D83" s="83">
        <v>1393.0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5.75" customHeight="1">
      <c r="A84" s="16"/>
      <c r="B84" s="16">
        <v>0.3</v>
      </c>
      <c r="C84" s="83">
        <v>300.0</v>
      </c>
      <c r="D84" s="83">
        <v>1703.0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5.75" customHeight="1">
      <c r="A85" s="16"/>
      <c r="B85" s="16">
        <v>0.4</v>
      </c>
      <c r="C85" s="83">
        <v>400.0</v>
      </c>
      <c r="D85" s="83">
        <v>2005.0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5.75" customHeight="1">
      <c r="A86" s="16"/>
      <c r="B86" s="16">
        <v>0.5</v>
      </c>
      <c r="C86" s="83">
        <v>500.0</v>
      </c>
      <c r="D86" s="83">
        <v>2473.0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5.75" customHeight="1">
      <c r="A87" s="16"/>
      <c r="B87" s="16">
        <v>0.6</v>
      </c>
      <c r="C87" s="83">
        <v>600.0</v>
      </c>
      <c r="D87" s="83">
        <v>2640.0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5.75" customHeight="1">
      <c r="A88" s="16"/>
      <c r="B88" s="16">
        <v>0.7</v>
      </c>
      <c r="C88" s="83">
        <v>700.0</v>
      </c>
      <c r="D88" s="83">
        <v>2733.0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75" customHeight="1">
      <c r="A89" s="16"/>
      <c r="B89" s="16">
        <v>0.8</v>
      </c>
      <c r="C89" s="83">
        <v>800.0</v>
      </c>
      <c r="D89" s="83">
        <v>3154.0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5.75" customHeight="1">
      <c r="A90" s="16"/>
      <c r="B90" s="16">
        <v>0.9</v>
      </c>
      <c r="C90" s="83">
        <v>900.0</v>
      </c>
      <c r="D90" s="83">
        <v>3267.0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5.75" customHeight="1">
      <c r="A91" s="16"/>
      <c r="B91" s="16">
        <v>1.0</v>
      </c>
      <c r="C91" s="83">
        <v>1000.0</v>
      </c>
      <c r="D91" s="83">
        <v>3844.0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5.75" customHeight="1">
      <c r="A92" s="16"/>
      <c r="B92" s="16">
        <v>1.1</v>
      </c>
      <c r="C92" s="83">
        <v>1100.0</v>
      </c>
      <c r="D92" s="83">
        <v>3954.0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5.75" customHeight="1">
      <c r="A93" s="16"/>
      <c r="B93" s="16">
        <v>1.2</v>
      </c>
      <c r="C93" s="83">
        <v>1200.0</v>
      </c>
      <c r="D93" s="83">
        <v>4061.0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5.75" customHeight="1">
      <c r="A94" s="16"/>
      <c r="B94" s="16">
        <v>1.3</v>
      </c>
      <c r="C94" s="83">
        <v>1300.0</v>
      </c>
      <c r="D94" s="83">
        <v>4170.0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5.75" customHeight="1">
      <c r="A95" s="16"/>
      <c r="B95" s="16">
        <v>1.4</v>
      </c>
      <c r="C95" s="83">
        <v>1400.0</v>
      </c>
      <c r="D95" s="83">
        <v>4798.0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5.75" customHeight="1">
      <c r="A96" s="16"/>
      <c r="B96" s="16">
        <v>1.5</v>
      </c>
      <c r="C96" s="83">
        <v>1500.0</v>
      </c>
      <c r="D96" s="83">
        <v>4904.0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5.75" customHeight="1">
      <c r="A97" s="16"/>
      <c r="B97" s="16">
        <v>1.6</v>
      </c>
      <c r="C97" s="83">
        <v>1600.0</v>
      </c>
      <c r="D97" s="83">
        <v>5016.0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75" customHeight="1">
      <c r="A98" s="16"/>
      <c r="B98" s="16">
        <v>1.7</v>
      </c>
      <c r="C98" s="83">
        <v>1700.0</v>
      </c>
      <c r="D98" s="83">
        <v>5121.0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5.75" customHeight="1">
      <c r="A99" s="16"/>
      <c r="B99" s="16">
        <v>1.8</v>
      </c>
      <c r="C99" s="83">
        <v>1800.0</v>
      </c>
      <c r="D99" s="83">
        <v>5233.0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5.75" customHeight="1">
      <c r="A100" s="16"/>
      <c r="B100" s="16">
        <v>1.9</v>
      </c>
      <c r="C100" s="83">
        <v>1900.0</v>
      </c>
      <c r="D100" s="83">
        <v>5287.0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75" customHeight="1">
      <c r="A101" s="16"/>
      <c r="B101" s="16">
        <v>2.0</v>
      </c>
      <c r="C101" s="83">
        <v>2000.0</v>
      </c>
      <c r="D101" s="83">
        <v>5475.0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75" customHeight="1">
      <c r="A102" s="16"/>
      <c r="B102" s="16">
        <v>2.5</v>
      </c>
      <c r="C102" s="83">
        <v>2500.0</v>
      </c>
      <c r="D102" s="83">
        <v>5724.0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75" customHeight="1">
      <c r="A103" s="16"/>
      <c r="B103" s="16">
        <v>3.0</v>
      </c>
      <c r="C103" s="83">
        <v>3000.0</v>
      </c>
      <c r="D103" s="83">
        <v>6589.0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75" customHeight="1">
      <c r="A104" s="16"/>
      <c r="B104" s="16">
        <v>3.5</v>
      </c>
      <c r="C104" s="83">
        <v>3500.0</v>
      </c>
      <c r="D104" s="83">
        <v>7412.0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75" customHeight="1">
      <c r="A105" s="16"/>
      <c r="B105" s="16">
        <v>4.0</v>
      </c>
      <c r="C105" s="83">
        <v>4000.0</v>
      </c>
      <c r="D105" s="83">
        <v>8210.0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75" customHeight="1">
      <c r="A106" s="16"/>
      <c r="B106" s="16">
        <v>4.5</v>
      </c>
      <c r="C106" s="83">
        <v>4500.0</v>
      </c>
      <c r="D106" s="83">
        <v>9409.0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75" customHeight="1">
      <c r="A107" s="16"/>
      <c r="B107" s="16">
        <v>5.0</v>
      </c>
      <c r="C107" s="83">
        <v>5000.0</v>
      </c>
      <c r="D107" s="83">
        <v>11065.0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75" customHeight="1">
      <c r="A108" s="16"/>
      <c r="B108" s="16">
        <v>5.5</v>
      </c>
      <c r="C108" s="83">
        <v>5500.0</v>
      </c>
      <c r="D108" s="83">
        <v>11789.0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5.75" customHeight="1">
      <c r="A109" s="16"/>
      <c r="B109" s="16">
        <v>6.0</v>
      </c>
      <c r="C109" s="83">
        <v>6000.0</v>
      </c>
      <c r="D109" s="83">
        <v>12576.0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5.75" customHeight="1">
      <c r="A110" s="16"/>
      <c r="B110" s="16">
        <v>6.5</v>
      </c>
      <c r="C110" s="83">
        <v>6500.0</v>
      </c>
      <c r="D110" s="83">
        <v>13354.0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5.75" customHeight="1">
      <c r="A111" s="16"/>
      <c r="B111" s="16">
        <v>7.0</v>
      </c>
      <c r="C111" s="83">
        <v>7000.0</v>
      </c>
      <c r="D111" s="83">
        <v>14801.0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5.75" customHeight="1">
      <c r="A112" s="16"/>
      <c r="B112" s="16">
        <v>7.5</v>
      </c>
      <c r="C112" s="83">
        <v>7500.0</v>
      </c>
      <c r="D112" s="83">
        <v>15470.0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5.75" customHeight="1">
      <c r="A113" s="16"/>
      <c r="B113" s="16">
        <v>8.0</v>
      </c>
      <c r="C113" s="83">
        <v>8000.0</v>
      </c>
      <c r="D113" s="83">
        <v>16129.0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5.75" customHeight="1">
      <c r="A114" s="16"/>
      <c r="B114" s="16">
        <v>8.5</v>
      </c>
      <c r="C114" s="83">
        <v>8500.0</v>
      </c>
      <c r="D114" s="83">
        <v>16785.0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5.75" customHeight="1">
      <c r="A115" s="16"/>
      <c r="B115" s="16">
        <v>9.0</v>
      </c>
      <c r="C115" s="83">
        <v>9000.0</v>
      </c>
      <c r="D115" s="83">
        <v>17403.0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5.75" customHeight="1">
      <c r="A116" s="16"/>
      <c r="B116" s="16">
        <v>9.5</v>
      </c>
      <c r="C116" s="83">
        <v>9500.0</v>
      </c>
      <c r="D116" s="83">
        <v>18059.0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5.75" customHeight="1">
      <c r="A117" s="16"/>
      <c r="B117" s="16">
        <v>10.0</v>
      </c>
      <c r="C117" s="83">
        <v>10000.0</v>
      </c>
      <c r="D117" s="83">
        <v>18890.0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5.75" customHeight="1">
      <c r="A118" s="16"/>
      <c r="B118" s="16">
        <v>10.5</v>
      </c>
      <c r="C118" s="83">
        <v>10500.0</v>
      </c>
      <c r="D118" s="83">
        <v>19547.0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5.75" customHeight="1">
      <c r="A119" s="16"/>
      <c r="B119" s="16">
        <v>11.0</v>
      </c>
      <c r="C119" s="83">
        <v>11000.0</v>
      </c>
      <c r="D119" s="83">
        <v>20134.0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5.75" customHeight="1">
      <c r="A120" s="16"/>
      <c r="B120" s="16">
        <v>11.5</v>
      </c>
      <c r="C120" s="83">
        <v>11500.0</v>
      </c>
      <c r="D120" s="83">
        <v>20861.0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5.75" customHeight="1">
      <c r="A121" s="16"/>
      <c r="B121" s="16">
        <v>12.0</v>
      </c>
      <c r="C121" s="83">
        <v>12000.0</v>
      </c>
      <c r="D121" s="83">
        <v>21636.0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5.75" customHeight="1">
      <c r="A122" s="16"/>
      <c r="B122" s="16">
        <v>12.5</v>
      </c>
      <c r="C122" s="83">
        <v>12500.0</v>
      </c>
      <c r="D122" s="83">
        <v>22424.0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5.75" customHeight="1">
      <c r="A123" s="16"/>
      <c r="B123" s="16">
        <v>13.0</v>
      </c>
      <c r="C123" s="83">
        <v>13000.0</v>
      </c>
      <c r="D123" s="83">
        <v>23167.0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5.75" customHeight="1">
      <c r="A124" s="16"/>
      <c r="B124" s="16">
        <v>13.5</v>
      </c>
      <c r="C124" s="83">
        <v>13500.0</v>
      </c>
      <c r="D124" s="83">
        <v>23932.0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5.75" customHeight="1">
      <c r="A125" s="16"/>
      <c r="B125" s="16">
        <v>14.0</v>
      </c>
      <c r="C125" s="83">
        <v>14000.0</v>
      </c>
      <c r="D125" s="83">
        <v>24926.0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5.75" customHeight="1">
      <c r="A126" s="16"/>
      <c r="B126" s="16">
        <v>14.5</v>
      </c>
      <c r="C126" s="83">
        <v>14500.0</v>
      </c>
      <c r="D126" s="83">
        <v>25464.0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5.75" customHeight="1">
      <c r="A127" s="16"/>
      <c r="B127" s="16">
        <v>15.0</v>
      </c>
      <c r="C127" s="83">
        <v>15000.0</v>
      </c>
      <c r="D127" s="83">
        <v>26555.0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16">
      <formula1>"0,1"</formula1>
    </dataValidation>
    <dataValidation type="decimal" allowBlank="1" sqref="G11">
      <formula1>0.0</formula1>
      <formula2>1.0</formula2>
    </dataValidation>
    <dataValidation type="list" allowBlank="1" sqref="G2">
      <formula1>"本土48州,本土48州以外"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20.0"/>
    <col customWidth="1" min="4" max="13" width="18.0"/>
    <col customWidth="1" min="15" max="15" width="26.0"/>
    <col customWidth="1" min="16" max="16" width="18.0"/>
  </cols>
  <sheetData>
    <row r="1" ht="24.0" customHeight="1">
      <c r="A1" s="22"/>
      <c r="B1" s="79"/>
      <c r="C1" s="79"/>
      <c r="D1" s="22"/>
      <c r="E1" s="22"/>
      <c r="F1" s="22"/>
      <c r="G1" s="22"/>
      <c r="H1" s="80"/>
      <c r="I1" s="81" t="s">
        <v>1161</v>
      </c>
      <c r="J1" s="22"/>
      <c r="K1" s="22"/>
      <c r="L1" s="22"/>
      <c r="M1" s="22"/>
      <c r="O1" s="22"/>
      <c r="P1" s="22"/>
    </row>
    <row r="2" ht="24.0" customHeight="1">
      <c r="A2" s="22" t="s">
        <v>1169</v>
      </c>
      <c r="B2" s="82" t="s">
        <v>1172</v>
      </c>
      <c r="C2" s="22"/>
      <c r="D2" s="84" t="s">
        <v>1176</v>
      </c>
      <c r="E2" s="85" t="s">
        <v>1200</v>
      </c>
      <c r="F2" s="86" t="s">
        <v>1204</v>
      </c>
      <c r="G2" s="22" t="s">
        <v>1206</v>
      </c>
      <c r="H2" s="22" t="s">
        <v>1207</v>
      </c>
      <c r="I2" s="22" t="s">
        <v>1208</v>
      </c>
      <c r="J2" s="22" t="s">
        <v>31</v>
      </c>
      <c r="K2" s="22" t="s">
        <v>1211</v>
      </c>
      <c r="L2" s="22" t="s">
        <v>1213</v>
      </c>
      <c r="M2" s="22" t="s">
        <v>1214</v>
      </c>
      <c r="O2" s="22" t="s">
        <v>1215</v>
      </c>
      <c r="P2" s="87"/>
    </row>
    <row r="3" ht="24.0" customHeight="1">
      <c r="A3" s="22"/>
      <c r="B3" s="88">
        <f t="array" ref="B3">IF('計算詳細'!D4&lt;=0,"重量未入力",IF(MIN('計算詳細'!C8:E8)&lt;=0,"サイズ未入力",IF(OR(MAX(ROUNDUP('計算詳細'!C8,0),ROUNDUP('計算詳細'!D8,0),ROUNDUP('計算詳細'!E8,0))&gt;274,2*SUM(ROUNDUP('計算詳細'!C8,0),ROUNDUP('計算詳細'!D8,0),ROUNDUP('計算詳細'!E8,0))-MAX(ROUNDUP('計算詳細'!C8,0),ROUNDUP('計算詳細'!D8,0),ROUNDUP('計算詳細'!E8,0))&gt;330,'計算詳細'!Q9&gt;68000),"発送不可",INDEX($D$21:$H$108,MATCH('計算詳細'!Q9,$C$21:$C$108,0),MATCH($P$3,$D$18:$H$18,0)))))</f>
        <v>3061</v>
      </c>
      <c r="C3" s="22"/>
      <c r="D3" s="89">
        <v>0.5125</v>
      </c>
      <c r="E3" s="90">
        <v>242.0</v>
      </c>
      <c r="F3" s="89">
        <v>0.0</v>
      </c>
      <c r="G3" s="75">
        <v>200.0</v>
      </c>
      <c r="H3" s="91">
        <v>0.5</v>
      </c>
      <c r="I3" s="75">
        <v>37.0</v>
      </c>
      <c r="J3" s="40">
        <f t="array" ref="J3">IF('計算詳細'!D4&lt;=0,"重量未入力",IF(MIN('計算詳細'!C8:E8)&lt;=0,"サイズ未入力",IF(OR(MAX(ROUNDUP('計算詳細'!C8,0),ROUNDUP('計算詳細'!D8,0),ROUNDUP('計算詳細'!E8,0))&gt;274,2*SUM(ROUNDUP('計算詳細'!C8,0),ROUNDUP('計算詳細'!D8,0),ROUNDUP('計算詳細'!E8,0))-MAX(ROUNDUP('計算詳細'!C8,0),ROUNDUP('計算詳細'!D8,0),ROUNDUP('計算詳細'!E8,0))&gt;330,'計算詳細'!Q9&gt;68000),"発送不可",INDEX($D$21:$H$108,MATCH('計算詳細'!Q9,$C$21:$C$108,0),MATCH($K$6,$D$18:$H$18,0)))))</f>
        <v>3161</v>
      </c>
      <c r="K3" s="40">
        <f>IF(ISNUMBER(J3),MAX($I$3,'計算詳細'!Q9/1000*$G$3)*(1-IF(AND(OR($K$6="H",$K$6="M"),$P$4&gt;=DATE(2026,9,21),$P$4&lt;=DATE(2026,11,1)),$H$3,0)),J3)</f>
        <v>200</v>
      </c>
      <c r="L3" s="40">
        <f>IF(ISNUMBER(P10),ROUND(P10*$D$3,0),P10)</f>
        <v>1723</v>
      </c>
      <c r="M3" s="40">
        <f>IF(ISNUMBER(J3),SUM(J3,K3,L3,K9,K10,P7,P8)-ROUND((J3+L3)*$F$3,0),J3)</f>
        <v>5084</v>
      </c>
      <c r="O3" s="22" t="s">
        <v>1553</v>
      </c>
      <c r="P3" s="22" t="str">
        <f>IF(ISNUMBER(P2),IF(OR(AND(P2&gt;=83200,P2&lt;=83999),AND(P2&gt;=84000,P2&lt;=84799),AND(P2&gt;=85000,P2&lt;=86599),AND(P2&gt;=89000,P2&lt;=89899),AND(P2&gt;=90000,P2&lt;=96699),AND(P2&gt;=97000,P2&lt;=97999),AND(P2&gt;=98000,P2&lt;=99499)),"E","F"),LEFT(K5,1))</f>
        <v>E</v>
      </c>
    </row>
    <row r="4" ht="24.0" customHeight="1">
      <c r="A4" s="22"/>
      <c r="B4" s="40"/>
      <c r="C4" s="22"/>
      <c r="D4" s="22"/>
      <c r="E4" s="92">
        <f>IF(ISNUMBER(B3),MAX($I$3,'計算詳細'!Q9/1000*$E$3),B3)</f>
        <v>484</v>
      </c>
      <c r="F4" s="22"/>
      <c r="G4" s="22"/>
      <c r="H4" s="22"/>
      <c r="I4" s="22"/>
      <c r="J4" s="22"/>
      <c r="K4" s="22"/>
      <c r="L4" s="22"/>
      <c r="M4" s="22"/>
      <c r="O4" s="22" t="s">
        <v>1617</v>
      </c>
      <c r="P4" s="93">
        <f>TODAY()</f>
        <v>46308</v>
      </c>
    </row>
    <row r="5" ht="24.0" customHeight="1">
      <c r="A5" s="94" t="s">
        <v>1624</v>
      </c>
      <c r="B5" s="95" t="s">
        <v>1172</v>
      </c>
      <c r="C5" s="22"/>
      <c r="D5" s="22"/>
      <c r="E5" s="22"/>
      <c r="F5" s="22"/>
      <c r="G5" s="22"/>
      <c r="H5" s="22"/>
      <c r="I5" s="22"/>
      <c r="J5" s="22" t="s">
        <v>1633</v>
      </c>
      <c r="K5" s="24" t="s">
        <v>1639</v>
      </c>
      <c r="L5" s="22"/>
      <c r="M5" s="22"/>
      <c r="O5" s="22" t="s">
        <v>1642</v>
      </c>
      <c r="P5" s="40">
        <f>'計算詳細'!Q9</f>
        <v>2000</v>
      </c>
    </row>
    <row r="6" ht="24.0" customHeight="1">
      <c r="A6" s="22"/>
      <c r="B6" s="88">
        <f>IF(ISNUMBER(P9),ROUND(P9*$D$3,0),P9)</f>
        <v>1817</v>
      </c>
      <c r="C6" s="22"/>
      <c r="D6" s="22"/>
      <c r="E6" s="22"/>
      <c r="F6" s="22"/>
      <c r="G6" s="22"/>
      <c r="H6" s="22"/>
      <c r="I6" s="22"/>
      <c r="J6" s="22" t="s">
        <v>1660</v>
      </c>
      <c r="K6" s="22" t="str">
        <f>'計算詳細'!Q2</f>
        <v>M</v>
      </c>
      <c r="L6" s="22"/>
      <c r="M6" s="22"/>
      <c r="O6" s="22" t="s">
        <v>1664</v>
      </c>
      <c r="P6" s="40">
        <f>IF(K11="通常",0,IF(K11="A",0,IF(K11="B",IF(OR(P3="H",P3="I",P3="M"),0,MAX(2990,'計算詳細'!Q9/1000*58)),IF(OR(P3="H",P3="M"),0,MAX(3890,'計算詳細'!Q9/1000*80)))))</f>
        <v>0</v>
      </c>
    </row>
    <row r="7" ht="24.0" customHeight="1">
      <c r="A7" s="22"/>
      <c r="B7" s="40"/>
      <c r="C7" s="22"/>
      <c r="D7" s="22"/>
      <c r="E7" s="22"/>
      <c r="F7" s="22"/>
      <c r="G7" s="22"/>
      <c r="H7" s="22"/>
      <c r="I7" s="22"/>
      <c r="J7" s="22" t="s">
        <v>29</v>
      </c>
      <c r="K7" s="34" t="str">
        <f>'設定'!B27</f>
        <v>イタリア</v>
      </c>
      <c r="L7" s="22"/>
      <c r="M7" s="22"/>
      <c r="O7" s="22" t="s">
        <v>1689</v>
      </c>
      <c r="P7" s="40">
        <f>IF(K12="通常",0,IF(K12="A",0,IF(K12="B",IF(OR(K6="H",K6="I",K6="M"),0,MAX(2990,'計算詳細'!Q9/1000*58)),IF(OR(K6="H",K6="M"),0,MAX(3890,'計算詳細'!Q9/1000*80)))))</f>
        <v>0</v>
      </c>
    </row>
    <row r="8" ht="24.0" customHeight="1">
      <c r="A8" s="22" t="s">
        <v>1713</v>
      </c>
      <c r="B8" s="95" t="s">
        <v>1172</v>
      </c>
      <c r="C8" s="22"/>
      <c r="D8" s="22"/>
      <c r="E8" s="22"/>
      <c r="F8" s="22"/>
      <c r="G8" s="22"/>
      <c r="H8" s="22"/>
      <c r="I8" s="22"/>
      <c r="J8" s="22" t="s">
        <v>1716</v>
      </c>
      <c r="K8" s="24" t="s">
        <v>1721</v>
      </c>
      <c r="L8" s="22"/>
      <c r="M8" s="22"/>
      <c r="O8" s="22" t="s">
        <v>1722</v>
      </c>
      <c r="P8" s="40">
        <f>IF(K10&gt;0,770*(1-IF(AND(P4&gt;=DATE(2026,9,21),P4&lt;=DATE(2027,3,31)),1,0)),0)</f>
        <v>0</v>
      </c>
    </row>
    <row r="9" ht="24.0" customHeight="1">
      <c r="A9" s="22"/>
      <c r="B9" s="88">
        <f>IF(ISNUMBER(B3),-ROUND((B3+B6)*$F$3,0),B3)</f>
        <v>0</v>
      </c>
      <c r="C9" s="22"/>
      <c r="D9" s="22"/>
      <c r="E9" s="22"/>
      <c r="F9" s="22"/>
      <c r="G9" s="22"/>
      <c r="H9" s="22"/>
      <c r="I9" s="22"/>
      <c r="J9" s="22" t="s">
        <v>581</v>
      </c>
      <c r="K9" s="75">
        <v>0.0</v>
      </c>
      <c r="L9" s="22"/>
      <c r="M9" s="22"/>
      <c r="O9" s="22" t="s">
        <v>1755</v>
      </c>
      <c r="P9" s="40">
        <f>IF(ISNUMBER(B3),SUM(B3,E4,K9,K10,P6,P8),B3)</f>
        <v>3545</v>
      </c>
    </row>
    <row r="10" ht="24.0" customHeight="1">
      <c r="A10" s="22"/>
      <c r="B10" s="96"/>
      <c r="C10" s="22"/>
      <c r="D10" s="22"/>
      <c r="E10" s="22"/>
      <c r="F10" s="22"/>
      <c r="G10" s="22"/>
      <c r="H10" s="22"/>
      <c r="I10" s="22"/>
      <c r="J10" s="22" t="s">
        <v>1764</v>
      </c>
      <c r="K10" s="22">
        <f>IF(OR(MAX(ROUNDUP('計算詳細'!C8,0),ROUNDUP('計算詳細'!D8,0),ROUNDUP('計算詳細'!E8,0))&gt;243,2*SUM(ROUNDUP('計算詳細'!C8,0),ROUNDUP('計算詳細'!D8,0),ROUNDUP('計算詳細'!E8,0))-MAX(ROUNDUP('計算詳細'!C8,0),ROUNDUP('計算詳細'!D8,0),ROUNDUP('計算詳細'!E8,0))&gt;330,'計算詳細'!D4&gt;50000,ROUNDUP('計算詳細'!C8,0)*ROUNDUP('計算詳細'!D8,0)*ROUNDUP('計算詳細'!E8,0)&gt;283168),8800,IF(OR(OR(MAX(ROUNDUP('計算詳細'!C8,0),ROUNDUP('計算詳細'!D8,0),ROUNDUP('計算詳細'!E8,0))&gt;121,SUM(ROUNDUP('計算詳細'!C8,0),ROUNDUP('計算詳細'!D8,0),ROUNDUP('計算詳細'!E8,0))-MAX(ROUNDUP('計算詳細'!C8,0),ROUNDUP('計算詳細'!D8,0),ROUNDUP('計算詳細'!E8,0))-MIN(ROUNDUP('計算詳細'!C8,0),ROUNDUP('計算詳細'!D8,0),ROUNDUP('計算詳細'!E8,0))&gt;76,2*SUM(ROUNDUP('計算詳細'!C8,0),ROUNDUP('計算詳細'!D8,0),ROUNDUP('計算詳細'!E8,0))-MAX(ROUNDUP('計算詳細'!C8,0),ROUNDUP('計算詳細'!D8,0),ROUNDUP('計算詳細'!E8,0))&gt;266,ROUNDUP('計算詳細'!C8,0)*ROUNDUP('計算詳細'!D8,0)*ROUNDUP('計算詳細'!E8,0)&gt;169901),'計算詳細'!D4&gt;25000,P11=1),3390,0))</f>
        <v>0</v>
      </c>
      <c r="L10" s="22"/>
      <c r="M10" s="22"/>
      <c r="O10" s="22" t="s">
        <v>1852</v>
      </c>
      <c r="P10" s="40">
        <f>IF(ISNUMBER(J3),SUM(J3,K3,K9,K10,P7,P8),J3)</f>
        <v>3361</v>
      </c>
    </row>
    <row r="11" ht="24.0" customHeight="1">
      <c r="A11" s="22" t="s">
        <v>1865</v>
      </c>
      <c r="B11" s="95" t="s">
        <v>1172</v>
      </c>
      <c r="C11" s="22"/>
      <c r="D11" s="22"/>
      <c r="E11" s="22"/>
      <c r="F11" s="22"/>
      <c r="G11" s="22"/>
      <c r="H11" s="22"/>
      <c r="I11" s="22"/>
      <c r="J11" s="22" t="s">
        <v>1868</v>
      </c>
      <c r="K11" s="24" t="s">
        <v>1872</v>
      </c>
      <c r="L11" s="22"/>
      <c r="M11" s="22"/>
      <c r="O11" s="22" t="s">
        <v>1874</v>
      </c>
      <c r="P11" s="78">
        <v>0.0</v>
      </c>
    </row>
    <row r="12" ht="24.0" customHeight="1">
      <c r="A12" s="22"/>
      <c r="B12" s="88">
        <f>IF(ISNUMBER(B3),SUM(B3,B6,B9,E4,K9,K10,P6,P8),B3)</f>
        <v>5362</v>
      </c>
      <c r="C12" s="22"/>
      <c r="D12" s="22"/>
      <c r="E12" s="22"/>
      <c r="F12" s="22"/>
      <c r="G12" s="22"/>
      <c r="H12" s="22"/>
      <c r="I12" s="22"/>
      <c r="J12" s="22" t="s">
        <v>1892</v>
      </c>
      <c r="K12" s="24" t="s">
        <v>1872</v>
      </c>
      <c r="L12" s="22"/>
      <c r="M12" s="22"/>
      <c r="O12" s="22" t="s">
        <v>1895</v>
      </c>
      <c r="P12" s="40">
        <f>IF(K8="FedEx Box",1000,IF(K8="FedEx Tube",4000,0))</f>
        <v>0</v>
      </c>
    </row>
    <row r="13">
      <c r="A13" s="97"/>
      <c r="B13" s="98"/>
      <c r="C13" s="98"/>
      <c r="D13" s="97"/>
      <c r="J13" s="99" t="s">
        <v>1910</v>
      </c>
    </row>
    <row r="14">
      <c r="A14" s="97"/>
      <c r="B14" s="98" t="s">
        <v>1912</v>
      </c>
      <c r="C14" s="98"/>
      <c r="D14" s="97"/>
      <c r="J14" s="99" t="s">
        <v>1914</v>
      </c>
      <c r="O14" s="99" t="s">
        <v>1915</v>
      </c>
    </row>
    <row r="15">
      <c r="A15" s="97"/>
      <c r="B15" s="100" t="s">
        <v>1916</v>
      </c>
      <c r="O15" s="99" t="s">
        <v>1919</v>
      </c>
    </row>
    <row r="16">
      <c r="A16" s="97"/>
      <c r="B16" s="100" t="s">
        <v>1920</v>
      </c>
      <c r="O16" s="99" t="s">
        <v>1922</v>
      </c>
    </row>
    <row r="17">
      <c r="A17" s="97"/>
      <c r="B17" s="101"/>
      <c r="C17" s="101"/>
      <c r="D17" s="97"/>
      <c r="J17" s="99" t="s">
        <v>1924</v>
      </c>
      <c r="O17" s="99" t="s">
        <v>1925</v>
      </c>
    </row>
    <row r="18">
      <c r="A18" s="97"/>
      <c r="B18" s="102" t="s">
        <v>1928</v>
      </c>
      <c r="D18" s="99" t="s">
        <v>1930</v>
      </c>
      <c r="E18" s="99" t="s">
        <v>1932</v>
      </c>
      <c r="F18" s="99" t="s">
        <v>1933</v>
      </c>
      <c r="G18" s="99" t="s">
        <v>1934</v>
      </c>
      <c r="H18" s="99" t="s">
        <v>1935</v>
      </c>
      <c r="J18" s="99" t="s">
        <v>1936</v>
      </c>
      <c r="O18" s="99" t="s">
        <v>1937</v>
      </c>
    </row>
    <row r="19">
      <c r="A19" s="97"/>
      <c r="B19" s="103" t="s">
        <v>1939</v>
      </c>
      <c r="C19" s="104" t="s">
        <v>1941</v>
      </c>
      <c r="D19" s="105" t="s">
        <v>1944</v>
      </c>
      <c r="E19" s="62" t="s">
        <v>1945</v>
      </c>
      <c r="F19" s="62" t="s">
        <v>1946</v>
      </c>
      <c r="G19" s="62" t="s">
        <v>1948</v>
      </c>
      <c r="H19" s="62" t="s">
        <v>1950</v>
      </c>
      <c r="O19" s="99" t="s">
        <v>1951</v>
      </c>
    </row>
    <row r="20">
      <c r="A20" s="97"/>
      <c r="B20" s="106" t="s">
        <v>1952</v>
      </c>
      <c r="C20" s="107"/>
      <c r="D20" s="107"/>
      <c r="E20" s="108"/>
      <c r="F20" s="108" t="s">
        <v>1957</v>
      </c>
      <c r="G20" s="109"/>
      <c r="H20" s="109"/>
    </row>
    <row r="21" ht="15.75" customHeight="1">
      <c r="A21" s="97"/>
      <c r="B21" s="110">
        <v>0.5</v>
      </c>
      <c r="C21" s="111">
        <f t="shared" ref="C21:C108" si="1">B21*1000</f>
        <v>500</v>
      </c>
      <c r="D21" s="112">
        <v>2082.0</v>
      </c>
      <c r="E21" s="69">
        <v>2115.0</v>
      </c>
      <c r="F21" s="70">
        <v>2721.0</v>
      </c>
      <c r="G21" s="70">
        <v>2894.0</v>
      </c>
      <c r="H21" s="70">
        <v>2071.0</v>
      </c>
    </row>
    <row r="22" ht="15.75" customHeight="1">
      <c r="A22" s="97"/>
      <c r="B22" s="110">
        <v>1.0</v>
      </c>
      <c r="C22" s="111">
        <f t="shared" si="1"/>
        <v>1000</v>
      </c>
      <c r="D22" s="112">
        <v>2558.0</v>
      </c>
      <c r="E22" s="69">
        <v>2599.0</v>
      </c>
      <c r="F22" s="70">
        <v>3356.0</v>
      </c>
      <c r="G22" s="70">
        <v>3569.0</v>
      </c>
      <c r="H22" s="70">
        <v>2417.0</v>
      </c>
    </row>
    <row r="23" ht="15.75" customHeight="1">
      <c r="A23" s="97"/>
      <c r="B23" s="110">
        <v>1.5</v>
      </c>
      <c r="C23" s="111">
        <f t="shared" si="1"/>
        <v>1500</v>
      </c>
      <c r="D23" s="112">
        <v>2797.0</v>
      </c>
      <c r="E23" s="69">
        <v>2840.0</v>
      </c>
      <c r="F23" s="70">
        <v>3993.0</v>
      </c>
      <c r="G23" s="70">
        <v>4170.0</v>
      </c>
      <c r="H23" s="70">
        <v>2814.0</v>
      </c>
    </row>
    <row r="24" ht="15.75" customHeight="1">
      <c r="A24" s="97"/>
      <c r="B24" s="110">
        <v>2.0</v>
      </c>
      <c r="C24" s="111">
        <f t="shared" si="1"/>
        <v>2000</v>
      </c>
      <c r="D24" s="112">
        <v>3061.0</v>
      </c>
      <c r="E24" s="69">
        <v>3108.0</v>
      </c>
      <c r="F24" s="70">
        <v>4487.0</v>
      </c>
      <c r="G24" s="70">
        <v>4799.0</v>
      </c>
      <c r="H24" s="70">
        <v>3161.0</v>
      </c>
    </row>
    <row r="25" ht="15.75" customHeight="1">
      <c r="A25" s="97"/>
      <c r="B25" s="110">
        <v>2.5</v>
      </c>
      <c r="C25" s="111">
        <f t="shared" si="1"/>
        <v>2500</v>
      </c>
      <c r="D25" s="112">
        <v>3328.0</v>
      </c>
      <c r="E25" s="69">
        <v>3383.0</v>
      </c>
      <c r="F25" s="70">
        <v>4981.0</v>
      </c>
      <c r="G25" s="70">
        <v>5429.0</v>
      </c>
      <c r="H25" s="70">
        <v>3512.0</v>
      </c>
    </row>
    <row r="26" ht="15.75" customHeight="1">
      <c r="A26" s="97"/>
      <c r="B26" s="110">
        <v>3.0</v>
      </c>
      <c r="C26" s="111">
        <f t="shared" si="1"/>
        <v>3000</v>
      </c>
      <c r="D26" s="112">
        <v>3492.0</v>
      </c>
      <c r="E26" s="69">
        <v>3540.0</v>
      </c>
      <c r="F26" s="70">
        <v>5249.0</v>
      </c>
      <c r="G26" s="70">
        <v>5825.0</v>
      </c>
      <c r="H26" s="70">
        <v>3535.0</v>
      </c>
    </row>
    <row r="27" ht="15.75" customHeight="1">
      <c r="A27" s="97"/>
      <c r="B27" s="110">
        <v>3.5</v>
      </c>
      <c r="C27" s="111">
        <f t="shared" si="1"/>
        <v>3500</v>
      </c>
      <c r="D27" s="112">
        <v>3549.0</v>
      </c>
      <c r="E27" s="69">
        <v>3593.0</v>
      </c>
      <c r="F27" s="70">
        <v>5370.0</v>
      </c>
      <c r="G27" s="70">
        <v>6001.0</v>
      </c>
      <c r="H27" s="70">
        <v>3594.0</v>
      </c>
    </row>
    <row r="28" ht="15.75" customHeight="1">
      <c r="A28" s="97"/>
      <c r="B28" s="110">
        <v>4.0</v>
      </c>
      <c r="C28" s="111">
        <f t="shared" si="1"/>
        <v>4000</v>
      </c>
      <c r="D28" s="112">
        <v>3973.0</v>
      </c>
      <c r="E28" s="69">
        <v>4022.0</v>
      </c>
      <c r="F28" s="70">
        <v>5837.0</v>
      </c>
      <c r="G28" s="70">
        <v>6590.0</v>
      </c>
      <c r="H28" s="70">
        <v>3904.0</v>
      </c>
    </row>
    <row r="29" ht="15.75" customHeight="1">
      <c r="A29" s="97"/>
      <c r="B29" s="113">
        <v>4.5</v>
      </c>
      <c r="C29" s="111">
        <f t="shared" si="1"/>
        <v>4500</v>
      </c>
      <c r="D29" s="112">
        <v>4395.0</v>
      </c>
      <c r="E29" s="69">
        <v>4451.0</v>
      </c>
      <c r="F29" s="70">
        <v>6304.0</v>
      </c>
      <c r="G29" s="70">
        <v>7177.0</v>
      </c>
      <c r="H29" s="70">
        <v>4218.0</v>
      </c>
    </row>
    <row r="30" ht="15.75" customHeight="1">
      <c r="A30" s="97"/>
      <c r="B30" s="113">
        <v>5.0</v>
      </c>
      <c r="C30" s="111">
        <f t="shared" si="1"/>
        <v>5000</v>
      </c>
      <c r="D30" s="112">
        <v>4718.0</v>
      </c>
      <c r="E30" s="69">
        <v>4718.0</v>
      </c>
      <c r="F30" s="70">
        <v>6770.0</v>
      </c>
      <c r="G30" s="70">
        <v>7761.0</v>
      </c>
      <c r="H30" s="70">
        <v>4530.0</v>
      </c>
    </row>
    <row r="31" ht="15.75" customHeight="1">
      <c r="A31" s="97"/>
      <c r="B31" s="113">
        <v>5.5</v>
      </c>
      <c r="C31" s="111">
        <f t="shared" si="1"/>
        <v>5500</v>
      </c>
      <c r="D31" s="112">
        <v>5043.0</v>
      </c>
      <c r="E31" s="69">
        <v>5043.0</v>
      </c>
      <c r="F31" s="70">
        <v>8181.0</v>
      </c>
      <c r="G31" s="70">
        <v>9824.0</v>
      </c>
      <c r="H31" s="70">
        <v>5273.0</v>
      </c>
    </row>
    <row r="32" ht="15.75" customHeight="1">
      <c r="A32" s="97"/>
      <c r="B32" s="113">
        <v>6.0</v>
      </c>
      <c r="C32" s="111">
        <f t="shared" si="1"/>
        <v>6000</v>
      </c>
      <c r="D32" s="112">
        <v>5366.0</v>
      </c>
      <c r="E32" s="69">
        <v>5366.0</v>
      </c>
      <c r="F32" s="70">
        <v>8518.0</v>
      </c>
      <c r="G32" s="70">
        <v>10109.0</v>
      </c>
      <c r="H32" s="70">
        <v>5491.0</v>
      </c>
    </row>
    <row r="33" ht="15.75" customHeight="1">
      <c r="A33" s="97"/>
      <c r="B33" s="113">
        <v>6.5</v>
      </c>
      <c r="C33" s="111">
        <f t="shared" si="1"/>
        <v>6500</v>
      </c>
      <c r="D33" s="112">
        <v>5734.0</v>
      </c>
      <c r="E33" s="69">
        <v>5735.0</v>
      </c>
      <c r="F33" s="70">
        <v>8855.0</v>
      </c>
      <c r="G33" s="70">
        <v>10390.0</v>
      </c>
      <c r="H33" s="70">
        <v>5708.0</v>
      </c>
    </row>
    <row r="34" ht="15.75" customHeight="1">
      <c r="A34" s="97"/>
      <c r="B34" s="113">
        <v>7.0</v>
      </c>
      <c r="C34" s="111">
        <f t="shared" si="1"/>
        <v>7000</v>
      </c>
      <c r="D34" s="112">
        <v>6183.0</v>
      </c>
      <c r="E34" s="69">
        <v>6184.0</v>
      </c>
      <c r="F34" s="70">
        <v>9192.0</v>
      </c>
      <c r="G34" s="70">
        <v>10673.0</v>
      </c>
      <c r="H34" s="70">
        <v>5925.0</v>
      </c>
    </row>
    <row r="35" ht="15.75" customHeight="1">
      <c r="A35" s="97"/>
      <c r="B35" s="113">
        <v>7.5</v>
      </c>
      <c r="C35" s="111">
        <f t="shared" si="1"/>
        <v>7500</v>
      </c>
      <c r="D35" s="112">
        <v>6575.0</v>
      </c>
      <c r="E35" s="69">
        <v>6683.0</v>
      </c>
      <c r="F35" s="70">
        <v>9529.0</v>
      </c>
      <c r="G35" s="70">
        <v>10956.0</v>
      </c>
      <c r="H35" s="70">
        <v>6142.0</v>
      </c>
    </row>
    <row r="36" ht="15.75" customHeight="1">
      <c r="A36" s="97"/>
      <c r="B36" s="113">
        <v>8.0</v>
      </c>
      <c r="C36" s="111">
        <f t="shared" si="1"/>
        <v>8000</v>
      </c>
      <c r="D36" s="112">
        <v>6761.0</v>
      </c>
      <c r="E36" s="69">
        <v>6871.0</v>
      </c>
      <c r="F36" s="70">
        <v>9868.0</v>
      </c>
      <c r="G36" s="70">
        <v>11238.0</v>
      </c>
      <c r="H36" s="70">
        <v>6360.0</v>
      </c>
    </row>
    <row r="37" ht="15.75" customHeight="1">
      <c r="A37" s="97"/>
      <c r="B37" s="113">
        <v>8.5</v>
      </c>
      <c r="C37" s="111">
        <f t="shared" si="1"/>
        <v>8500</v>
      </c>
      <c r="D37" s="112">
        <v>6947.0</v>
      </c>
      <c r="E37" s="69">
        <v>7060.0</v>
      </c>
      <c r="F37" s="70">
        <v>10204.0</v>
      </c>
      <c r="G37" s="70">
        <v>11522.0</v>
      </c>
      <c r="H37" s="70">
        <v>6577.0</v>
      </c>
    </row>
    <row r="38" ht="15.75" customHeight="1">
      <c r="A38" s="97"/>
      <c r="B38" s="113">
        <v>9.0</v>
      </c>
      <c r="C38" s="111">
        <f t="shared" si="1"/>
        <v>9000</v>
      </c>
      <c r="D38" s="112">
        <v>7131.0</v>
      </c>
      <c r="E38" s="69">
        <v>7249.0</v>
      </c>
      <c r="F38" s="70">
        <v>10541.0</v>
      </c>
      <c r="G38" s="70">
        <v>11805.0</v>
      </c>
      <c r="H38" s="70">
        <v>6794.0</v>
      </c>
    </row>
    <row r="39" ht="15.75" customHeight="1">
      <c r="A39" s="97"/>
      <c r="B39" s="113">
        <v>9.5</v>
      </c>
      <c r="C39" s="111">
        <f t="shared" si="1"/>
        <v>9500</v>
      </c>
      <c r="D39" s="112">
        <v>8735.0</v>
      </c>
      <c r="E39" s="69">
        <v>8865.0</v>
      </c>
      <c r="F39" s="70">
        <v>12823.0</v>
      </c>
      <c r="G39" s="70">
        <v>14666.0</v>
      </c>
      <c r="H39" s="70">
        <v>8251.0</v>
      </c>
    </row>
    <row r="40" ht="15.75" customHeight="1">
      <c r="A40" s="97"/>
      <c r="B40" s="113">
        <v>10.0</v>
      </c>
      <c r="C40" s="111">
        <f t="shared" si="1"/>
        <v>10000</v>
      </c>
      <c r="D40" s="112">
        <v>8958.0</v>
      </c>
      <c r="E40" s="69">
        <v>9089.0</v>
      </c>
      <c r="F40" s="70">
        <v>13224.0</v>
      </c>
      <c r="G40" s="70">
        <v>15009.0</v>
      </c>
      <c r="H40" s="70">
        <v>8507.0</v>
      </c>
    </row>
    <row r="41" ht="15.75" customHeight="1">
      <c r="A41" s="97"/>
      <c r="B41" s="113">
        <v>10.5</v>
      </c>
      <c r="C41" s="111">
        <f t="shared" si="1"/>
        <v>10500</v>
      </c>
      <c r="D41" s="112">
        <v>9195.0</v>
      </c>
      <c r="E41" s="69">
        <v>9346.0</v>
      </c>
      <c r="F41" s="70">
        <v>13495.0</v>
      </c>
      <c r="G41" s="70">
        <v>15388.0</v>
      </c>
      <c r="H41" s="70">
        <v>8680.0</v>
      </c>
    </row>
    <row r="42" ht="15.75" customHeight="1">
      <c r="A42" s="97"/>
      <c r="B42" s="113">
        <v>11.0</v>
      </c>
      <c r="C42" s="111">
        <f t="shared" si="1"/>
        <v>11000</v>
      </c>
      <c r="D42" s="112">
        <v>9432.0</v>
      </c>
      <c r="E42" s="69">
        <v>9602.0</v>
      </c>
      <c r="F42" s="70">
        <v>13766.0</v>
      </c>
      <c r="G42" s="70">
        <v>15765.0</v>
      </c>
      <c r="H42" s="70">
        <v>8855.0</v>
      </c>
    </row>
    <row r="43" ht="15.75" customHeight="1">
      <c r="A43" s="97"/>
      <c r="B43" s="113">
        <v>11.5</v>
      </c>
      <c r="C43" s="111">
        <f t="shared" si="1"/>
        <v>11500</v>
      </c>
      <c r="D43" s="112">
        <v>9672.0</v>
      </c>
      <c r="E43" s="69">
        <v>9861.0</v>
      </c>
      <c r="F43" s="70">
        <v>14039.0</v>
      </c>
      <c r="G43" s="70">
        <v>16145.0</v>
      </c>
      <c r="H43" s="70">
        <v>9031.0</v>
      </c>
    </row>
    <row r="44" ht="15.75" customHeight="1">
      <c r="A44" s="97"/>
      <c r="B44" s="113">
        <v>12.0</v>
      </c>
      <c r="C44" s="111">
        <f t="shared" si="1"/>
        <v>12000</v>
      </c>
      <c r="D44" s="112">
        <v>9910.0</v>
      </c>
      <c r="E44" s="69">
        <v>10116.0</v>
      </c>
      <c r="F44" s="70">
        <v>14311.0</v>
      </c>
      <c r="G44" s="70">
        <v>16521.0</v>
      </c>
      <c r="H44" s="70">
        <v>9206.0</v>
      </c>
    </row>
    <row r="45" ht="15.75" customHeight="1">
      <c r="A45" s="97"/>
      <c r="B45" s="113">
        <v>12.5</v>
      </c>
      <c r="C45" s="111">
        <f t="shared" si="1"/>
        <v>12500</v>
      </c>
      <c r="D45" s="112">
        <v>11323.0</v>
      </c>
      <c r="E45" s="69">
        <v>11439.0</v>
      </c>
      <c r="F45" s="70">
        <v>16807.0</v>
      </c>
      <c r="G45" s="70">
        <v>19171.0</v>
      </c>
      <c r="H45" s="70">
        <v>10814.0</v>
      </c>
    </row>
    <row r="46" ht="15.75" customHeight="1">
      <c r="A46" s="97"/>
      <c r="B46" s="113">
        <v>13.0</v>
      </c>
      <c r="C46" s="111">
        <f t="shared" si="1"/>
        <v>13000</v>
      </c>
      <c r="D46" s="112">
        <v>11589.0</v>
      </c>
      <c r="E46" s="69">
        <v>11723.0</v>
      </c>
      <c r="F46" s="70">
        <v>17119.0</v>
      </c>
      <c r="G46" s="70">
        <v>19598.0</v>
      </c>
      <c r="H46" s="70">
        <v>11017.0</v>
      </c>
    </row>
    <row r="47" ht="15.75" customHeight="1">
      <c r="A47" s="97"/>
      <c r="B47" s="113">
        <v>13.5</v>
      </c>
      <c r="C47" s="111">
        <f t="shared" si="1"/>
        <v>13500</v>
      </c>
      <c r="D47" s="112">
        <v>11854.0</v>
      </c>
      <c r="E47" s="69">
        <v>12006.0</v>
      </c>
      <c r="F47" s="70">
        <v>17432.0</v>
      </c>
      <c r="G47" s="70">
        <v>20028.0</v>
      </c>
      <c r="H47" s="70">
        <v>11218.0</v>
      </c>
    </row>
    <row r="48" ht="15.75" customHeight="1">
      <c r="A48" s="97"/>
      <c r="B48" s="113">
        <v>14.0</v>
      </c>
      <c r="C48" s="111">
        <f t="shared" si="1"/>
        <v>14000</v>
      </c>
      <c r="D48" s="112">
        <v>12120.0</v>
      </c>
      <c r="E48" s="69">
        <v>12289.0</v>
      </c>
      <c r="F48" s="70">
        <v>17745.0</v>
      </c>
      <c r="G48" s="70">
        <v>20458.0</v>
      </c>
      <c r="H48" s="70">
        <v>11420.0</v>
      </c>
    </row>
    <row r="49" ht="15.75" customHeight="1">
      <c r="A49" s="97"/>
      <c r="B49" s="113">
        <v>14.5</v>
      </c>
      <c r="C49" s="111">
        <f t="shared" si="1"/>
        <v>14500</v>
      </c>
      <c r="D49" s="112">
        <v>12385.0</v>
      </c>
      <c r="E49" s="69">
        <v>12573.0</v>
      </c>
      <c r="F49" s="70">
        <v>18062.0</v>
      </c>
      <c r="G49" s="70">
        <v>20886.0</v>
      </c>
      <c r="H49" s="70">
        <v>11622.0</v>
      </c>
    </row>
    <row r="50" ht="15.75" customHeight="1">
      <c r="A50" s="97"/>
      <c r="B50" s="113">
        <v>15.0</v>
      </c>
      <c r="C50" s="111">
        <f t="shared" si="1"/>
        <v>15000</v>
      </c>
      <c r="D50" s="112">
        <v>12650.0</v>
      </c>
      <c r="E50" s="69">
        <v>12857.0</v>
      </c>
      <c r="F50" s="70">
        <v>18372.0</v>
      </c>
      <c r="G50" s="70">
        <v>21315.0</v>
      </c>
      <c r="H50" s="70">
        <v>11823.0</v>
      </c>
    </row>
    <row r="51" ht="15.75" customHeight="1">
      <c r="A51" s="97"/>
      <c r="B51" s="113">
        <v>15.5</v>
      </c>
      <c r="C51" s="111">
        <f t="shared" si="1"/>
        <v>15500</v>
      </c>
      <c r="D51" s="112">
        <v>12915.0</v>
      </c>
      <c r="E51" s="69">
        <v>13140.0</v>
      </c>
      <c r="F51" s="70">
        <v>18687.0</v>
      </c>
      <c r="G51" s="70">
        <v>21745.0</v>
      </c>
      <c r="H51" s="70">
        <v>12025.0</v>
      </c>
    </row>
    <row r="52" ht="15.75" customHeight="1">
      <c r="A52" s="97"/>
      <c r="B52" s="113">
        <v>16.0</v>
      </c>
      <c r="C52" s="111">
        <f t="shared" si="1"/>
        <v>16000</v>
      </c>
      <c r="D52" s="112">
        <v>14544.0</v>
      </c>
      <c r="E52" s="69">
        <v>14631.0</v>
      </c>
      <c r="F52" s="70">
        <v>21638.0</v>
      </c>
      <c r="G52" s="70">
        <v>25198.0</v>
      </c>
      <c r="H52" s="70">
        <v>13878.0</v>
      </c>
    </row>
    <row r="53" ht="15.75" customHeight="1">
      <c r="A53" s="97"/>
      <c r="B53" s="113">
        <v>16.5</v>
      </c>
      <c r="C53" s="111">
        <f t="shared" si="1"/>
        <v>16500</v>
      </c>
      <c r="D53" s="112">
        <v>14837.0</v>
      </c>
      <c r="E53" s="69">
        <v>14940.0</v>
      </c>
      <c r="F53" s="70">
        <v>21994.0</v>
      </c>
      <c r="G53" s="70">
        <v>25685.0</v>
      </c>
      <c r="H53" s="70">
        <v>14106.0</v>
      </c>
    </row>
    <row r="54" ht="15.75" customHeight="1">
      <c r="A54" s="97"/>
      <c r="B54" s="113">
        <v>17.0</v>
      </c>
      <c r="C54" s="111">
        <f t="shared" si="1"/>
        <v>17000</v>
      </c>
      <c r="D54" s="112">
        <v>15129.0</v>
      </c>
      <c r="E54" s="69">
        <v>15249.0</v>
      </c>
      <c r="F54" s="70">
        <v>22350.0</v>
      </c>
      <c r="G54" s="70">
        <v>26174.0</v>
      </c>
      <c r="H54" s="70">
        <v>14334.0</v>
      </c>
    </row>
    <row r="55" ht="15.75" customHeight="1">
      <c r="A55" s="97"/>
      <c r="B55" s="113">
        <v>17.5</v>
      </c>
      <c r="C55" s="111">
        <f t="shared" si="1"/>
        <v>17500</v>
      </c>
      <c r="D55" s="112">
        <v>15422.0</v>
      </c>
      <c r="E55" s="69">
        <v>15559.0</v>
      </c>
      <c r="F55" s="70">
        <v>22706.0</v>
      </c>
      <c r="G55" s="70">
        <v>26660.0</v>
      </c>
      <c r="H55" s="70">
        <v>14563.0</v>
      </c>
    </row>
    <row r="56" ht="15.75" customHeight="1">
      <c r="A56" s="97"/>
      <c r="B56" s="113">
        <v>18.0</v>
      </c>
      <c r="C56" s="111">
        <f t="shared" si="1"/>
        <v>18000</v>
      </c>
      <c r="D56" s="112">
        <v>15715.0</v>
      </c>
      <c r="E56" s="69">
        <v>15867.0</v>
      </c>
      <c r="F56" s="70">
        <v>23065.0</v>
      </c>
      <c r="G56" s="70">
        <v>27147.0</v>
      </c>
      <c r="H56" s="70">
        <v>14792.0</v>
      </c>
    </row>
    <row r="57" ht="15.75" customHeight="1">
      <c r="A57" s="97"/>
      <c r="B57" s="113">
        <v>18.5</v>
      </c>
      <c r="C57" s="111">
        <f t="shared" si="1"/>
        <v>18500</v>
      </c>
      <c r="D57" s="112">
        <v>16007.0</v>
      </c>
      <c r="E57" s="69">
        <v>16177.0</v>
      </c>
      <c r="F57" s="70">
        <v>23422.0</v>
      </c>
      <c r="G57" s="70">
        <v>27636.0</v>
      </c>
      <c r="H57" s="70">
        <v>15020.0</v>
      </c>
    </row>
    <row r="58" ht="15.75" customHeight="1">
      <c r="A58" s="97"/>
      <c r="B58" s="113">
        <v>19.0</v>
      </c>
      <c r="C58" s="111">
        <f t="shared" si="1"/>
        <v>19000</v>
      </c>
      <c r="D58" s="112">
        <v>16300.0</v>
      </c>
      <c r="E58" s="69">
        <v>16485.0</v>
      </c>
      <c r="F58" s="70">
        <v>23777.0</v>
      </c>
      <c r="G58" s="70">
        <v>28120.0</v>
      </c>
      <c r="H58" s="70">
        <v>15252.0</v>
      </c>
    </row>
    <row r="59" ht="15.75" customHeight="1">
      <c r="A59" s="97"/>
      <c r="B59" s="113">
        <v>19.5</v>
      </c>
      <c r="C59" s="111">
        <f t="shared" si="1"/>
        <v>19500</v>
      </c>
      <c r="D59" s="112">
        <v>16594.0</v>
      </c>
      <c r="E59" s="69">
        <v>16794.0</v>
      </c>
      <c r="F59" s="70">
        <v>24136.0</v>
      </c>
      <c r="G59" s="70">
        <v>28611.0</v>
      </c>
      <c r="H59" s="70">
        <v>15477.0</v>
      </c>
    </row>
    <row r="60" ht="15.75" customHeight="1">
      <c r="A60" s="97"/>
      <c r="B60" s="113">
        <v>20.0</v>
      </c>
      <c r="C60" s="111">
        <f t="shared" si="1"/>
        <v>20000</v>
      </c>
      <c r="D60" s="112">
        <v>16887.0</v>
      </c>
      <c r="E60" s="69">
        <v>17104.0</v>
      </c>
      <c r="F60" s="70">
        <v>24494.0</v>
      </c>
      <c r="G60" s="70">
        <v>29098.0</v>
      </c>
      <c r="H60" s="70">
        <v>15707.0</v>
      </c>
    </row>
    <row r="61" ht="15.75" customHeight="1">
      <c r="A61" s="97"/>
      <c r="B61" s="113">
        <v>21.0</v>
      </c>
      <c r="C61" s="111">
        <f t="shared" si="1"/>
        <v>21000</v>
      </c>
      <c r="D61" s="112">
        <v>19070.0</v>
      </c>
      <c r="E61" s="69">
        <v>20625.0</v>
      </c>
      <c r="F61" s="70">
        <v>27750.0</v>
      </c>
      <c r="G61" s="70">
        <v>29556.0</v>
      </c>
      <c r="H61" s="70">
        <v>21274.0</v>
      </c>
    </row>
    <row r="62" ht="15.75" customHeight="1">
      <c r="A62" s="97"/>
      <c r="B62" s="113">
        <v>22.0</v>
      </c>
      <c r="C62" s="111">
        <f t="shared" si="1"/>
        <v>22000</v>
      </c>
      <c r="D62" s="112">
        <v>20035.0</v>
      </c>
      <c r="E62" s="69">
        <v>21657.0</v>
      </c>
      <c r="F62" s="70">
        <v>29159.0</v>
      </c>
      <c r="G62" s="70">
        <v>31047.0</v>
      </c>
      <c r="H62" s="70">
        <v>22354.0</v>
      </c>
    </row>
    <row r="63" ht="15.75" customHeight="1">
      <c r="A63" s="97"/>
      <c r="B63" s="113">
        <v>23.0</v>
      </c>
      <c r="C63" s="111">
        <f t="shared" si="1"/>
        <v>23000</v>
      </c>
      <c r="D63" s="112">
        <v>21000.0</v>
      </c>
      <c r="E63" s="69">
        <v>22689.0</v>
      </c>
      <c r="F63" s="70">
        <v>30567.0</v>
      </c>
      <c r="G63" s="70">
        <v>32537.0</v>
      </c>
      <c r="H63" s="70">
        <v>23435.0</v>
      </c>
    </row>
    <row r="64" ht="15.75" customHeight="1">
      <c r="A64" s="97"/>
      <c r="B64" s="113">
        <v>24.0</v>
      </c>
      <c r="C64" s="111">
        <f t="shared" si="1"/>
        <v>24000</v>
      </c>
      <c r="D64" s="112">
        <v>21966.0</v>
      </c>
      <c r="E64" s="69">
        <v>23721.0</v>
      </c>
      <c r="F64" s="70">
        <v>31978.0</v>
      </c>
      <c r="G64" s="70">
        <v>34026.0</v>
      </c>
      <c r="H64" s="70">
        <v>24515.0</v>
      </c>
    </row>
    <row r="65" ht="15.75" customHeight="1">
      <c r="A65" s="97"/>
      <c r="B65" s="113">
        <v>25.0</v>
      </c>
      <c r="C65" s="111">
        <f t="shared" si="1"/>
        <v>25000</v>
      </c>
      <c r="D65" s="112">
        <v>22929.0</v>
      </c>
      <c r="E65" s="69">
        <v>24754.0</v>
      </c>
      <c r="F65" s="70">
        <v>33387.0</v>
      </c>
      <c r="G65" s="70">
        <v>35516.0</v>
      </c>
      <c r="H65" s="70">
        <v>25596.0</v>
      </c>
    </row>
    <row r="66" ht="15.75" customHeight="1">
      <c r="A66" s="97"/>
      <c r="B66" s="113">
        <v>26.0</v>
      </c>
      <c r="C66" s="111">
        <f t="shared" si="1"/>
        <v>26000</v>
      </c>
      <c r="D66" s="112">
        <v>23895.0</v>
      </c>
      <c r="E66" s="69">
        <v>25787.0</v>
      </c>
      <c r="F66" s="70">
        <v>34797.0</v>
      </c>
      <c r="G66" s="70">
        <v>37006.0</v>
      </c>
      <c r="H66" s="70">
        <v>26677.0</v>
      </c>
    </row>
    <row r="67" ht="15.75" customHeight="1">
      <c r="A67" s="97"/>
      <c r="B67" s="113">
        <v>27.0</v>
      </c>
      <c r="C67" s="111">
        <f t="shared" si="1"/>
        <v>27000</v>
      </c>
      <c r="D67" s="112">
        <v>24860.0</v>
      </c>
      <c r="E67" s="69">
        <v>26819.0</v>
      </c>
      <c r="F67" s="70">
        <v>36206.0</v>
      </c>
      <c r="G67" s="70">
        <v>38496.0</v>
      </c>
      <c r="H67" s="70">
        <v>27757.0</v>
      </c>
    </row>
    <row r="68" ht="15.75" customHeight="1">
      <c r="A68" s="97"/>
      <c r="B68" s="113">
        <v>28.0</v>
      </c>
      <c r="C68" s="111">
        <f t="shared" si="1"/>
        <v>28000</v>
      </c>
      <c r="D68" s="112">
        <v>25825.0</v>
      </c>
      <c r="E68" s="69">
        <v>27852.0</v>
      </c>
      <c r="F68" s="70">
        <v>37615.0</v>
      </c>
      <c r="G68" s="70">
        <v>39986.0</v>
      </c>
      <c r="H68" s="70">
        <v>28838.0</v>
      </c>
    </row>
    <row r="69" ht="15.75" customHeight="1">
      <c r="A69" s="97"/>
      <c r="B69" s="113">
        <v>29.0</v>
      </c>
      <c r="C69" s="111">
        <f t="shared" si="1"/>
        <v>29000</v>
      </c>
      <c r="D69" s="112">
        <v>26790.0</v>
      </c>
      <c r="E69" s="69">
        <v>28885.0</v>
      </c>
      <c r="F69" s="70">
        <v>39027.0</v>
      </c>
      <c r="G69" s="70">
        <v>41476.0</v>
      </c>
      <c r="H69" s="70">
        <v>29920.0</v>
      </c>
    </row>
    <row r="70" ht="15.75" customHeight="1">
      <c r="A70" s="97"/>
      <c r="B70" s="113">
        <v>30.0</v>
      </c>
      <c r="C70" s="111">
        <f t="shared" si="1"/>
        <v>30000</v>
      </c>
      <c r="D70" s="112">
        <v>27754.0</v>
      </c>
      <c r="E70" s="69">
        <v>29916.0</v>
      </c>
      <c r="F70" s="70">
        <v>40436.0</v>
      </c>
      <c r="G70" s="70">
        <v>42965.0</v>
      </c>
      <c r="H70" s="70">
        <v>31001.0</v>
      </c>
    </row>
    <row r="71" ht="15.75" customHeight="1">
      <c r="A71" s="97"/>
      <c r="B71" s="113">
        <v>31.0</v>
      </c>
      <c r="C71" s="111">
        <f t="shared" si="1"/>
        <v>31000</v>
      </c>
      <c r="D71" s="112">
        <v>28720.0</v>
      </c>
      <c r="E71" s="69">
        <v>30950.0</v>
      </c>
      <c r="F71" s="70">
        <v>41846.0</v>
      </c>
      <c r="G71" s="70">
        <v>44456.0</v>
      </c>
      <c r="H71" s="70">
        <v>32081.0</v>
      </c>
    </row>
    <row r="72" ht="15.75" customHeight="1">
      <c r="A72" s="97"/>
      <c r="B72" s="113">
        <v>32.0</v>
      </c>
      <c r="C72" s="111">
        <f t="shared" si="1"/>
        <v>32000</v>
      </c>
      <c r="D72" s="112">
        <v>29684.0</v>
      </c>
      <c r="E72" s="69">
        <v>31983.0</v>
      </c>
      <c r="F72" s="70">
        <v>43255.0</v>
      </c>
      <c r="G72" s="70">
        <v>45945.0</v>
      </c>
      <c r="H72" s="70">
        <v>33162.0</v>
      </c>
    </row>
    <row r="73" ht="15.75" customHeight="1">
      <c r="A73" s="97"/>
      <c r="B73" s="113">
        <v>33.0</v>
      </c>
      <c r="C73" s="111">
        <f t="shared" si="1"/>
        <v>33000</v>
      </c>
      <c r="D73" s="112">
        <v>31582.0</v>
      </c>
      <c r="E73" s="69">
        <v>34201.0</v>
      </c>
      <c r="F73" s="70">
        <v>45987.0</v>
      </c>
      <c r="G73" s="70">
        <v>52486.0</v>
      </c>
      <c r="H73" s="70">
        <v>36169.0</v>
      </c>
    </row>
    <row r="74" ht="15.75" customHeight="1">
      <c r="A74" s="97"/>
      <c r="B74" s="113">
        <v>34.0</v>
      </c>
      <c r="C74" s="111">
        <f t="shared" si="1"/>
        <v>34000</v>
      </c>
      <c r="D74" s="112">
        <v>32539.0</v>
      </c>
      <c r="E74" s="69">
        <v>35237.0</v>
      </c>
      <c r="F74" s="70">
        <v>47382.0</v>
      </c>
      <c r="G74" s="70">
        <v>54077.0</v>
      </c>
      <c r="H74" s="70">
        <v>37266.0</v>
      </c>
    </row>
    <row r="75" ht="15.75" customHeight="1">
      <c r="A75" s="97"/>
      <c r="B75" s="113">
        <v>35.0</v>
      </c>
      <c r="C75" s="111">
        <f t="shared" si="1"/>
        <v>35000</v>
      </c>
      <c r="D75" s="112">
        <v>33496.0</v>
      </c>
      <c r="E75" s="69">
        <v>36274.0</v>
      </c>
      <c r="F75" s="70">
        <v>48775.0</v>
      </c>
      <c r="G75" s="70">
        <v>55667.0</v>
      </c>
      <c r="H75" s="70">
        <v>38361.0</v>
      </c>
    </row>
    <row r="76" ht="15.75" customHeight="1">
      <c r="A76" s="97"/>
      <c r="B76" s="113">
        <v>36.0</v>
      </c>
      <c r="C76" s="111">
        <f t="shared" si="1"/>
        <v>36000</v>
      </c>
      <c r="D76" s="112">
        <v>34453.0</v>
      </c>
      <c r="E76" s="69">
        <v>37310.0</v>
      </c>
      <c r="F76" s="70">
        <v>50168.0</v>
      </c>
      <c r="G76" s="70">
        <v>57258.0</v>
      </c>
      <c r="H76" s="70">
        <v>39457.0</v>
      </c>
    </row>
    <row r="77" ht="15.75" customHeight="1">
      <c r="A77" s="97"/>
      <c r="B77" s="113">
        <v>37.0</v>
      </c>
      <c r="C77" s="111">
        <f t="shared" si="1"/>
        <v>37000</v>
      </c>
      <c r="D77" s="112">
        <v>35410.0</v>
      </c>
      <c r="E77" s="69">
        <v>38346.0</v>
      </c>
      <c r="F77" s="70">
        <v>51562.0</v>
      </c>
      <c r="G77" s="70">
        <v>58849.0</v>
      </c>
      <c r="H77" s="70">
        <v>40554.0</v>
      </c>
    </row>
    <row r="78" ht="15.75" customHeight="1">
      <c r="A78" s="97"/>
      <c r="B78" s="113">
        <v>38.0</v>
      </c>
      <c r="C78" s="111">
        <f t="shared" si="1"/>
        <v>38000</v>
      </c>
      <c r="D78" s="112">
        <v>36367.0</v>
      </c>
      <c r="E78" s="69">
        <v>39383.0</v>
      </c>
      <c r="F78" s="70">
        <v>52955.0</v>
      </c>
      <c r="G78" s="70">
        <v>60438.0</v>
      </c>
      <c r="H78" s="70">
        <v>41649.0</v>
      </c>
    </row>
    <row r="79" ht="15.75" customHeight="1">
      <c r="A79" s="97"/>
      <c r="B79" s="113">
        <v>39.0</v>
      </c>
      <c r="C79" s="111">
        <f t="shared" si="1"/>
        <v>39000</v>
      </c>
      <c r="D79" s="112">
        <v>37324.0</v>
      </c>
      <c r="E79" s="69">
        <v>40419.0</v>
      </c>
      <c r="F79" s="70">
        <v>54349.0</v>
      </c>
      <c r="G79" s="70">
        <v>62029.0</v>
      </c>
      <c r="H79" s="70">
        <v>42745.0</v>
      </c>
    </row>
    <row r="80" ht="15.75" customHeight="1">
      <c r="A80" s="97"/>
      <c r="B80" s="113">
        <v>40.0</v>
      </c>
      <c r="C80" s="111">
        <f t="shared" si="1"/>
        <v>40000</v>
      </c>
      <c r="D80" s="112">
        <v>38281.0</v>
      </c>
      <c r="E80" s="69">
        <v>41455.0</v>
      </c>
      <c r="F80" s="70">
        <v>55743.0</v>
      </c>
      <c r="G80" s="70">
        <v>63619.0</v>
      </c>
      <c r="H80" s="70">
        <v>43842.0</v>
      </c>
    </row>
    <row r="81" ht="15.75" customHeight="1">
      <c r="A81" s="97"/>
      <c r="B81" s="113">
        <v>41.0</v>
      </c>
      <c r="C81" s="111">
        <f t="shared" si="1"/>
        <v>41000</v>
      </c>
      <c r="D81" s="112">
        <v>39239.0</v>
      </c>
      <c r="E81" s="69">
        <v>42492.0</v>
      </c>
      <c r="F81" s="70">
        <v>57136.0</v>
      </c>
      <c r="G81" s="70">
        <v>65210.0</v>
      </c>
      <c r="H81" s="70">
        <v>44938.0</v>
      </c>
    </row>
    <row r="82" ht="15.75" customHeight="1">
      <c r="A82" s="97"/>
      <c r="B82" s="113">
        <v>42.0</v>
      </c>
      <c r="C82" s="111">
        <f t="shared" si="1"/>
        <v>42000</v>
      </c>
      <c r="D82" s="112">
        <v>40196.0</v>
      </c>
      <c r="E82" s="69">
        <v>43528.0</v>
      </c>
      <c r="F82" s="70">
        <v>58529.0</v>
      </c>
      <c r="G82" s="70">
        <v>66801.0</v>
      </c>
      <c r="H82" s="70">
        <v>46033.0</v>
      </c>
    </row>
    <row r="83" ht="15.75" customHeight="1">
      <c r="A83" s="97"/>
      <c r="B83" s="113">
        <v>43.0</v>
      </c>
      <c r="C83" s="111">
        <f t="shared" si="1"/>
        <v>43000</v>
      </c>
      <c r="D83" s="112">
        <v>41153.0</v>
      </c>
      <c r="E83" s="69">
        <v>44565.0</v>
      </c>
      <c r="F83" s="70">
        <v>59924.0</v>
      </c>
      <c r="G83" s="70">
        <v>68390.0</v>
      </c>
      <c r="H83" s="70">
        <v>47130.0</v>
      </c>
    </row>
    <row r="84" ht="15.75" customHeight="1">
      <c r="A84" s="97"/>
      <c r="B84" s="113">
        <v>44.0</v>
      </c>
      <c r="C84" s="111">
        <f t="shared" si="1"/>
        <v>44000</v>
      </c>
      <c r="D84" s="112">
        <v>42110.0</v>
      </c>
      <c r="E84" s="69">
        <v>45601.0</v>
      </c>
      <c r="F84" s="70">
        <v>61317.0</v>
      </c>
      <c r="G84" s="70">
        <v>69981.0</v>
      </c>
      <c r="H84" s="70">
        <v>48226.0</v>
      </c>
    </row>
    <row r="85" ht="15.75" customHeight="1">
      <c r="A85" s="97"/>
      <c r="B85" s="113">
        <v>45.0</v>
      </c>
      <c r="C85" s="111">
        <f t="shared" si="1"/>
        <v>45000</v>
      </c>
      <c r="D85" s="112">
        <v>42110.0</v>
      </c>
      <c r="E85" s="69">
        <v>45624.0</v>
      </c>
      <c r="F85" s="70">
        <v>61317.0</v>
      </c>
      <c r="G85" s="70">
        <v>70037.0</v>
      </c>
      <c r="H85" s="70">
        <v>48226.0</v>
      </c>
    </row>
    <row r="86" ht="15.75" customHeight="1">
      <c r="A86" s="97"/>
      <c r="B86" s="113">
        <v>46.0</v>
      </c>
      <c r="C86" s="111">
        <f t="shared" si="1"/>
        <v>46000</v>
      </c>
      <c r="D86" s="112">
        <v>42110.0</v>
      </c>
      <c r="E86" s="69">
        <v>45624.0</v>
      </c>
      <c r="F86" s="70">
        <v>61317.0</v>
      </c>
      <c r="G86" s="70">
        <v>70037.0</v>
      </c>
      <c r="H86" s="70">
        <v>48226.0</v>
      </c>
    </row>
    <row r="87" ht="15.75" customHeight="1">
      <c r="A87" s="97"/>
      <c r="B87" s="113">
        <v>47.0</v>
      </c>
      <c r="C87" s="111">
        <f t="shared" si="1"/>
        <v>47000</v>
      </c>
      <c r="D87" s="112">
        <v>42110.0</v>
      </c>
      <c r="E87" s="69">
        <v>45624.0</v>
      </c>
      <c r="F87" s="70">
        <v>61317.0</v>
      </c>
      <c r="G87" s="70">
        <v>70037.0</v>
      </c>
      <c r="H87" s="70">
        <v>48226.0</v>
      </c>
    </row>
    <row r="88" ht="15.75" customHeight="1">
      <c r="A88" s="97"/>
      <c r="B88" s="113">
        <v>48.0</v>
      </c>
      <c r="C88" s="111">
        <f t="shared" si="1"/>
        <v>48000</v>
      </c>
      <c r="D88" s="112">
        <v>42110.0</v>
      </c>
      <c r="E88" s="69">
        <v>45792.0</v>
      </c>
      <c r="F88" s="70">
        <v>61317.0</v>
      </c>
      <c r="G88" s="70">
        <v>70037.0</v>
      </c>
      <c r="H88" s="70">
        <v>48226.0</v>
      </c>
    </row>
    <row r="89" ht="15.75" customHeight="1">
      <c r="A89" s="97"/>
      <c r="B89" s="113">
        <v>49.0</v>
      </c>
      <c r="C89" s="111">
        <f t="shared" si="1"/>
        <v>49000</v>
      </c>
      <c r="D89" s="112">
        <v>42364.0</v>
      </c>
      <c r="E89" s="69">
        <v>46746.0</v>
      </c>
      <c r="F89" s="70">
        <v>61317.0</v>
      </c>
      <c r="G89" s="70">
        <v>70037.0</v>
      </c>
      <c r="H89" s="70">
        <v>48226.0</v>
      </c>
    </row>
    <row r="90" ht="15.75" customHeight="1">
      <c r="A90" s="97"/>
      <c r="B90" s="113">
        <v>50.0</v>
      </c>
      <c r="C90" s="111">
        <f t="shared" si="1"/>
        <v>50000</v>
      </c>
      <c r="D90" s="112">
        <v>43229.0</v>
      </c>
      <c r="E90" s="69">
        <v>47700.0</v>
      </c>
      <c r="F90" s="70">
        <v>61737.0</v>
      </c>
      <c r="G90" s="70">
        <v>70037.0</v>
      </c>
      <c r="H90" s="70">
        <v>48559.0</v>
      </c>
    </row>
    <row r="91" ht="15.75" customHeight="1">
      <c r="A91" s="97"/>
      <c r="B91" s="113">
        <v>51.0</v>
      </c>
      <c r="C91" s="111">
        <f t="shared" si="1"/>
        <v>51000</v>
      </c>
      <c r="D91" s="112">
        <v>44094.0</v>
      </c>
      <c r="E91" s="69">
        <v>48654.0</v>
      </c>
      <c r="F91" s="70">
        <v>62973.0</v>
      </c>
      <c r="G91" s="70">
        <v>70037.0</v>
      </c>
      <c r="H91" s="70">
        <v>49530.0</v>
      </c>
    </row>
    <row r="92" ht="15.75" customHeight="1">
      <c r="A92" s="97"/>
      <c r="B92" s="113">
        <v>52.0</v>
      </c>
      <c r="C92" s="111">
        <f t="shared" si="1"/>
        <v>52000</v>
      </c>
      <c r="D92" s="112">
        <v>44958.0</v>
      </c>
      <c r="E92" s="69">
        <v>49608.0</v>
      </c>
      <c r="F92" s="70">
        <v>64208.0</v>
      </c>
      <c r="G92" s="70">
        <v>70269.0</v>
      </c>
      <c r="H92" s="70">
        <v>50502.0</v>
      </c>
    </row>
    <row r="93" ht="15.75" customHeight="1">
      <c r="A93" s="97"/>
      <c r="B93" s="113">
        <v>53.0</v>
      </c>
      <c r="C93" s="111">
        <f t="shared" si="1"/>
        <v>53000</v>
      </c>
      <c r="D93" s="112">
        <v>45823.0</v>
      </c>
      <c r="E93" s="69">
        <v>50562.0</v>
      </c>
      <c r="F93" s="70">
        <v>65443.0</v>
      </c>
      <c r="G93" s="70">
        <v>71620.0</v>
      </c>
      <c r="H93" s="70">
        <v>51473.0</v>
      </c>
    </row>
    <row r="94" ht="15.75" customHeight="1">
      <c r="A94" s="97"/>
      <c r="B94" s="113">
        <v>54.0</v>
      </c>
      <c r="C94" s="111">
        <f t="shared" si="1"/>
        <v>54000</v>
      </c>
      <c r="D94" s="112">
        <v>46687.0</v>
      </c>
      <c r="E94" s="69">
        <v>51516.0</v>
      </c>
      <c r="F94" s="70">
        <v>66676.0</v>
      </c>
      <c r="G94" s="70">
        <v>72972.0</v>
      </c>
      <c r="H94" s="70">
        <v>52444.0</v>
      </c>
    </row>
    <row r="95" ht="15.75" customHeight="1">
      <c r="A95" s="97"/>
      <c r="B95" s="113">
        <v>55.0</v>
      </c>
      <c r="C95" s="111">
        <f t="shared" si="1"/>
        <v>55000</v>
      </c>
      <c r="D95" s="112">
        <v>47552.0</v>
      </c>
      <c r="E95" s="69">
        <v>52470.0</v>
      </c>
      <c r="F95" s="70">
        <v>67912.0</v>
      </c>
      <c r="G95" s="70">
        <v>74323.0</v>
      </c>
      <c r="H95" s="70">
        <v>53415.0</v>
      </c>
    </row>
    <row r="96" ht="15.75" customHeight="1">
      <c r="A96" s="97"/>
      <c r="B96" s="113">
        <v>56.0</v>
      </c>
      <c r="C96" s="111">
        <f t="shared" si="1"/>
        <v>56000</v>
      </c>
      <c r="D96" s="112">
        <v>48416.0</v>
      </c>
      <c r="E96" s="69">
        <v>53424.0</v>
      </c>
      <c r="F96" s="70">
        <v>69147.0</v>
      </c>
      <c r="G96" s="70">
        <v>75674.0</v>
      </c>
      <c r="H96" s="70">
        <v>54386.0</v>
      </c>
    </row>
    <row r="97" ht="15.75" customHeight="1">
      <c r="A97" s="97"/>
      <c r="B97" s="113">
        <v>57.0</v>
      </c>
      <c r="C97" s="111">
        <f t="shared" si="1"/>
        <v>57000</v>
      </c>
      <c r="D97" s="112">
        <v>49281.0</v>
      </c>
      <c r="E97" s="69">
        <v>54378.0</v>
      </c>
      <c r="F97" s="70">
        <v>70382.0</v>
      </c>
      <c r="G97" s="70">
        <v>77026.0</v>
      </c>
      <c r="H97" s="70">
        <v>55358.0</v>
      </c>
    </row>
    <row r="98" ht="15.75" customHeight="1">
      <c r="A98" s="97"/>
      <c r="B98" s="113">
        <v>58.0</v>
      </c>
      <c r="C98" s="111">
        <f t="shared" si="1"/>
        <v>58000</v>
      </c>
      <c r="D98" s="112">
        <v>50146.0</v>
      </c>
      <c r="E98" s="69">
        <v>55332.0</v>
      </c>
      <c r="F98" s="70">
        <v>71616.0</v>
      </c>
      <c r="G98" s="70">
        <v>78377.0</v>
      </c>
      <c r="H98" s="70">
        <v>56328.0</v>
      </c>
    </row>
    <row r="99" ht="15.75" customHeight="1">
      <c r="A99" s="97"/>
      <c r="B99" s="113">
        <v>59.0</v>
      </c>
      <c r="C99" s="111">
        <f t="shared" si="1"/>
        <v>59000</v>
      </c>
      <c r="D99" s="112">
        <v>51010.0</v>
      </c>
      <c r="E99" s="69">
        <v>56286.0</v>
      </c>
      <c r="F99" s="70">
        <v>72851.0</v>
      </c>
      <c r="G99" s="70">
        <v>79728.0</v>
      </c>
      <c r="H99" s="70">
        <v>57300.0</v>
      </c>
    </row>
    <row r="100" ht="15.75" customHeight="1">
      <c r="A100" s="97"/>
      <c r="B100" s="113">
        <v>60.0</v>
      </c>
      <c r="C100" s="111">
        <f t="shared" si="1"/>
        <v>60000</v>
      </c>
      <c r="D100" s="112">
        <v>51875.0</v>
      </c>
      <c r="E100" s="69">
        <v>57240.0</v>
      </c>
      <c r="F100" s="70">
        <v>74086.0</v>
      </c>
      <c r="G100" s="70">
        <v>81080.0</v>
      </c>
      <c r="H100" s="70">
        <v>58271.0</v>
      </c>
    </row>
    <row r="101" ht="15.75" customHeight="1">
      <c r="A101" s="97"/>
      <c r="B101" s="113">
        <v>61.0</v>
      </c>
      <c r="C101" s="111">
        <f t="shared" si="1"/>
        <v>61000</v>
      </c>
      <c r="D101" s="112">
        <v>52739.0</v>
      </c>
      <c r="E101" s="69">
        <v>58194.0</v>
      </c>
      <c r="F101" s="70">
        <v>75321.0</v>
      </c>
      <c r="G101" s="70">
        <v>82431.0</v>
      </c>
      <c r="H101" s="70">
        <v>59243.0</v>
      </c>
    </row>
    <row r="102" ht="15.75" customHeight="1">
      <c r="A102" s="97"/>
      <c r="B102" s="113">
        <v>62.0</v>
      </c>
      <c r="C102" s="111">
        <f t="shared" si="1"/>
        <v>62000</v>
      </c>
      <c r="D102" s="112">
        <v>53604.0</v>
      </c>
      <c r="E102" s="69">
        <v>59148.0</v>
      </c>
      <c r="F102" s="70">
        <v>76555.0</v>
      </c>
      <c r="G102" s="70">
        <v>83782.0</v>
      </c>
      <c r="H102" s="70">
        <v>60213.0</v>
      </c>
    </row>
    <row r="103" ht="15.75" customHeight="1">
      <c r="A103" s="97"/>
      <c r="B103" s="113">
        <v>63.0</v>
      </c>
      <c r="C103" s="111">
        <f t="shared" si="1"/>
        <v>63000</v>
      </c>
      <c r="D103" s="112">
        <v>54469.0</v>
      </c>
      <c r="E103" s="69">
        <v>60102.0</v>
      </c>
      <c r="F103" s="70">
        <v>77790.0</v>
      </c>
      <c r="G103" s="70">
        <v>85134.0</v>
      </c>
      <c r="H103" s="70">
        <v>61184.0</v>
      </c>
    </row>
    <row r="104" ht="15.75" customHeight="1">
      <c r="A104" s="97"/>
      <c r="B104" s="113">
        <v>64.0</v>
      </c>
      <c r="C104" s="111">
        <f t="shared" si="1"/>
        <v>64000</v>
      </c>
      <c r="D104" s="112">
        <v>55333.0</v>
      </c>
      <c r="E104" s="69">
        <v>61056.0</v>
      </c>
      <c r="F104" s="70">
        <v>79025.0</v>
      </c>
      <c r="G104" s="70">
        <v>86485.0</v>
      </c>
      <c r="H104" s="70">
        <v>62156.0</v>
      </c>
    </row>
    <row r="105" ht="15.75" customHeight="1">
      <c r="A105" s="97"/>
      <c r="B105" s="113">
        <v>65.0</v>
      </c>
      <c r="C105" s="111">
        <f t="shared" si="1"/>
        <v>65000</v>
      </c>
      <c r="D105" s="112">
        <v>56198.0</v>
      </c>
      <c r="E105" s="69">
        <v>62010.0</v>
      </c>
      <c r="F105" s="70">
        <v>80260.0</v>
      </c>
      <c r="G105" s="70">
        <v>87836.0</v>
      </c>
      <c r="H105" s="70">
        <v>63127.0</v>
      </c>
    </row>
    <row r="106" ht="15.75" customHeight="1">
      <c r="A106" s="97"/>
      <c r="B106" s="113">
        <v>66.0</v>
      </c>
      <c r="C106" s="111">
        <f t="shared" si="1"/>
        <v>66000</v>
      </c>
      <c r="D106" s="112">
        <v>57062.0</v>
      </c>
      <c r="E106" s="69">
        <v>62964.0</v>
      </c>
      <c r="F106" s="70">
        <v>81494.0</v>
      </c>
      <c r="G106" s="70">
        <v>89188.0</v>
      </c>
      <c r="H106" s="70">
        <v>64098.0</v>
      </c>
    </row>
    <row r="107" ht="15.75" customHeight="1">
      <c r="A107" s="97"/>
      <c r="B107" s="113">
        <v>67.0</v>
      </c>
      <c r="C107" s="111">
        <f t="shared" si="1"/>
        <v>67000</v>
      </c>
      <c r="D107" s="112">
        <v>57927.0</v>
      </c>
      <c r="E107" s="69">
        <v>63918.0</v>
      </c>
      <c r="F107" s="70">
        <v>82729.0</v>
      </c>
      <c r="G107" s="70">
        <v>90539.0</v>
      </c>
      <c r="H107" s="70">
        <v>65069.0</v>
      </c>
    </row>
    <row r="108" ht="15.75" customHeight="1">
      <c r="A108" s="97"/>
      <c r="B108" s="113">
        <v>68.0</v>
      </c>
      <c r="C108" s="111">
        <f t="shared" si="1"/>
        <v>68000</v>
      </c>
      <c r="D108" s="112">
        <v>58791.0</v>
      </c>
      <c r="E108" s="69">
        <v>64872.0</v>
      </c>
      <c r="F108" s="70">
        <v>83964.0</v>
      </c>
      <c r="G108" s="70">
        <v>91890.0</v>
      </c>
      <c r="H108" s="70">
        <v>66041.0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5:M15"/>
    <mergeCell ref="B16:M16"/>
    <mergeCell ref="B20:D20"/>
  </mergeCells>
  <dataValidations>
    <dataValidation type="list" allowBlank="1" sqref="P11">
      <formula1>"0,1"</formula1>
    </dataValidation>
    <dataValidation type="decimal" operator="greaterThan" allowBlank="1" showDropDown="1" showErrorMessage="1" sqref="F3">
      <formula1>-10000.0</formula1>
    </dataValidation>
    <dataValidation type="list" allowBlank="1" sqref="K8">
      <formula1>"独自梱包,FedEx Box,FedEx Tube,FedEx Pak／Envelope"</formula1>
    </dataValidation>
    <dataValidation type="list" allowBlank="1" sqref="K5">
      <formula1>"E（西部）,F（東部・その他）"</formula1>
    </dataValidation>
    <dataValidation type="list" allowBlank="1" sqref="K11:K12">
      <formula1>"通常,A,B,C"</formula1>
    </dataValidation>
    <dataValidation type="decimal" allowBlank="1" showDropDown="1" showErrorMessage="1" sqref="D3">
      <formula1>0.0</formula1>
      <formula2>1.0</formula2>
    </dataValidation>
    <dataValidation type="decimal" allowBlank="1" sqref="P2">
      <formula1>0.0</formula1>
      <formula2>99999.0</formula2>
    </dataValidation>
  </dataValidations>
  <hyperlinks>
    <hyperlink r:id="rId1" ref="D2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13" width="18.0"/>
  </cols>
  <sheetData>
    <row r="1" ht="24.0" customHeight="1">
      <c r="A1" s="22"/>
      <c r="B1" s="22"/>
      <c r="C1" s="22"/>
      <c r="D1" s="22"/>
      <c r="E1" s="22"/>
      <c r="F1" s="22"/>
      <c r="G1" s="22"/>
      <c r="H1" s="22"/>
      <c r="I1" s="80"/>
      <c r="J1" s="81" t="s">
        <v>1161</v>
      </c>
      <c r="K1" s="22"/>
      <c r="L1" s="22"/>
      <c r="M1" s="22"/>
      <c r="N1" s="114"/>
      <c r="O1" s="114"/>
    </row>
    <row r="2" ht="24.0" customHeight="1">
      <c r="A2" s="22" t="s">
        <v>1169</v>
      </c>
      <c r="B2" s="115" t="s">
        <v>2192</v>
      </c>
      <c r="C2" s="79"/>
      <c r="D2" s="84" t="s">
        <v>2194</v>
      </c>
      <c r="E2" s="86" t="s">
        <v>2205</v>
      </c>
      <c r="F2" s="85" t="s">
        <v>1200</v>
      </c>
      <c r="G2" s="86" t="s">
        <v>1204</v>
      </c>
      <c r="H2" s="22" t="s">
        <v>1206</v>
      </c>
      <c r="I2" s="116" t="s">
        <v>2208</v>
      </c>
      <c r="J2" s="116" t="s">
        <v>2209</v>
      </c>
      <c r="K2" s="22"/>
      <c r="L2" s="22"/>
      <c r="M2" s="22"/>
      <c r="N2" s="114"/>
      <c r="O2" s="114"/>
    </row>
    <row r="3" ht="24.0" customHeight="1">
      <c r="A3" s="22"/>
      <c r="B3" s="118">
        <f t="array" ref="B3">IF('計算詳細'!D4&lt;=0,"重量未入力",IF(MIN('計算詳細'!C8:E8)&lt;=0,"サイズ未入力",IF(OR('計算詳細'!D4&gt;70000,MAX('計算詳細'!C8:E8)&gt;120,SUM('計算詳細'!C8:E8)-MAX('計算詳細'!C8:E8)-MIN('計算詳細'!C8:E8)&gt;80,'計算詳細'!H9&gt;153600),"発送不可",INDEX($D$21:$D$194,MATCH('計算詳細'!Q10,$C$21:$C$194,0)))))</f>
        <v>3365</v>
      </c>
      <c r="C3" s="79"/>
      <c r="D3" s="89">
        <v>0.3975</v>
      </c>
      <c r="E3" s="89">
        <v>0.25</v>
      </c>
      <c r="F3" s="90">
        <v>243.0</v>
      </c>
      <c r="G3" s="89">
        <v>0.0</v>
      </c>
      <c r="H3" s="75">
        <v>207.0</v>
      </c>
      <c r="I3" s="125">
        <v>1.0</v>
      </c>
      <c r="J3" s="125">
        <v>1.0</v>
      </c>
      <c r="K3" s="22"/>
      <c r="L3" s="22"/>
      <c r="M3" s="22"/>
      <c r="N3" s="114"/>
      <c r="O3" s="114"/>
    </row>
    <row r="4" ht="24.0" customHeight="1">
      <c r="A4" s="22"/>
      <c r="B4" s="96"/>
      <c r="C4" s="79"/>
      <c r="D4" s="22"/>
      <c r="E4" s="22"/>
      <c r="F4" s="92">
        <f>IF(ISNUMBER(B3),'計算詳細'!Q10/1000*$F$3,B3)</f>
        <v>486</v>
      </c>
      <c r="G4" s="22"/>
      <c r="H4" s="22"/>
      <c r="I4" s="22"/>
      <c r="J4" s="22"/>
      <c r="K4" s="22"/>
      <c r="L4" s="22"/>
      <c r="M4" s="22"/>
      <c r="N4" s="114"/>
      <c r="O4" s="114"/>
    </row>
    <row r="5" ht="24.0" customHeight="1">
      <c r="A5" s="94" t="s">
        <v>1624</v>
      </c>
      <c r="B5" s="135" t="s">
        <v>2192</v>
      </c>
      <c r="C5" s="79"/>
      <c r="D5" s="22"/>
      <c r="E5" s="22"/>
      <c r="F5" s="22" t="s">
        <v>2349</v>
      </c>
      <c r="G5" s="58">
        <f>'計算詳細'!Q10/1000</f>
        <v>2</v>
      </c>
      <c r="H5" s="22"/>
      <c r="I5" s="22"/>
      <c r="J5" s="22" t="s">
        <v>31</v>
      </c>
      <c r="K5" s="22" t="s">
        <v>1211</v>
      </c>
      <c r="L5" s="22" t="s">
        <v>1213</v>
      </c>
      <c r="M5" s="22" t="s">
        <v>1214</v>
      </c>
      <c r="N5" s="114"/>
      <c r="O5" s="114"/>
    </row>
    <row r="6" ht="24.0" customHeight="1">
      <c r="A6" s="22" t="s">
        <v>2368</v>
      </c>
      <c r="B6" s="118">
        <f>IF(ISNUMBER(B3),ROUND((B3+F4+K9+K10)*$D$3*(1-$E$3),0),B3)</f>
        <v>1148</v>
      </c>
      <c r="C6" s="79"/>
      <c r="D6" s="22"/>
      <c r="E6" s="22"/>
      <c r="F6" s="22"/>
      <c r="G6" s="22"/>
      <c r="H6" s="22"/>
      <c r="I6" s="22"/>
      <c r="J6" s="40">
        <f t="array" ref="J6">IF('計算詳細'!D4&lt;=0,"重量未入力",IF(MIN('計算詳細'!C8:E8)&lt;=0,"サイズ未入力",IF(OR('計算詳細'!D4&gt;70000,MAX('計算詳細'!C8:E8)&gt;120,SUM('計算詳細'!C8:E8)-MAX('計算詳細'!C8:E8)-MIN('計算詳細'!C8:E8)&gt;80,'計算詳細'!H9&gt;153600),"発送不可",INDEX($E$21:$E$194,MATCH('計算詳細'!Q10,$C$21:$C$194,0)))))</f>
        <v>3848</v>
      </c>
      <c r="K6" s="40">
        <f>IF(ISNUMBER(J6),'計算詳細'!Q10/1000*$H$3,J6)</f>
        <v>414</v>
      </c>
      <c r="L6" s="40">
        <f>IF(ISNUMBER(J6),ROUND((J6+K6+K9+K10)*$D$3*(1-$E$3),0),J6)</f>
        <v>1271</v>
      </c>
      <c r="M6" s="40">
        <f>IF(ISNUMBER(J6),J6+K6+L6+K9+K10-ROUND((J6+L6)*$G$3,0),J6)</f>
        <v>5533</v>
      </c>
      <c r="N6" s="114"/>
      <c r="O6" s="114"/>
    </row>
    <row r="7" ht="24.0" customHeight="1">
      <c r="A7" s="22"/>
      <c r="B7" s="96"/>
      <c r="C7" s="79"/>
      <c r="D7" s="22"/>
      <c r="E7" s="22"/>
      <c r="F7" s="22"/>
      <c r="G7" s="22"/>
      <c r="H7" s="22"/>
      <c r="I7" s="22"/>
      <c r="J7" s="22" t="s">
        <v>29</v>
      </c>
      <c r="K7" s="34" t="str">
        <f>'設定'!B27</f>
        <v>イタリア</v>
      </c>
      <c r="L7" s="22"/>
      <c r="M7" s="22"/>
      <c r="N7" s="114"/>
      <c r="O7" s="114"/>
    </row>
    <row r="8" ht="24.0" customHeight="1">
      <c r="A8" s="22" t="s">
        <v>1713</v>
      </c>
      <c r="B8" s="135" t="s">
        <v>2192</v>
      </c>
      <c r="C8" s="79"/>
      <c r="D8" s="22"/>
      <c r="E8" s="22"/>
      <c r="F8" s="22"/>
      <c r="G8" s="22"/>
      <c r="H8" s="22"/>
      <c r="I8" s="22"/>
      <c r="J8" s="22"/>
      <c r="K8" s="22"/>
      <c r="L8" s="22"/>
      <c r="M8" s="22"/>
      <c r="N8" s="114"/>
      <c r="O8" s="114"/>
    </row>
    <row r="9" ht="24.0" customHeight="1">
      <c r="A9" s="22"/>
      <c r="B9" s="88">
        <f>IF(ISNUMBER(B3),-ROUND((B3+B6)*$G$3,0),B3)</f>
        <v>0</v>
      </c>
      <c r="C9" s="79"/>
      <c r="D9" s="22"/>
      <c r="E9" s="22"/>
      <c r="F9" s="22"/>
      <c r="G9" s="22"/>
      <c r="H9" s="22"/>
      <c r="I9" s="22"/>
      <c r="J9" s="22" t="s">
        <v>581</v>
      </c>
      <c r="K9" s="75">
        <v>0.0</v>
      </c>
      <c r="L9" s="22"/>
      <c r="M9" s="22"/>
      <c r="N9" s="114"/>
      <c r="O9" s="114"/>
    </row>
    <row r="10" ht="24.0" customHeight="1">
      <c r="A10" s="22"/>
      <c r="B10" s="96"/>
      <c r="C10" s="79"/>
      <c r="D10" s="22"/>
      <c r="E10" s="22"/>
      <c r="F10" s="22"/>
      <c r="G10" s="22"/>
      <c r="H10" s="22"/>
      <c r="I10" s="22"/>
      <c r="J10" s="22" t="s">
        <v>1764</v>
      </c>
      <c r="K10" s="22">
        <f>IF('計算詳細'!H9&gt;70000,17000,IF(OR(MAX('計算詳細'!C8:E8)&gt;100,'計算詳細'!D4&gt;25000),3300,0))</f>
        <v>0</v>
      </c>
      <c r="L10" s="22"/>
      <c r="M10" s="22"/>
      <c r="N10" s="114"/>
      <c r="O10" s="114"/>
    </row>
    <row r="11" ht="24.0" customHeight="1">
      <c r="A11" s="22" t="s">
        <v>1865</v>
      </c>
      <c r="B11" s="135" t="s">
        <v>2192</v>
      </c>
      <c r="C11" s="79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114"/>
      <c r="O11" s="114"/>
    </row>
    <row r="12" ht="24.0" customHeight="1">
      <c r="A12" s="22"/>
      <c r="B12" s="88">
        <f>IF(ISNUMBER(B3),SUM(B3,B6,B9,F4,K9,K10),B3)</f>
        <v>4999</v>
      </c>
      <c r="C12" s="79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114"/>
      <c r="O12" s="114"/>
    </row>
    <row r="13">
      <c r="A13" s="114"/>
      <c r="B13" s="171"/>
      <c r="C13" s="171"/>
      <c r="D13" s="114"/>
      <c r="E13" s="114"/>
      <c r="F13" s="114"/>
      <c r="G13" s="114"/>
      <c r="H13" s="114"/>
      <c r="I13" s="114"/>
      <c r="J13" s="114" t="s">
        <v>2592</v>
      </c>
      <c r="K13" s="114"/>
      <c r="L13" s="114"/>
      <c r="M13" s="114"/>
      <c r="N13" s="114"/>
      <c r="O13" s="114"/>
    </row>
    <row r="14">
      <c r="A14" s="114"/>
      <c r="B14" s="171" t="s">
        <v>1912</v>
      </c>
      <c r="C14" s="171"/>
      <c r="D14" s="114"/>
      <c r="E14" s="114"/>
      <c r="F14" s="114"/>
      <c r="G14" s="114"/>
      <c r="H14" s="114"/>
      <c r="I14" s="114"/>
      <c r="J14" s="114" t="s">
        <v>2595</v>
      </c>
      <c r="K14" s="114"/>
      <c r="L14" s="114"/>
      <c r="M14" s="114"/>
      <c r="N14" s="114"/>
      <c r="O14" s="114"/>
    </row>
    <row r="15">
      <c r="A15" s="114"/>
      <c r="B15" s="172" t="s">
        <v>2598</v>
      </c>
      <c r="M15" s="114"/>
      <c r="N15" s="114"/>
      <c r="O15" s="114"/>
    </row>
    <row r="16">
      <c r="A16" s="114"/>
      <c r="B16" s="172" t="s">
        <v>2600</v>
      </c>
    </row>
    <row r="17">
      <c r="A17" s="114"/>
      <c r="B17" s="173" t="s">
        <v>1928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</row>
    <row r="18">
      <c r="A18" s="114"/>
      <c r="B18" s="175" t="s">
        <v>1941</v>
      </c>
      <c r="C18" s="175" t="s">
        <v>1941</v>
      </c>
      <c r="D18" s="176" t="s">
        <v>2610</v>
      </c>
      <c r="E18" s="62" t="s">
        <v>2611</v>
      </c>
      <c r="F18" s="114"/>
      <c r="G18" s="114"/>
      <c r="H18" s="114"/>
      <c r="I18" s="114"/>
      <c r="J18" s="114"/>
      <c r="K18" s="114"/>
      <c r="L18" s="114"/>
      <c r="M18" s="114"/>
      <c r="N18" s="114"/>
      <c r="O18" s="114"/>
    </row>
    <row r="19">
      <c r="A19" s="114"/>
      <c r="B19" s="178" t="s">
        <v>2612</v>
      </c>
      <c r="C19" s="178"/>
      <c r="D19" s="179"/>
      <c r="E19" s="180"/>
      <c r="F19" s="114"/>
      <c r="G19" s="114"/>
      <c r="H19" s="114"/>
      <c r="I19" s="114"/>
      <c r="J19" s="114"/>
      <c r="K19" s="114"/>
      <c r="L19" s="114"/>
      <c r="M19" s="114"/>
      <c r="N19" s="114"/>
      <c r="O19" s="114"/>
    </row>
    <row r="20">
      <c r="A20" s="114"/>
      <c r="B20" s="181" t="s">
        <v>2614</v>
      </c>
      <c r="C20" s="182"/>
      <c r="D20" s="182"/>
      <c r="E20" s="180"/>
      <c r="F20" s="114"/>
      <c r="G20" s="114"/>
      <c r="H20" s="114"/>
      <c r="I20" s="114"/>
      <c r="J20" s="114"/>
      <c r="K20" s="114"/>
      <c r="L20" s="114"/>
      <c r="M20" s="114"/>
      <c r="N20" s="114"/>
      <c r="O20" s="114"/>
    </row>
    <row r="21" ht="15.75" customHeight="1">
      <c r="A21" s="114"/>
      <c r="B21" s="183">
        <v>0.5</v>
      </c>
      <c r="C21" s="184">
        <f t="shared" ref="C21:C77" si="1">B21*1000</f>
        <v>500</v>
      </c>
      <c r="D21" s="186">
        <v>2727.0</v>
      </c>
      <c r="E21" s="187">
        <v>2265.0</v>
      </c>
      <c r="F21" s="114"/>
      <c r="G21" s="114"/>
      <c r="H21" s="114"/>
      <c r="I21" s="114"/>
      <c r="J21" s="114"/>
      <c r="K21" s="114"/>
      <c r="L21" s="114"/>
      <c r="M21" s="114"/>
      <c r="N21" s="114"/>
      <c r="O21" s="114"/>
    </row>
    <row r="22" ht="15.75" customHeight="1">
      <c r="A22" s="114"/>
      <c r="B22" s="183">
        <v>1.0</v>
      </c>
      <c r="C22" s="184">
        <f t="shared" si="1"/>
        <v>1000</v>
      </c>
      <c r="D22" s="186">
        <v>3078.0</v>
      </c>
      <c r="E22" s="187">
        <v>3177.0</v>
      </c>
      <c r="F22" s="114"/>
      <c r="G22" s="114"/>
      <c r="H22" s="114"/>
      <c r="I22" s="114"/>
      <c r="J22" s="114"/>
      <c r="K22" s="114"/>
      <c r="L22" s="114"/>
      <c r="M22" s="114"/>
      <c r="N22" s="114"/>
      <c r="O22" s="114"/>
    </row>
    <row r="23" ht="15.75" customHeight="1">
      <c r="A23" s="114"/>
      <c r="B23" s="183">
        <v>1.5</v>
      </c>
      <c r="C23" s="184">
        <f t="shared" si="1"/>
        <v>1500</v>
      </c>
      <c r="D23" s="186">
        <v>3207.0</v>
      </c>
      <c r="E23" s="187">
        <v>3482.0</v>
      </c>
      <c r="F23" s="114"/>
      <c r="G23" s="114"/>
      <c r="H23" s="114"/>
      <c r="I23" s="114"/>
      <c r="J23" s="114"/>
      <c r="K23" s="114"/>
      <c r="L23" s="114"/>
      <c r="M23" s="114"/>
      <c r="N23" s="114"/>
      <c r="O23" s="114"/>
    </row>
    <row r="24" ht="15.75" customHeight="1">
      <c r="A24" s="114"/>
      <c r="B24" s="183">
        <v>2.0</v>
      </c>
      <c r="C24" s="184">
        <f t="shared" si="1"/>
        <v>2000</v>
      </c>
      <c r="D24" s="186">
        <v>3365.0</v>
      </c>
      <c r="E24" s="187">
        <v>3848.0</v>
      </c>
      <c r="F24" s="114"/>
      <c r="G24" s="114"/>
      <c r="H24" s="114"/>
      <c r="I24" s="114"/>
      <c r="J24" s="114"/>
      <c r="K24" s="114"/>
      <c r="L24" s="114"/>
      <c r="M24" s="114"/>
      <c r="N24" s="114"/>
      <c r="O24" s="114"/>
    </row>
    <row r="25" ht="15.75" customHeight="1">
      <c r="A25" s="114"/>
      <c r="B25" s="183">
        <v>2.5</v>
      </c>
      <c r="C25" s="184">
        <f t="shared" si="1"/>
        <v>2500</v>
      </c>
      <c r="D25" s="186">
        <v>3753.0</v>
      </c>
      <c r="E25" s="187">
        <v>4275.0</v>
      </c>
      <c r="F25" s="114"/>
      <c r="G25" s="114"/>
      <c r="H25" s="114"/>
      <c r="I25" s="114"/>
      <c r="J25" s="114"/>
      <c r="K25" s="114"/>
      <c r="L25" s="114"/>
      <c r="M25" s="114"/>
      <c r="N25" s="114"/>
      <c r="O25" s="114"/>
    </row>
    <row r="26" ht="15.75" customHeight="1">
      <c r="A26" s="114"/>
      <c r="B26" s="183">
        <v>3.0</v>
      </c>
      <c r="C26" s="184">
        <f t="shared" si="1"/>
        <v>3000</v>
      </c>
      <c r="D26" s="186">
        <v>4138.0</v>
      </c>
      <c r="E26" s="187">
        <v>4763.0</v>
      </c>
      <c r="F26" s="114"/>
      <c r="G26" s="114"/>
      <c r="H26" s="114"/>
      <c r="I26" s="114"/>
      <c r="J26" s="114"/>
      <c r="K26" s="114"/>
      <c r="L26" s="114"/>
      <c r="M26" s="114"/>
      <c r="N26" s="114"/>
      <c r="O26" s="114"/>
    </row>
    <row r="27" ht="15.75" customHeight="1">
      <c r="A27" s="114"/>
      <c r="B27" s="183">
        <v>3.5</v>
      </c>
      <c r="C27" s="184">
        <f t="shared" si="1"/>
        <v>3500</v>
      </c>
      <c r="D27" s="186">
        <v>4616.0</v>
      </c>
      <c r="E27" s="187">
        <v>5294.0</v>
      </c>
      <c r="F27" s="114"/>
      <c r="G27" s="114"/>
      <c r="H27" s="114"/>
      <c r="I27" s="114"/>
      <c r="J27" s="114"/>
      <c r="K27" s="114"/>
      <c r="L27" s="114"/>
      <c r="M27" s="114"/>
      <c r="N27" s="114"/>
      <c r="O27" s="114"/>
    </row>
    <row r="28" ht="15.75" customHeight="1">
      <c r="A28" s="114"/>
      <c r="B28" s="183">
        <v>4.0</v>
      </c>
      <c r="C28" s="184">
        <f t="shared" si="1"/>
        <v>4000</v>
      </c>
      <c r="D28" s="186">
        <v>5010.0</v>
      </c>
      <c r="E28" s="187">
        <v>5702.0</v>
      </c>
      <c r="F28" s="114"/>
      <c r="G28" s="114"/>
      <c r="H28" s="114"/>
      <c r="I28" s="114"/>
      <c r="J28" s="114"/>
      <c r="K28" s="114"/>
      <c r="L28" s="114"/>
      <c r="M28" s="114"/>
      <c r="N28" s="114"/>
      <c r="O28" s="114"/>
    </row>
    <row r="29" ht="15.75" customHeight="1">
      <c r="A29" s="114"/>
      <c r="B29" s="183">
        <v>4.5</v>
      </c>
      <c r="C29" s="184">
        <f t="shared" si="1"/>
        <v>4500</v>
      </c>
      <c r="D29" s="186">
        <v>5405.0</v>
      </c>
      <c r="E29" s="187">
        <v>5830.0</v>
      </c>
      <c r="F29" s="114"/>
      <c r="G29" s="114"/>
      <c r="H29" s="114"/>
      <c r="I29" s="114"/>
      <c r="J29" s="114"/>
      <c r="K29" s="114"/>
      <c r="L29" s="114"/>
      <c r="M29" s="114"/>
      <c r="N29" s="114"/>
      <c r="O29" s="114"/>
    </row>
    <row r="30" ht="15.75" customHeight="1">
      <c r="A30" s="114"/>
      <c r="B30" s="183">
        <v>5.0</v>
      </c>
      <c r="C30" s="184">
        <f t="shared" si="1"/>
        <v>5000</v>
      </c>
      <c r="D30" s="186">
        <v>5800.0</v>
      </c>
      <c r="E30" s="187">
        <v>5956.0</v>
      </c>
      <c r="F30" s="114"/>
      <c r="G30" s="114"/>
      <c r="H30" s="114"/>
      <c r="I30" s="114"/>
      <c r="J30" s="114"/>
      <c r="K30" s="114"/>
      <c r="L30" s="114"/>
      <c r="M30" s="114"/>
      <c r="N30" s="114"/>
      <c r="O30" s="114"/>
    </row>
    <row r="31" ht="15.75" customHeight="1">
      <c r="A31" s="114"/>
      <c r="B31" s="183">
        <v>5.5</v>
      </c>
      <c r="C31" s="184">
        <f t="shared" si="1"/>
        <v>5500</v>
      </c>
      <c r="D31" s="186">
        <v>6194.0</v>
      </c>
      <c r="E31" s="187">
        <v>6082.0</v>
      </c>
      <c r="F31" s="114"/>
      <c r="G31" s="114"/>
      <c r="H31" s="114"/>
      <c r="I31" s="114"/>
      <c r="J31" s="114"/>
      <c r="K31" s="114"/>
      <c r="L31" s="114"/>
      <c r="M31" s="114"/>
      <c r="N31" s="114"/>
      <c r="O31" s="114"/>
    </row>
    <row r="32" ht="15.75" customHeight="1">
      <c r="A32" s="114"/>
      <c r="B32" s="183">
        <v>6.0</v>
      </c>
      <c r="C32" s="184">
        <f t="shared" si="1"/>
        <v>6000</v>
      </c>
      <c r="D32" s="186">
        <v>6587.0</v>
      </c>
      <c r="E32" s="187">
        <v>6210.0</v>
      </c>
      <c r="F32" s="114"/>
      <c r="G32" s="114"/>
      <c r="H32" s="114"/>
      <c r="I32" s="114"/>
      <c r="J32" s="114"/>
      <c r="K32" s="114"/>
      <c r="L32" s="114"/>
      <c r="M32" s="114"/>
      <c r="N32" s="114"/>
      <c r="O32" s="114"/>
    </row>
    <row r="33" ht="15.75" customHeight="1">
      <c r="A33" s="114"/>
      <c r="B33" s="183">
        <v>6.5</v>
      </c>
      <c r="C33" s="184">
        <f t="shared" si="1"/>
        <v>6500</v>
      </c>
      <c r="D33" s="186">
        <v>7035.0</v>
      </c>
      <c r="E33" s="187">
        <v>6272.0</v>
      </c>
      <c r="F33" s="114"/>
      <c r="G33" s="114"/>
      <c r="H33" s="114"/>
      <c r="I33" s="114"/>
      <c r="J33" s="114"/>
      <c r="K33" s="114"/>
      <c r="L33" s="114"/>
      <c r="M33" s="114"/>
      <c r="N33" s="114"/>
      <c r="O33" s="114"/>
    </row>
    <row r="34" ht="15.75" customHeight="1">
      <c r="A34" s="114"/>
      <c r="B34" s="183">
        <v>7.0</v>
      </c>
      <c r="C34" s="184">
        <f t="shared" si="1"/>
        <v>7000</v>
      </c>
      <c r="D34" s="186">
        <v>7580.0</v>
      </c>
      <c r="E34" s="187">
        <v>6335.0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</row>
    <row r="35" ht="15.75" customHeight="1">
      <c r="A35" s="114"/>
      <c r="B35" s="183">
        <v>7.5</v>
      </c>
      <c r="C35" s="184">
        <f t="shared" si="1"/>
        <v>7500</v>
      </c>
      <c r="D35" s="186">
        <v>8123.0</v>
      </c>
      <c r="E35" s="187">
        <v>6410.0</v>
      </c>
      <c r="F35" s="114"/>
      <c r="G35" s="114"/>
      <c r="H35" s="114"/>
      <c r="I35" s="114"/>
      <c r="J35" s="114"/>
      <c r="K35" s="114"/>
      <c r="L35" s="114"/>
      <c r="M35" s="114"/>
      <c r="N35" s="114"/>
      <c r="O35" s="114"/>
    </row>
    <row r="36" ht="15.75" customHeight="1">
      <c r="A36" s="114"/>
      <c r="B36" s="183">
        <v>8.0</v>
      </c>
      <c r="C36" s="184">
        <f t="shared" si="1"/>
        <v>8000</v>
      </c>
      <c r="D36" s="186">
        <v>8667.0</v>
      </c>
      <c r="E36" s="187">
        <v>6483.0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</row>
    <row r="37" ht="15.75" customHeight="1">
      <c r="A37" s="114"/>
      <c r="B37" s="183">
        <v>8.5</v>
      </c>
      <c r="C37" s="184">
        <f t="shared" si="1"/>
        <v>8500</v>
      </c>
      <c r="D37" s="186">
        <v>9209.0</v>
      </c>
      <c r="E37" s="187">
        <v>7022.0</v>
      </c>
      <c r="F37" s="114"/>
      <c r="G37" s="114"/>
      <c r="H37" s="114"/>
      <c r="I37" s="114"/>
      <c r="J37" s="114"/>
      <c r="K37" s="114"/>
      <c r="L37" s="114"/>
      <c r="M37" s="114"/>
      <c r="N37" s="114"/>
      <c r="O37" s="114"/>
    </row>
    <row r="38" ht="15.75" customHeight="1">
      <c r="A38" s="114"/>
      <c r="B38" s="183">
        <v>9.0</v>
      </c>
      <c r="C38" s="184">
        <f t="shared" si="1"/>
        <v>9000</v>
      </c>
      <c r="D38" s="186">
        <v>9752.0</v>
      </c>
      <c r="E38" s="187">
        <v>7563.0</v>
      </c>
      <c r="F38" s="114"/>
      <c r="G38" s="114"/>
      <c r="H38" s="114"/>
      <c r="I38" s="114"/>
      <c r="J38" s="114"/>
      <c r="K38" s="114"/>
      <c r="L38" s="114"/>
      <c r="M38" s="114"/>
      <c r="N38" s="114"/>
      <c r="O38" s="114"/>
    </row>
    <row r="39" ht="15.75" customHeight="1">
      <c r="A39" s="114"/>
      <c r="B39" s="183">
        <v>9.5</v>
      </c>
      <c r="C39" s="184">
        <f t="shared" si="1"/>
        <v>9500</v>
      </c>
      <c r="D39" s="186">
        <v>10296.0</v>
      </c>
      <c r="E39" s="187">
        <v>7958.0</v>
      </c>
      <c r="F39" s="114"/>
      <c r="G39" s="114"/>
      <c r="H39" s="114"/>
      <c r="I39" s="114"/>
      <c r="J39" s="114"/>
      <c r="K39" s="114"/>
      <c r="L39" s="114"/>
      <c r="M39" s="114"/>
      <c r="N39" s="114"/>
      <c r="O39" s="114"/>
    </row>
    <row r="40" ht="15.75" customHeight="1">
      <c r="A40" s="114"/>
      <c r="B40" s="183">
        <v>10.0</v>
      </c>
      <c r="C40" s="184">
        <f t="shared" si="1"/>
        <v>10000</v>
      </c>
      <c r="D40" s="186">
        <v>10839.0</v>
      </c>
      <c r="E40" s="187">
        <v>8355.0</v>
      </c>
      <c r="F40" s="114"/>
      <c r="G40" s="114"/>
      <c r="H40" s="114"/>
      <c r="I40" s="114"/>
      <c r="J40" s="114"/>
      <c r="K40" s="114"/>
      <c r="L40" s="114"/>
      <c r="M40" s="114"/>
      <c r="N40" s="114"/>
      <c r="O40" s="114"/>
    </row>
    <row r="41" ht="15.75" customHeight="1">
      <c r="A41" s="114"/>
      <c r="B41" s="183">
        <v>10.5</v>
      </c>
      <c r="C41" s="184">
        <f t="shared" si="1"/>
        <v>10500</v>
      </c>
      <c r="D41" s="186">
        <v>11382.0</v>
      </c>
      <c r="E41" s="187">
        <v>8935.0</v>
      </c>
      <c r="F41" s="114"/>
      <c r="G41" s="114"/>
      <c r="H41" s="114"/>
      <c r="I41" s="114"/>
      <c r="J41" s="114"/>
      <c r="K41" s="114"/>
      <c r="L41" s="114"/>
      <c r="M41" s="114"/>
      <c r="N41" s="114"/>
      <c r="O41" s="114"/>
    </row>
    <row r="42" ht="15.75" customHeight="1">
      <c r="A42" s="114"/>
      <c r="B42" s="183">
        <v>11.0</v>
      </c>
      <c r="C42" s="184">
        <f t="shared" si="1"/>
        <v>11000</v>
      </c>
      <c r="D42" s="186">
        <v>11925.0</v>
      </c>
      <c r="E42" s="187">
        <v>9340.0</v>
      </c>
      <c r="F42" s="114"/>
      <c r="G42" s="114"/>
      <c r="H42" s="114"/>
      <c r="I42" s="114"/>
      <c r="J42" s="114"/>
      <c r="K42" s="114"/>
      <c r="L42" s="114"/>
      <c r="M42" s="114"/>
      <c r="N42" s="114"/>
      <c r="O42" s="114"/>
    </row>
    <row r="43" ht="15.75" customHeight="1">
      <c r="A43" s="114"/>
      <c r="B43" s="183">
        <v>11.5</v>
      </c>
      <c r="C43" s="184">
        <f t="shared" si="1"/>
        <v>11500</v>
      </c>
      <c r="D43" s="186">
        <v>12469.0</v>
      </c>
      <c r="E43" s="187">
        <v>9748.0</v>
      </c>
      <c r="F43" s="114"/>
      <c r="G43" s="114"/>
      <c r="H43" s="114"/>
      <c r="I43" s="114"/>
      <c r="J43" s="114"/>
      <c r="K43" s="114"/>
      <c r="L43" s="114"/>
      <c r="M43" s="114"/>
      <c r="N43" s="114"/>
      <c r="O43" s="114"/>
    </row>
    <row r="44" ht="15.75" customHeight="1">
      <c r="A44" s="114"/>
      <c r="B44" s="183">
        <v>12.0</v>
      </c>
      <c r="C44" s="184">
        <f t="shared" si="1"/>
        <v>12000</v>
      </c>
      <c r="D44" s="186">
        <v>13012.0</v>
      </c>
      <c r="E44" s="187">
        <v>10152.0</v>
      </c>
      <c r="F44" s="114"/>
      <c r="G44" s="114"/>
      <c r="H44" s="114"/>
      <c r="I44" s="114"/>
      <c r="J44" s="114"/>
      <c r="K44" s="114"/>
      <c r="L44" s="114"/>
      <c r="M44" s="114"/>
      <c r="N44" s="114"/>
      <c r="O44" s="114"/>
    </row>
    <row r="45" ht="15.75" customHeight="1">
      <c r="A45" s="114"/>
      <c r="B45" s="183">
        <v>12.5</v>
      </c>
      <c r="C45" s="184">
        <f t="shared" si="1"/>
        <v>12500</v>
      </c>
      <c r="D45" s="186">
        <v>13555.0</v>
      </c>
      <c r="E45" s="187">
        <v>10558.0</v>
      </c>
      <c r="F45" s="114"/>
      <c r="G45" s="114"/>
      <c r="H45" s="114"/>
      <c r="I45" s="114"/>
      <c r="J45" s="114"/>
      <c r="K45" s="114"/>
      <c r="L45" s="114"/>
      <c r="M45" s="114"/>
      <c r="N45" s="114"/>
      <c r="O45" s="114"/>
    </row>
    <row r="46" ht="15.75" customHeight="1">
      <c r="A46" s="114"/>
      <c r="B46" s="183">
        <v>13.0</v>
      </c>
      <c r="C46" s="184">
        <f t="shared" si="1"/>
        <v>13000</v>
      </c>
      <c r="D46" s="186">
        <v>14099.0</v>
      </c>
      <c r="E46" s="187">
        <v>10964.0</v>
      </c>
      <c r="F46" s="114"/>
      <c r="G46" s="114"/>
      <c r="H46" s="114"/>
      <c r="I46" s="114"/>
      <c r="J46" s="114"/>
      <c r="K46" s="114"/>
      <c r="L46" s="114"/>
      <c r="M46" s="114"/>
      <c r="N46" s="114"/>
      <c r="O46" s="114"/>
    </row>
    <row r="47" ht="15.75" customHeight="1">
      <c r="A47" s="114"/>
      <c r="B47" s="183">
        <v>13.5</v>
      </c>
      <c r="C47" s="184">
        <f t="shared" si="1"/>
        <v>13500</v>
      </c>
      <c r="D47" s="186">
        <v>14641.0</v>
      </c>
      <c r="E47" s="187">
        <v>14546.0</v>
      </c>
      <c r="F47" s="114"/>
      <c r="G47" s="114"/>
      <c r="H47" s="114"/>
      <c r="I47" s="114"/>
      <c r="J47" s="114"/>
      <c r="K47" s="114"/>
      <c r="L47" s="114"/>
      <c r="M47" s="114"/>
      <c r="N47" s="114"/>
      <c r="O47" s="114"/>
    </row>
    <row r="48" ht="15.75" customHeight="1">
      <c r="A48" s="114"/>
      <c r="B48" s="183">
        <v>14.0</v>
      </c>
      <c r="C48" s="184">
        <f t="shared" si="1"/>
        <v>14000</v>
      </c>
      <c r="D48" s="186">
        <v>15185.0</v>
      </c>
      <c r="E48" s="187">
        <v>18233.0</v>
      </c>
      <c r="F48" s="114"/>
      <c r="G48" s="114"/>
      <c r="H48" s="114"/>
      <c r="I48" s="114"/>
      <c r="J48" s="114"/>
      <c r="K48" s="114"/>
      <c r="L48" s="114"/>
      <c r="M48" s="114"/>
      <c r="N48" s="114"/>
      <c r="O48" s="114"/>
    </row>
    <row r="49" ht="15.75" customHeight="1">
      <c r="A49" s="114"/>
      <c r="B49" s="183">
        <v>14.5</v>
      </c>
      <c r="C49" s="184">
        <f t="shared" si="1"/>
        <v>14500</v>
      </c>
      <c r="D49" s="186">
        <v>15728.0</v>
      </c>
      <c r="E49" s="187">
        <v>20677.0</v>
      </c>
      <c r="F49" s="114"/>
      <c r="G49" s="114"/>
      <c r="H49" s="114"/>
      <c r="I49" s="114"/>
      <c r="J49" s="114"/>
      <c r="K49" s="114"/>
      <c r="L49" s="114"/>
      <c r="M49" s="114"/>
      <c r="N49" s="114"/>
      <c r="O49" s="114"/>
    </row>
    <row r="50" ht="15.75" customHeight="1">
      <c r="A50" s="114"/>
      <c r="B50" s="183">
        <v>15.0</v>
      </c>
      <c r="C50" s="184">
        <f t="shared" si="1"/>
        <v>15000</v>
      </c>
      <c r="D50" s="186">
        <v>16273.0</v>
      </c>
      <c r="E50" s="187">
        <v>23120.0</v>
      </c>
      <c r="F50" s="114"/>
      <c r="G50" s="114"/>
      <c r="H50" s="114"/>
      <c r="I50" s="114"/>
      <c r="J50" s="114"/>
      <c r="K50" s="114"/>
      <c r="L50" s="114"/>
      <c r="M50" s="114"/>
      <c r="N50" s="114"/>
      <c r="O50" s="114"/>
    </row>
    <row r="51" ht="15.75" customHeight="1">
      <c r="A51" s="114"/>
      <c r="B51" s="183">
        <v>15.5</v>
      </c>
      <c r="C51" s="184">
        <f t="shared" si="1"/>
        <v>15500</v>
      </c>
      <c r="D51" s="186">
        <v>16816.0</v>
      </c>
      <c r="E51" s="187">
        <v>23773.0</v>
      </c>
      <c r="F51" s="114"/>
      <c r="G51" s="114"/>
      <c r="H51" s="114"/>
      <c r="I51" s="114"/>
      <c r="J51" s="114"/>
      <c r="K51" s="114"/>
      <c r="L51" s="114"/>
      <c r="M51" s="114"/>
      <c r="N51" s="114"/>
      <c r="O51" s="114"/>
    </row>
    <row r="52" ht="15.75" customHeight="1">
      <c r="A52" s="114"/>
      <c r="B52" s="183">
        <v>16.0</v>
      </c>
      <c r="C52" s="184">
        <f t="shared" si="1"/>
        <v>16000</v>
      </c>
      <c r="D52" s="186">
        <v>17360.0</v>
      </c>
      <c r="E52" s="187">
        <v>24427.0</v>
      </c>
      <c r="F52" s="114"/>
      <c r="G52" s="114"/>
      <c r="H52" s="114"/>
      <c r="I52" s="114"/>
      <c r="J52" s="114"/>
      <c r="K52" s="114"/>
      <c r="L52" s="114"/>
      <c r="M52" s="114"/>
      <c r="N52" s="114"/>
      <c r="O52" s="114"/>
    </row>
    <row r="53" ht="15.75" customHeight="1">
      <c r="A53" s="114"/>
      <c r="B53" s="183">
        <v>16.5</v>
      </c>
      <c r="C53" s="184">
        <f t="shared" si="1"/>
        <v>16500</v>
      </c>
      <c r="D53" s="186">
        <v>17903.0</v>
      </c>
      <c r="E53" s="187">
        <v>25080.0</v>
      </c>
      <c r="F53" s="114"/>
      <c r="G53" s="114"/>
      <c r="H53" s="114"/>
      <c r="I53" s="114"/>
      <c r="J53" s="114"/>
      <c r="K53" s="114"/>
      <c r="L53" s="114"/>
      <c r="M53" s="114"/>
      <c r="N53" s="114"/>
      <c r="O53" s="114"/>
    </row>
    <row r="54" ht="15.75" customHeight="1">
      <c r="A54" s="114"/>
      <c r="B54" s="183">
        <v>17.0</v>
      </c>
      <c r="C54" s="184">
        <f t="shared" si="1"/>
        <v>17000</v>
      </c>
      <c r="D54" s="186">
        <v>18446.0</v>
      </c>
      <c r="E54" s="187">
        <v>25734.0</v>
      </c>
      <c r="F54" s="114"/>
      <c r="G54" s="114"/>
      <c r="H54" s="114"/>
      <c r="I54" s="114"/>
      <c r="J54" s="114"/>
      <c r="K54" s="114"/>
      <c r="L54" s="114"/>
      <c r="M54" s="114"/>
      <c r="N54" s="114"/>
      <c r="O54" s="114"/>
    </row>
    <row r="55" ht="15.75" customHeight="1">
      <c r="A55" s="114"/>
      <c r="B55" s="183">
        <v>17.5</v>
      </c>
      <c r="C55" s="184">
        <f t="shared" si="1"/>
        <v>17500</v>
      </c>
      <c r="D55" s="186">
        <v>18990.0</v>
      </c>
      <c r="E55" s="187">
        <v>26387.0</v>
      </c>
      <c r="F55" s="114"/>
      <c r="G55" s="114"/>
      <c r="H55" s="114"/>
      <c r="I55" s="114"/>
      <c r="J55" s="114"/>
      <c r="K55" s="114"/>
      <c r="L55" s="114"/>
      <c r="M55" s="114"/>
      <c r="N55" s="114"/>
      <c r="O55" s="114"/>
    </row>
    <row r="56" ht="15.75" customHeight="1">
      <c r="A56" s="114"/>
      <c r="B56" s="183">
        <v>18.0</v>
      </c>
      <c r="C56" s="184">
        <f t="shared" si="1"/>
        <v>18000</v>
      </c>
      <c r="D56" s="186">
        <v>19533.0</v>
      </c>
      <c r="E56" s="187">
        <v>27041.0</v>
      </c>
      <c r="F56" s="114"/>
      <c r="G56" s="114"/>
      <c r="H56" s="114"/>
      <c r="I56" s="114"/>
      <c r="J56" s="114"/>
      <c r="K56" s="114"/>
      <c r="L56" s="114"/>
      <c r="M56" s="114"/>
      <c r="N56" s="114"/>
      <c r="O56" s="114"/>
    </row>
    <row r="57" ht="15.75" customHeight="1">
      <c r="A57" s="114"/>
      <c r="B57" s="183">
        <v>18.5</v>
      </c>
      <c r="C57" s="184">
        <f t="shared" si="1"/>
        <v>18500</v>
      </c>
      <c r="D57" s="186">
        <v>20078.0</v>
      </c>
      <c r="E57" s="187">
        <v>27694.0</v>
      </c>
      <c r="F57" s="114"/>
      <c r="G57" s="114"/>
      <c r="H57" s="114"/>
      <c r="I57" s="114"/>
      <c r="J57" s="114"/>
      <c r="K57" s="114"/>
      <c r="L57" s="114"/>
      <c r="M57" s="114"/>
      <c r="N57" s="114"/>
      <c r="O57" s="114"/>
    </row>
    <row r="58" ht="15.75" customHeight="1">
      <c r="A58" s="114"/>
      <c r="B58" s="183">
        <v>19.0</v>
      </c>
      <c r="C58" s="184">
        <f t="shared" si="1"/>
        <v>19000</v>
      </c>
      <c r="D58" s="186">
        <v>20621.0</v>
      </c>
      <c r="E58" s="187">
        <v>28348.0</v>
      </c>
      <c r="F58" s="114"/>
      <c r="G58" s="114"/>
      <c r="H58" s="114"/>
      <c r="I58" s="114"/>
      <c r="J58" s="114"/>
      <c r="K58" s="114"/>
      <c r="L58" s="114"/>
      <c r="M58" s="114"/>
      <c r="N58" s="114"/>
      <c r="O58" s="114"/>
    </row>
    <row r="59" ht="15.75" customHeight="1">
      <c r="A59" s="114"/>
      <c r="B59" s="183">
        <v>19.5</v>
      </c>
      <c r="C59" s="184">
        <f t="shared" si="1"/>
        <v>19500</v>
      </c>
      <c r="D59" s="186">
        <v>21165.0</v>
      </c>
      <c r="E59" s="187">
        <v>29002.0</v>
      </c>
      <c r="F59" s="114"/>
      <c r="G59" s="114"/>
      <c r="H59" s="114"/>
      <c r="I59" s="114"/>
      <c r="J59" s="114"/>
      <c r="K59" s="114"/>
      <c r="L59" s="114"/>
      <c r="M59" s="114"/>
      <c r="N59" s="114"/>
      <c r="O59" s="114"/>
    </row>
    <row r="60" ht="15.75" customHeight="1">
      <c r="A60" s="114"/>
      <c r="B60" s="183">
        <v>20.0</v>
      </c>
      <c r="C60" s="184">
        <f t="shared" si="1"/>
        <v>20000</v>
      </c>
      <c r="D60" s="186">
        <v>21708.0</v>
      </c>
      <c r="E60" s="187">
        <v>29655.0</v>
      </c>
      <c r="F60" s="114"/>
      <c r="G60" s="114"/>
      <c r="H60" s="114"/>
      <c r="I60" s="114"/>
      <c r="J60" s="114"/>
      <c r="K60" s="114"/>
      <c r="L60" s="114"/>
      <c r="M60" s="114"/>
      <c r="N60" s="114"/>
      <c r="O60" s="114"/>
    </row>
    <row r="61" ht="15.75" customHeight="1">
      <c r="A61" s="114"/>
      <c r="B61" s="183">
        <v>21.0</v>
      </c>
      <c r="C61" s="184">
        <f t="shared" si="1"/>
        <v>21000</v>
      </c>
      <c r="D61" s="186">
        <v>22795.0</v>
      </c>
      <c r="E61" s="187">
        <v>30961.0</v>
      </c>
      <c r="F61" s="114"/>
      <c r="G61" s="114"/>
      <c r="H61" s="114"/>
      <c r="I61" s="114"/>
      <c r="J61" s="114"/>
      <c r="K61" s="114"/>
      <c r="L61" s="114"/>
      <c r="M61" s="114"/>
      <c r="N61" s="114"/>
      <c r="O61" s="114"/>
    </row>
    <row r="62" ht="15.75" customHeight="1">
      <c r="A62" s="114"/>
      <c r="B62" s="183">
        <v>22.0</v>
      </c>
      <c r="C62" s="184">
        <f t="shared" si="1"/>
        <v>22000</v>
      </c>
      <c r="D62" s="186">
        <v>23883.0</v>
      </c>
      <c r="E62" s="187">
        <v>32266.0</v>
      </c>
      <c r="F62" s="114"/>
      <c r="G62" s="114"/>
      <c r="H62" s="114"/>
      <c r="I62" s="114"/>
      <c r="J62" s="114"/>
      <c r="K62" s="114"/>
      <c r="L62" s="114"/>
      <c r="M62" s="114"/>
      <c r="N62" s="114"/>
      <c r="O62" s="114"/>
    </row>
    <row r="63" ht="15.75" customHeight="1">
      <c r="A63" s="114"/>
      <c r="B63" s="183">
        <v>23.0</v>
      </c>
      <c r="C63" s="184">
        <f t="shared" si="1"/>
        <v>23000</v>
      </c>
      <c r="D63" s="186">
        <v>24970.0</v>
      </c>
      <c r="E63" s="187">
        <v>33571.0</v>
      </c>
      <c r="F63" s="114"/>
      <c r="G63" s="114"/>
      <c r="H63" s="114"/>
      <c r="I63" s="114"/>
      <c r="J63" s="114"/>
      <c r="K63" s="114"/>
      <c r="L63" s="114"/>
      <c r="M63" s="114"/>
      <c r="N63" s="114"/>
      <c r="O63" s="114"/>
    </row>
    <row r="64" ht="15.75" customHeight="1">
      <c r="A64" s="114"/>
      <c r="B64" s="183">
        <v>24.0</v>
      </c>
      <c r="C64" s="184">
        <f t="shared" si="1"/>
        <v>24000</v>
      </c>
      <c r="D64" s="186">
        <v>26057.0</v>
      </c>
      <c r="E64" s="187">
        <v>34876.0</v>
      </c>
      <c r="F64" s="114"/>
      <c r="G64" s="114"/>
      <c r="H64" s="114"/>
      <c r="I64" s="114"/>
      <c r="J64" s="114"/>
      <c r="K64" s="114"/>
      <c r="L64" s="114"/>
      <c r="M64" s="114"/>
      <c r="N64" s="114"/>
      <c r="O64" s="114"/>
    </row>
    <row r="65" ht="15.75" customHeight="1">
      <c r="A65" s="114"/>
      <c r="B65" s="183">
        <v>25.0</v>
      </c>
      <c r="C65" s="184">
        <f t="shared" si="1"/>
        <v>25000</v>
      </c>
      <c r="D65" s="186">
        <v>27144.0</v>
      </c>
      <c r="E65" s="187">
        <v>36181.0</v>
      </c>
      <c r="F65" s="114"/>
      <c r="G65" s="114"/>
      <c r="H65" s="114"/>
      <c r="I65" s="114"/>
      <c r="J65" s="114"/>
      <c r="K65" s="114"/>
      <c r="L65" s="114"/>
      <c r="M65" s="114"/>
      <c r="N65" s="114"/>
      <c r="O65" s="114"/>
    </row>
    <row r="66" ht="15.75" customHeight="1">
      <c r="A66" s="114"/>
      <c r="B66" s="183">
        <v>26.0</v>
      </c>
      <c r="C66" s="184">
        <f t="shared" si="1"/>
        <v>26000</v>
      </c>
      <c r="D66" s="186">
        <v>28232.0</v>
      </c>
      <c r="E66" s="187">
        <v>37485.0</v>
      </c>
      <c r="F66" s="114"/>
      <c r="G66" s="114"/>
      <c r="H66" s="114"/>
      <c r="I66" s="114"/>
      <c r="J66" s="114"/>
      <c r="K66" s="114"/>
      <c r="L66" s="114"/>
      <c r="M66" s="114"/>
      <c r="N66" s="114"/>
      <c r="O66" s="114"/>
    </row>
    <row r="67" ht="15.75" customHeight="1">
      <c r="A67" s="114"/>
      <c r="B67" s="183">
        <v>27.0</v>
      </c>
      <c r="C67" s="184">
        <f t="shared" si="1"/>
        <v>27000</v>
      </c>
      <c r="D67" s="186">
        <v>29318.0</v>
      </c>
      <c r="E67" s="187">
        <v>38790.0</v>
      </c>
      <c r="F67" s="114"/>
      <c r="G67" s="114"/>
      <c r="H67" s="114"/>
      <c r="I67" s="114"/>
      <c r="J67" s="114"/>
      <c r="K67" s="114"/>
      <c r="L67" s="114"/>
      <c r="M67" s="114"/>
      <c r="N67" s="114"/>
      <c r="O67" s="114"/>
    </row>
    <row r="68" ht="15.75" customHeight="1">
      <c r="A68" s="114"/>
      <c r="B68" s="183">
        <v>28.0</v>
      </c>
      <c r="C68" s="184">
        <f t="shared" si="1"/>
        <v>28000</v>
      </c>
      <c r="D68" s="186">
        <v>30405.0</v>
      </c>
      <c r="E68" s="187">
        <v>40095.0</v>
      </c>
      <c r="F68" s="114"/>
      <c r="G68" s="114"/>
      <c r="H68" s="114"/>
      <c r="I68" s="114"/>
      <c r="J68" s="114"/>
      <c r="K68" s="114"/>
      <c r="L68" s="114"/>
      <c r="M68" s="114"/>
      <c r="N68" s="114"/>
      <c r="O68" s="114"/>
    </row>
    <row r="69" ht="15.75" customHeight="1">
      <c r="A69" s="114"/>
      <c r="B69" s="183">
        <v>29.0</v>
      </c>
      <c r="C69" s="184">
        <f t="shared" si="1"/>
        <v>29000</v>
      </c>
      <c r="D69" s="186">
        <v>31482.0</v>
      </c>
      <c r="E69" s="187">
        <v>41381.0</v>
      </c>
      <c r="F69" s="114"/>
      <c r="G69" s="114"/>
      <c r="H69" s="114"/>
      <c r="I69" s="114"/>
      <c r="J69" s="114"/>
      <c r="K69" s="114"/>
      <c r="L69" s="114"/>
      <c r="M69" s="114"/>
      <c r="N69" s="114"/>
      <c r="O69" s="114"/>
    </row>
    <row r="70" ht="15.75" customHeight="1">
      <c r="A70" s="114"/>
      <c r="B70" s="183">
        <v>30.0</v>
      </c>
      <c r="C70" s="184">
        <f t="shared" si="1"/>
        <v>30000</v>
      </c>
      <c r="D70" s="186">
        <v>32569.0</v>
      </c>
      <c r="E70" s="187">
        <v>42680.0</v>
      </c>
      <c r="F70" s="114"/>
      <c r="G70" s="114"/>
      <c r="H70" s="114"/>
      <c r="I70" s="114"/>
      <c r="J70" s="114"/>
      <c r="K70" s="114"/>
      <c r="L70" s="114"/>
      <c r="M70" s="114"/>
      <c r="N70" s="114"/>
      <c r="O70" s="114"/>
    </row>
    <row r="71" ht="15.75" customHeight="1">
      <c r="A71" s="114"/>
      <c r="B71" s="183">
        <v>31.0</v>
      </c>
      <c r="C71" s="184">
        <f t="shared" si="1"/>
        <v>31000</v>
      </c>
      <c r="D71" s="186">
        <v>33654.0</v>
      </c>
      <c r="E71" s="187">
        <v>43772.0</v>
      </c>
      <c r="F71" s="114"/>
      <c r="G71" s="114"/>
      <c r="H71" s="114"/>
      <c r="I71" s="114"/>
      <c r="J71" s="114"/>
      <c r="K71" s="114"/>
      <c r="L71" s="114"/>
      <c r="M71" s="114"/>
      <c r="N71" s="114"/>
      <c r="O71" s="114"/>
    </row>
    <row r="72" ht="15.75" customHeight="1">
      <c r="A72" s="114"/>
      <c r="B72" s="183">
        <v>32.0</v>
      </c>
      <c r="C72" s="184">
        <f t="shared" si="1"/>
        <v>32000</v>
      </c>
      <c r="D72" s="186">
        <v>34738.0</v>
      </c>
      <c r="E72" s="187">
        <v>44863.0</v>
      </c>
      <c r="F72" s="114"/>
      <c r="G72" s="114"/>
      <c r="H72" s="114"/>
      <c r="I72" s="114"/>
      <c r="J72" s="114"/>
      <c r="K72" s="114"/>
      <c r="L72" s="114"/>
      <c r="M72" s="114"/>
      <c r="N72" s="114"/>
      <c r="O72" s="114"/>
    </row>
    <row r="73" ht="15.75" customHeight="1">
      <c r="A73" s="114"/>
      <c r="B73" s="183">
        <v>33.0</v>
      </c>
      <c r="C73" s="184">
        <f t="shared" si="1"/>
        <v>33000</v>
      </c>
      <c r="D73" s="186">
        <v>35821.0</v>
      </c>
      <c r="E73" s="187">
        <v>45956.0</v>
      </c>
      <c r="F73" s="114"/>
      <c r="G73" s="114"/>
      <c r="H73" s="114"/>
      <c r="I73" s="114"/>
      <c r="J73" s="114"/>
      <c r="K73" s="114"/>
      <c r="L73" s="114"/>
      <c r="M73" s="114"/>
      <c r="N73" s="114"/>
      <c r="O73" s="114"/>
    </row>
    <row r="74" ht="15.75" customHeight="1">
      <c r="A74" s="114"/>
      <c r="B74" s="183">
        <v>34.0</v>
      </c>
      <c r="C74" s="184">
        <f t="shared" si="1"/>
        <v>34000</v>
      </c>
      <c r="D74" s="186">
        <v>36905.0</v>
      </c>
      <c r="E74" s="187">
        <v>47048.0</v>
      </c>
      <c r="F74" s="114"/>
      <c r="G74" s="114"/>
      <c r="H74" s="114"/>
      <c r="I74" s="114"/>
      <c r="J74" s="114"/>
      <c r="K74" s="114"/>
      <c r="L74" s="114"/>
      <c r="M74" s="114"/>
      <c r="N74" s="114"/>
      <c r="O74" s="114"/>
    </row>
    <row r="75" ht="15.75" customHeight="1">
      <c r="A75" s="114"/>
      <c r="B75" s="183">
        <v>35.0</v>
      </c>
      <c r="C75" s="184">
        <f t="shared" si="1"/>
        <v>35000</v>
      </c>
      <c r="D75" s="186">
        <v>37988.0</v>
      </c>
      <c r="E75" s="187">
        <v>48141.0</v>
      </c>
      <c r="F75" s="114"/>
      <c r="G75" s="114"/>
      <c r="H75" s="114"/>
      <c r="I75" s="114"/>
      <c r="J75" s="114"/>
      <c r="K75" s="114"/>
      <c r="L75" s="114"/>
      <c r="M75" s="114"/>
      <c r="N75" s="114"/>
      <c r="O75" s="114"/>
    </row>
    <row r="76" ht="15.75" customHeight="1">
      <c r="A76" s="114"/>
      <c r="B76" s="183">
        <v>36.0</v>
      </c>
      <c r="C76" s="184">
        <f t="shared" si="1"/>
        <v>36000</v>
      </c>
      <c r="D76" s="186">
        <v>39072.0</v>
      </c>
      <c r="E76" s="187">
        <v>49233.0</v>
      </c>
      <c r="F76" s="114"/>
      <c r="G76" s="114"/>
      <c r="H76" s="114"/>
      <c r="I76" s="114"/>
      <c r="J76" s="114"/>
      <c r="K76" s="114"/>
      <c r="L76" s="114"/>
      <c r="M76" s="114"/>
      <c r="N76" s="114"/>
      <c r="O76" s="114"/>
    </row>
    <row r="77" ht="15.75" customHeight="1">
      <c r="A77" s="114"/>
      <c r="B77" s="183">
        <v>37.0</v>
      </c>
      <c r="C77" s="184">
        <f t="shared" si="1"/>
        <v>37000</v>
      </c>
      <c r="D77" s="186">
        <v>40156.0</v>
      </c>
      <c r="E77" s="187">
        <v>50326.0</v>
      </c>
      <c r="F77" s="114"/>
      <c r="G77" s="114"/>
      <c r="H77" s="114"/>
      <c r="I77" s="114"/>
      <c r="J77" s="114"/>
      <c r="K77" s="114"/>
      <c r="L77" s="114"/>
      <c r="M77" s="114"/>
      <c r="N77" s="114"/>
      <c r="O77" s="114"/>
    </row>
    <row r="78" ht="15.75" customHeight="1">
      <c r="A78" s="15"/>
      <c r="B78" s="212">
        <v>38.0</v>
      </c>
      <c r="C78" s="213">
        <v>38000.0</v>
      </c>
      <c r="D78" s="187">
        <v>41239.0</v>
      </c>
      <c r="E78" s="187">
        <v>51418.0</v>
      </c>
      <c r="F78" s="114"/>
      <c r="G78" s="114"/>
      <c r="H78" s="114"/>
      <c r="I78" s="114"/>
      <c r="J78" s="114"/>
      <c r="K78" s="114"/>
      <c r="L78" s="114"/>
      <c r="M78" s="114"/>
      <c r="N78" s="114"/>
      <c r="O78" s="114"/>
    </row>
    <row r="79" ht="15.75" customHeight="1">
      <c r="A79" s="114"/>
      <c r="B79" s="212">
        <v>39.0</v>
      </c>
      <c r="C79" s="213">
        <v>39000.0</v>
      </c>
      <c r="D79" s="187">
        <v>42323.0</v>
      </c>
      <c r="E79" s="187">
        <v>52511.0</v>
      </c>
      <c r="F79" s="114"/>
      <c r="G79" s="114"/>
      <c r="H79" s="114"/>
      <c r="I79" s="114"/>
      <c r="J79" s="114"/>
      <c r="K79" s="114"/>
      <c r="L79" s="114"/>
      <c r="M79" s="114"/>
      <c r="N79" s="114"/>
      <c r="O79" s="114"/>
    </row>
    <row r="80" ht="15.75" customHeight="1">
      <c r="A80" s="114"/>
      <c r="B80" s="212">
        <v>40.0</v>
      </c>
      <c r="C80" s="213">
        <v>40000.0</v>
      </c>
      <c r="D80" s="187">
        <v>43406.0</v>
      </c>
      <c r="E80" s="187">
        <v>53604.0</v>
      </c>
      <c r="F80" s="114"/>
      <c r="G80" s="114"/>
      <c r="H80" s="114"/>
      <c r="I80" s="114"/>
      <c r="J80" s="114"/>
      <c r="K80" s="114"/>
      <c r="L80" s="114"/>
      <c r="M80" s="114"/>
      <c r="N80" s="114"/>
      <c r="O80" s="114"/>
    </row>
    <row r="81" ht="15.75" customHeight="1">
      <c r="A81" s="114"/>
      <c r="B81" s="212">
        <v>41.0</v>
      </c>
      <c r="C81" s="213">
        <v>41000.0</v>
      </c>
      <c r="D81" s="187">
        <v>44490.0</v>
      </c>
      <c r="E81" s="187">
        <v>54696.0</v>
      </c>
      <c r="F81" s="114"/>
      <c r="G81" s="114"/>
      <c r="H81" s="114"/>
      <c r="I81" s="114"/>
      <c r="J81" s="114"/>
      <c r="K81" s="114"/>
      <c r="L81" s="114"/>
      <c r="M81" s="114"/>
      <c r="N81" s="114"/>
      <c r="O81" s="114"/>
    </row>
    <row r="82" ht="15.75" customHeight="1">
      <c r="A82" s="114"/>
      <c r="B82" s="212">
        <v>42.0</v>
      </c>
      <c r="C82" s="213">
        <v>42000.0</v>
      </c>
      <c r="D82" s="187">
        <v>45574.0</v>
      </c>
      <c r="E82" s="187">
        <v>55789.0</v>
      </c>
      <c r="F82" s="114"/>
      <c r="G82" s="114"/>
      <c r="H82" s="114"/>
      <c r="I82" s="114"/>
      <c r="J82" s="114"/>
      <c r="K82" s="114"/>
      <c r="L82" s="114"/>
      <c r="M82" s="114"/>
      <c r="N82" s="114"/>
      <c r="O82" s="114"/>
    </row>
    <row r="83" ht="15.75" customHeight="1">
      <c r="A83" s="114"/>
      <c r="B83" s="212">
        <v>43.0</v>
      </c>
      <c r="C83" s="213">
        <v>43000.0</v>
      </c>
      <c r="D83" s="187">
        <v>46657.0</v>
      </c>
      <c r="E83" s="187">
        <v>56881.0</v>
      </c>
      <c r="F83" s="114"/>
      <c r="G83" s="114"/>
      <c r="H83" s="114"/>
      <c r="I83" s="114"/>
      <c r="J83" s="114"/>
      <c r="K83" s="114"/>
      <c r="L83" s="114"/>
      <c r="M83" s="114"/>
      <c r="N83" s="114"/>
      <c r="O83" s="114"/>
    </row>
    <row r="84" ht="15.75" customHeight="1">
      <c r="B84" s="215">
        <v>44.0</v>
      </c>
      <c r="C84" s="216">
        <v>44000.0</v>
      </c>
      <c r="D84" s="69">
        <v>47742.0</v>
      </c>
      <c r="E84" s="70">
        <v>57974.0</v>
      </c>
    </row>
    <row r="85" ht="15.75" customHeight="1">
      <c r="B85" s="215">
        <v>45.0</v>
      </c>
      <c r="C85" s="216">
        <v>45000.0</v>
      </c>
      <c r="D85" s="69">
        <v>48825.0</v>
      </c>
      <c r="E85" s="70">
        <v>59066.0</v>
      </c>
    </row>
    <row r="86" ht="15.75" customHeight="1">
      <c r="B86" s="215">
        <v>46.0</v>
      </c>
      <c r="C86" s="216">
        <v>46000.0</v>
      </c>
      <c r="D86" s="69">
        <v>49909.0</v>
      </c>
      <c r="E86" s="70">
        <v>60159.0</v>
      </c>
    </row>
    <row r="87" ht="15.75" customHeight="1">
      <c r="B87" s="215">
        <v>47.0</v>
      </c>
      <c r="C87" s="216">
        <v>47000.0</v>
      </c>
      <c r="D87" s="69">
        <v>50993.0</v>
      </c>
      <c r="E87" s="70">
        <v>61251.0</v>
      </c>
    </row>
    <row r="88" ht="15.75" customHeight="1">
      <c r="B88" s="215">
        <v>48.0</v>
      </c>
      <c r="C88" s="216">
        <v>48000.0</v>
      </c>
      <c r="D88" s="69">
        <v>52076.0</v>
      </c>
      <c r="E88" s="70">
        <v>62344.0</v>
      </c>
    </row>
    <row r="89" ht="15.75" customHeight="1">
      <c r="B89" s="215">
        <v>49.0</v>
      </c>
      <c r="C89" s="216">
        <v>49000.0</v>
      </c>
      <c r="D89" s="69">
        <v>53160.0</v>
      </c>
      <c r="E89" s="70">
        <v>63436.0</v>
      </c>
    </row>
    <row r="90" ht="15.75" customHeight="1">
      <c r="B90" s="215">
        <v>50.0</v>
      </c>
      <c r="C90" s="216">
        <v>50000.0</v>
      </c>
      <c r="D90" s="69">
        <v>54243.0</v>
      </c>
      <c r="E90" s="70">
        <v>64529.0</v>
      </c>
    </row>
    <row r="91" ht="15.75" customHeight="1">
      <c r="B91" s="215">
        <v>51.0</v>
      </c>
      <c r="C91" s="216">
        <v>51000.0</v>
      </c>
      <c r="D91" s="69">
        <v>55327.0</v>
      </c>
      <c r="E91" s="70">
        <v>65621.0</v>
      </c>
    </row>
    <row r="92" ht="15.75" customHeight="1">
      <c r="B92" s="215">
        <v>52.0</v>
      </c>
      <c r="C92" s="216">
        <v>52000.0</v>
      </c>
      <c r="D92" s="69">
        <v>56411.0</v>
      </c>
      <c r="E92" s="70">
        <v>66714.0</v>
      </c>
    </row>
    <row r="93" ht="15.75" customHeight="1">
      <c r="B93" s="215">
        <v>53.0</v>
      </c>
      <c r="C93" s="216">
        <v>53000.0</v>
      </c>
      <c r="D93" s="69">
        <v>57494.0</v>
      </c>
      <c r="E93" s="70">
        <v>67806.0</v>
      </c>
    </row>
    <row r="94" ht="15.75" customHeight="1">
      <c r="B94" s="215">
        <v>54.0</v>
      </c>
      <c r="C94" s="216">
        <v>54000.0</v>
      </c>
      <c r="D94" s="69">
        <v>58578.0</v>
      </c>
      <c r="E94" s="70">
        <v>68899.0</v>
      </c>
    </row>
    <row r="95" ht="15.75" customHeight="1">
      <c r="B95" s="215">
        <v>55.0</v>
      </c>
      <c r="C95" s="216">
        <v>55000.0</v>
      </c>
      <c r="D95" s="69">
        <v>59661.0</v>
      </c>
      <c r="E95" s="70">
        <v>69991.0</v>
      </c>
    </row>
    <row r="96" ht="15.75" customHeight="1">
      <c r="B96" s="215">
        <v>56.0</v>
      </c>
      <c r="C96" s="216">
        <v>56000.0</v>
      </c>
      <c r="D96" s="69">
        <v>60745.0</v>
      </c>
      <c r="E96" s="70">
        <v>71084.0</v>
      </c>
    </row>
    <row r="97" ht="15.75" customHeight="1">
      <c r="B97" s="215">
        <v>57.0</v>
      </c>
      <c r="C97" s="216">
        <v>57000.0</v>
      </c>
      <c r="D97" s="69">
        <v>61830.0</v>
      </c>
      <c r="E97" s="70">
        <v>72176.0</v>
      </c>
    </row>
    <row r="98" ht="15.75" customHeight="1">
      <c r="B98" s="215">
        <v>58.0</v>
      </c>
      <c r="C98" s="216">
        <v>58000.0</v>
      </c>
      <c r="D98" s="69">
        <v>62913.0</v>
      </c>
      <c r="E98" s="70">
        <v>73269.0</v>
      </c>
    </row>
    <row r="99" ht="15.75" customHeight="1">
      <c r="B99" s="215">
        <v>59.0</v>
      </c>
      <c r="C99" s="216">
        <v>59000.0</v>
      </c>
      <c r="D99" s="69">
        <v>63997.0</v>
      </c>
      <c r="E99" s="70">
        <v>74361.0</v>
      </c>
    </row>
    <row r="100" ht="15.75" customHeight="1">
      <c r="B100" s="215">
        <v>60.0</v>
      </c>
      <c r="C100" s="216">
        <v>60000.0</v>
      </c>
      <c r="D100" s="69">
        <v>65080.0</v>
      </c>
      <c r="E100" s="70">
        <v>75453.0</v>
      </c>
    </row>
    <row r="101" ht="15.75" customHeight="1">
      <c r="B101" s="215">
        <v>61.0</v>
      </c>
      <c r="C101" s="216">
        <v>61000.0</v>
      </c>
      <c r="D101" s="69">
        <v>66164.0</v>
      </c>
      <c r="E101" s="70">
        <v>76545.0</v>
      </c>
    </row>
    <row r="102" ht="15.75" customHeight="1">
      <c r="B102" s="215">
        <v>62.0</v>
      </c>
      <c r="C102" s="216">
        <v>62000.0</v>
      </c>
      <c r="D102" s="69">
        <v>67248.0</v>
      </c>
      <c r="E102" s="70">
        <v>77638.0</v>
      </c>
    </row>
    <row r="103" ht="15.75" customHeight="1">
      <c r="B103" s="215">
        <v>63.0</v>
      </c>
      <c r="C103" s="216">
        <v>63000.0</v>
      </c>
      <c r="D103" s="69">
        <v>68331.0</v>
      </c>
      <c r="E103" s="70">
        <v>78730.0</v>
      </c>
    </row>
    <row r="104" ht="15.75" customHeight="1">
      <c r="B104" s="215">
        <v>64.0</v>
      </c>
      <c r="C104" s="216">
        <v>64000.0</v>
      </c>
      <c r="D104" s="69">
        <v>69415.0</v>
      </c>
      <c r="E104" s="70">
        <v>79823.0</v>
      </c>
    </row>
    <row r="105" ht="15.75" customHeight="1">
      <c r="B105" s="215">
        <v>65.0</v>
      </c>
      <c r="C105" s="216">
        <v>65000.0</v>
      </c>
      <c r="D105" s="69">
        <v>70498.0</v>
      </c>
      <c r="E105" s="70">
        <v>80916.0</v>
      </c>
    </row>
    <row r="106" ht="15.75" customHeight="1">
      <c r="B106" s="215">
        <v>66.0</v>
      </c>
      <c r="C106" s="216">
        <v>66000.0</v>
      </c>
      <c r="D106" s="69">
        <v>71582.0</v>
      </c>
      <c r="E106" s="70">
        <v>82008.0</v>
      </c>
    </row>
    <row r="107" ht="15.75" customHeight="1">
      <c r="B107" s="215">
        <v>67.0</v>
      </c>
      <c r="C107" s="216">
        <v>67000.0</v>
      </c>
      <c r="D107" s="69">
        <v>72666.0</v>
      </c>
      <c r="E107" s="70">
        <v>83101.0</v>
      </c>
    </row>
    <row r="108" ht="15.75" customHeight="1">
      <c r="B108" s="215">
        <v>68.0</v>
      </c>
      <c r="C108" s="216">
        <v>68000.0</v>
      </c>
      <c r="D108" s="69">
        <v>73749.0</v>
      </c>
      <c r="E108" s="70">
        <v>84193.0</v>
      </c>
    </row>
    <row r="109" ht="15.75" customHeight="1">
      <c r="B109" s="215">
        <v>69.0</v>
      </c>
      <c r="C109" s="216">
        <v>69000.0</v>
      </c>
      <c r="D109" s="69">
        <v>74833.0</v>
      </c>
      <c r="E109" s="70">
        <v>85286.0</v>
      </c>
    </row>
    <row r="110" ht="15.75" customHeight="1">
      <c r="B110" s="215">
        <v>70.0</v>
      </c>
      <c r="C110" s="216">
        <v>70000.0</v>
      </c>
      <c r="D110" s="69">
        <v>75918.0</v>
      </c>
      <c r="E110" s="70">
        <v>86378.0</v>
      </c>
    </row>
    <row r="111" ht="15.75" customHeight="1">
      <c r="B111" s="215">
        <v>71.0</v>
      </c>
      <c r="C111" s="216">
        <v>71000.0</v>
      </c>
      <c r="D111" s="69">
        <v>77001.0</v>
      </c>
      <c r="E111" s="70">
        <v>87471.0</v>
      </c>
    </row>
    <row r="112" ht="15.75" customHeight="1">
      <c r="B112" s="215">
        <v>72.0</v>
      </c>
      <c r="C112" s="216">
        <v>72000.0</v>
      </c>
      <c r="D112" s="69">
        <v>78085.0</v>
      </c>
      <c r="E112" s="70">
        <v>88563.0</v>
      </c>
    </row>
    <row r="113" ht="15.75" customHeight="1">
      <c r="B113" s="215">
        <v>73.0</v>
      </c>
      <c r="C113" s="216">
        <v>73000.0</v>
      </c>
      <c r="D113" s="69">
        <v>79168.0</v>
      </c>
      <c r="E113" s="70">
        <v>89656.0</v>
      </c>
    </row>
    <row r="114" ht="15.75" customHeight="1">
      <c r="B114" s="215">
        <v>74.0</v>
      </c>
      <c r="C114" s="216">
        <v>74000.0</v>
      </c>
      <c r="D114" s="69">
        <v>80252.0</v>
      </c>
      <c r="E114" s="70">
        <v>90748.0</v>
      </c>
    </row>
    <row r="115" ht="15.75" customHeight="1">
      <c r="B115" s="215">
        <v>75.0</v>
      </c>
      <c r="C115" s="216">
        <v>75000.0</v>
      </c>
      <c r="D115" s="69">
        <v>81336.0</v>
      </c>
      <c r="E115" s="70">
        <v>91841.0</v>
      </c>
    </row>
    <row r="116" ht="15.75" customHeight="1">
      <c r="B116" s="215">
        <v>76.0</v>
      </c>
      <c r="C116" s="216">
        <v>76000.0</v>
      </c>
      <c r="D116" s="69">
        <v>82419.0</v>
      </c>
      <c r="E116" s="70">
        <v>92933.0</v>
      </c>
    </row>
    <row r="117" ht="15.75" customHeight="1">
      <c r="B117" s="215">
        <v>77.0</v>
      </c>
      <c r="C117" s="216">
        <v>77000.0</v>
      </c>
      <c r="D117" s="69">
        <v>83503.0</v>
      </c>
      <c r="E117" s="70">
        <v>94026.0</v>
      </c>
    </row>
    <row r="118" ht="15.75" customHeight="1">
      <c r="B118" s="215">
        <v>78.0</v>
      </c>
      <c r="C118" s="216">
        <v>78000.0</v>
      </c>
      <c r="D118" s="69">
        <v>84586.0</v>
      </c>
      <c r="E118" s="70">
        <v>95118.0</v>
      </c>
    </row>
    <row r="119" ht="15.75" customHeight="1">
      <c r="B119" s="215">
        <v>79.0</v>
      </c>
      <c r="C119" s="216">
        <v>79000.0</v>
      </c>
      <c r="D119" s="69">
        <v>85670.0</v>
      </c>
      <c r="E119" s="70">
        <v>96211.0</v>
      </c>
    </row>
    <row r="120" ht="15.75" customHeight="1">
      <c r="B120" s="215">
        <v>80.0</v>
      </c>
      <c r="C120" s="216">
        <v>80000.0</v>
      </c>
      <c r="D120" s="69">
        <v>86754.0</v>
      </c>
      <c r="E120" s="70">
        <v>97303.0</v>
      </c>
    </row>
    <row r="121" ht="15.75" customHeight="1">
      <c r="B121" s="215">
        <v>81.0</v>
      </c>
      <c r="C121" s="216">
        <v>81000.0</v>
      </c>
      <c r="D121" s="69">
        <v>87837.0</v>
      </c>
      <c r="E121" s="70">
        <v>98396.0</v>
      </c>
    </row>
    <row r="122" ht="15.75" customHeight="1">
      <c r="B122" s="215">
        <v>82.0</v>
      </c>
      <c r="C122" s="216">
        <v>82000.0</v>
      </c>
      <c r="D122" s="69">
        <v>88921.0</v>
      </c>
      <c r="E122" s="70">
        <v>99488.0</v>
      </c>
    </row>
    <row r="123" ht="15.75" customHeight="1">
      <c r="B123" s="215">
        <v>83.0</v>
      </c>
      <c r="C123" s="216">
        <v>83000.0</v>
      </c>
      <c r="D123" s="69">
        <v>90004.0</v>
      </c>
      <c r="E123" s="70">
        <v>100581.0</v>
      </c>
    </row>
    <row r="124" ht="15.75" customHeight="1">
      <c r="B124" s="215">
        <v>84.0</v>
      </c>
      <c r="C124" s="216">
        <v>84000.0</v>
      </c>
      <c r="D124" s="69">
        <v>91089.0</v>
      </c>
      <c r="E124" s="70">
        <v>101673.0</v>
      </c>
    </row>
    <row r="125" ht="15.75" customHeight="1">
      <c r="B125" s="215">
        <v>85.0</v>
      </c>
      <c r="C125" s="216">
        <v>85000.0</v>
      </c>
      <c r="D125" s="69">
        <v>92173.0</v>
      </c>
      <c r="E125" s="70">
        <v>102766.0</v>
      </c>
    </row>
    <row r="126" ht="15.75" customHeight="1">
      <c r="B126" s="215">
        <v>86.0</v>
      </c>
      <c r="C126" s="216">
        <v>86000.0</v>
      </c>
      <c r="D126" s="69">
        <v>93256.0</v>
      </c>
      <c r="E126" s="70">
        <v>103858.0</v>
      </c>
    </row>
    <row r="127" ht="15.75" customHeight="1">
      <c r="B127" s="215">
        <v>87.0</v>
      </c>
      <c r="C127" s="216">
        <v>87000.0</v>
      </c>
      <c r="D127" s="69">
        <v>94340.0</v>
      </c>
      <c r="E127" s="70">
        <v>104951.0</v>
      </c>
    </row>
    <row r="128" ht="15.75" customHeight="1">
      <c r="B128" s="215">
        <v>88.0</v>
      </c>
      <c r="C128" s="216">
        <v>88000.0</v>
      </c>
      <c r="D128" s="69">
        <v>95423.0</v>
      </c>
      <c r="E128" s="70">
        <v>106044.0</v>
      </c>
    </row>
    <row r="129" ht="15.75" customHeight="1">
      <c r="B129" s="215">
        <v>89.0</v>
      </c>
      <c r="C129" s="216">
        <v>89000.0</v>
      </c>
      <c r="D129" s="69">
        <v>96507.0</v>
      </c>
      <c r="E129" s="70">
        <v>107136.0</v>
      </c>
    </row>
    <row r="130" ht="15.75" customHeight="1">
      <c r="B130" s="215">
        <v>90.0</v>
      </c>
      <c r="C130" s="216">
        <v>90000.0</v>
      </c>
      <c r="D130" s="69">
        <v>97591.0</v>
      </c>
      <c r="E130" s="70">
        <v>108229.0</v>
      </c>
    </row>
    <row r="131" ht="15.75" customHeight="1">
      <c r="B131" s="215">
        <v>91.0</v>
      </c>
      <c r="C131" s="216">
        <v>91000.0</v>
      </c>
      <c r="D131" s="69">
        <v>98674.0</v>
      </c>
      <c r="E131" s="70">
        <v>109321.0</v>
      </c>
    </row>
    <row r="132" ht="15.75" customHeight="1">
      <c r="B132" s="215">
        <v>92.0</v>
      </c>
      <c r="C132" s="216">
        <v>92000.0</v>
      </c>
      <c r="D132" s="69">
        <v>99758.0</v>
      </c>
      <c r="E132" s="70">
        <v>110414.0</v>
      </c>
    </row>
    <row r="133" ht="15.75" customHeight="1">
      <c r="B133" s="215">
        <v>93.0</v>
      </c>
      <c r="C133" s="216">
        <v>93000.0</v>
      </c>
      <c r="D133" s="69">
        <v>100841.0</v>
      </c>
      <c r="E133" s="70">
        <v>111506.0</v>
      </c>
    </row>
    <row r="134" ht="15.75" customHeight="1">
      <c r="B134" s="215">
        <v>94.0</v>
      </c>
      <c r="C134" s="216">
        <v>94000.0</v>
      </c>
      <c r="D134" s="69">
        <v>101925.0</v>
      </c>
      <c r="E134" s="70">
        <v>112599.0</v>
      </c>
    </row>
    <row r="135" ht="15.75" customHeight="1">
      <c r="B135" s="215">
        <v>95.0</v>
      </c>
      <c r="C135" s="216">
        <v>95000.0</v>
      </c>
      <c r="D135" s="69">
        <v>103010.0</v>
      </c>
      <c r="E135" s="70">
        <v>113691.0</v>
      </c>
    </row>
    <row r="136" ht="15.75" customHeight="1">
      <c r="B136" s="215">
        <v>96.0</v>
      </c>
      <c r="C136" s="216">
        <v>96000.0</v>
      </c>
      <c r="D136" s="69">
        <v>104092.0</v>
      </c>
      <c r="E136" s="70">
        <v>114784.0</v>
      </c>
    </row>
    <row r="137" ht="15.75" customHeight="1">
      <c r="B137" s="215">
        <v>97.0</v>
      </c>
      <c r="C137" s="216">
        <v>97000.0</v>
      </c>
      <c r="D137" s="69">
        <v>105177.0</v>
      </c>
      <c r="E137" s="70">
        <v>115876.0</v>
      </c>
    </row>
    <row r="138" ht="15.75" customHeight="1">
      <c r="B138" s="215">
        <v>98.0</v>
      </c>
      <c r="C138" s="216">
        <v>98000.0</v>
      </c>
      <c r="D138" s="69">
        <v>106260.0</v>
      </c>
      <c r="E138" s="70">
        <v>116969.0</v>
      </c>
    </row>
    <row r="139" ht="15.75" customHeight="1">
      <c r="B139" s="215">
        <v>99.0</v>
      </c>
      <c r="C139" s="216">
        <v>99000.0</v>
      </c>
      <c r="D139" s="69">
        <v>107344.0</v>
      </c>
      <c r="E139" s="70">
        <v>118061.0</v>
      </c>
    </row>
    <row r="140" ht="15.75" customHeight="1">
      <c r="B140" s="215">
        <v>100.0</v>
      </c>
      <c r="C140" s="216">
        <v>100000.0</v>
      </c>
      <c r="D140" s="69">
        <v>108428.0</v>
      </c>
      <c r="E140" s="70">
        <v>119154.0</v>
      </c>
    </row>
    <row r="141" ht="15.75" customHeight="1">
      <c r="B141" s="215">
        <v>101.0</v>
      </c>
      <c r="C141" s="216">
        <v>101000.0</v>
      </c>
      <c r="D141" s="69">
        <v>109511.0</v>
      </c>
      <c r="E141" s="70">
        <v>120246.0</v>
      </c>
    </row>
    <row r="142" ht="15.75" customHeight="1">
      <c r="B142" s="215">
        <v>102.0</v>
      </c>
      <c r="C142" s="216">
        <v>102000.0</v>
      </c>
      <c r="D142" s="69">
        <v>110595.0</v>
      </c>
      <c r="E142" s="70">
        <v>121339.0</v>
      </c>
    </row>
    <row r="143" ht="15.75" customHeight="1">
      <c r="B143" s="215">
        <v>103.0</v>
      </c>
      <c r="C143" s="216">
        <v>103000.0</v>
      </c>
      <c r="D143" s="69">
        <v>111678.0</v>
      </c>
      <c r="E143" s="70">
        <v>122431.0</v>
      </c>
    </row>
    <row r="144" ht="15.75" customHeight="1">
      <c r="B144" s="215">
        <v>104.0</v>
      </c>
      <c r="C144" s="216">
        <v>104000.0</v>
      </c>
      <c r="D144" s="69">
        <v>112762.0</v>
      </c>
      <c r="E144" s="70">
        <v>123524.0</v>
      </c>
    </row>
    <row r="145" ht="15.75" customHeight="1">
      <c r="B145" s="215">
        <v>105.0</v>
      </c>
      <c r="C145" s="216">
        <v>105000.0</v>
      </c>
      <c r="D145" s="69">
        <v>113846.0</v>
      </c>
      <c r="E145" s="70">
        <v>124615.0</v>
      </c>
    </row>
    <row r="146" ht="15.75" customHeight="1">
      <c r="B146" s="215">
        <v>106.0</v>
      </c>
      <c r="C146" s="216">
        <v>106000.0</v>
      </c>
      <c r="D146" s="69">
        <v>114929.0</v>
      </c>
      <c r="E146" s="70">
        <v>125708.0</v>
      </c>
    </row>
    <row r="147" ht="15.75" customHeight="1">
      <c r="B147" s="215">
        <v>107.0</v>
      </c>
      <c r="C147" s="216">
        <v>107000.0</v>
      </c>
      <c r="D147" s="69">
        <v>116013.0</v>
      </c>
      <c r="E147" s="70">
        <v>126800.0</v>
      </c>
    </row>
    <row r="148" ht="15.75" customHeight="1">
      <c r="B148" s="215">
        <v>108.0</v>
      </c>
      <c r="C148" s="216">
        <v>108000.0</v>
      </c>
      <c r="D148" s="69">
        <v>117096.0</v>
      </c>
      <c r="E148" s="70">
        <v>127893.0</v>
      </c>
    </row>
    <row r="149" ht="15.75" customHeight="1">
      <c r="B149" s="215">
        <v>109.0</v>
      </c>
      <c r="C149" s="216">
        <v>109000.0</v>
      </c>
      <c r="D149" s="69">
        <v>118180.0</v>
      </c>
      <c r="E149" s="70">
        <v>128985.0</v>
      </c>
    </row>
    <row r="150" ht="15.75" customHeight="1">
      <c r="B150" s="215">
        <v>110.0</v>
      </c>
      <c r="C150" s="216">
        <v>110000.0</v>
      </c>
      <c r="D150" s="69">
        <v>119265.0</v>
      </c>
      <c r="E150" s="70">
        <v>130078.0</v>
      </c>
    </row>
    <row r="151" ht="15.75" customHeight="1">
      <c r="B151" s="215">
        <v>111.0</v>
      </c>
      <c r="C151" s="216">
        <v>111000.0</v>
      </c>
      <c r="D151" s="69">
        <v>120348.0</v>
      </c>
      <c r="E151" s="70">
        <v>131170.0</v>
      </c>
    </row>
    <row r="152" ht="15.75" customHeight="1">
      <c r="B152" s="215">
        <v>112.0</v>
      </c>
      <c r="C152" s="216">
        <v>112000.0</v>
      </c>
      <c r="D152" s="69">
        <v>121432.0</v>
      </c>
      <c r="E152" s="70">
        <v>132263.0</v>
      </c>
    </row>
    <row r="153" ht="15.75" customHeight="1">
      <c r="B153" s="215">
        <v>113.0</v>
      </c>
      <c r="C153" s="216">
        <v>113000.0</v>
      </c>
      <c r="D153" s="69">
        <v>122515.0</v>
      </c>
      <c r="E153" s="70">
        <v>133355.0</v>
      </c>
    </row>
    <row r="154" ht="15.75" customHeight="1">
      <c r="B154" s="215">
        <v>114.0</v>
      </c>
      <c r="C154" s="216">
        <v>114000.0</v>
      </c>
      <c r="D154" s="69">
        <v>123599.0</v>
      </c>
      <c r="E154" s="70">
        <v>134448.0</v>
      </c>
    </row>
    <row r="155" ht="15.75" customHeight="1">
      <c r="B155" s="215">
        <v>115.0</v>
      </c>
      <c r="C155" s="216">
        <v>115000.0</v>
      </c>
      <c r="D155" s="69">
        <v>124683.0</v>
      </c>
      <c r="E155" s="70">
        <v>135541.0</v>
      </c>
    </row>
    <row r="156" ht="15.75" customHeight="1">
      <c r="B156" s="215">
        <v>116.0</v>
      </c>
      <c r="C156" s="216">
        <v>116000.0</v>
      </c>
      <c r="D156" s="69">
        <v>125766.0</v>
      </c>
      <c r="E156" s="70">
        <v>136633.0</v>
      </c>
    </row>
    <row r="157" ht="15.75" customHeight="1">
      <c r="B157" s="215">
        <v>117.0</v>
      </c>
      <c r="C157" s="216">
        <v>117000.0</v>
      </c>
      <c r="D157" s="69">
        <v>126850.0</v>
      </c>
      <c r="E157" s="70">
        <v>137726.0</v>
      </c>
    </row>
    <row r="158" ht="15.75" customHeight="1">
      <c r="B158" s="215">
        <v>118.0</v>
      </c>
      <c r="C158" s="216">
        <v>118000.0</v>
      </c>
      <c r="D158" s="69">
        <v>127934.0</v>
      </c>
      <c r="E158" s="70">
        <v>138818.0</v>
      </c>
    </row>
    <row r="159" ht="15.75" customHeight="1">
      <c r="B159" s="215">
        <v>119.0</v>
      </c>
      <c r="C159" s="216">
        <v>119000.0</v>
      </c>
      <c r="D159" s="69">
        <v>129017.0</v>
      </c>
      <c r="E159" s="70">
        <v>139911.0</v>
      </c>
    </row>
    <row r="160" ht="15.75" customHeight="1">
      <c r="B160" s="215">
        <v>120.0</v>
      </c>
      <c r="C160" s="216">
        <v>120000.0</v>
      </c>
      <c r="D160" s="69">
        <v>130101.0</v>
      </c>
      <c r="E160" s="70">
        <v>141003.0</v>
      </c>
    </row>
    <row r="161" ht="15.75" customHeight="1">
      <c r="B161" s="215">
        <v>121.0</v>
      </c>
      <c r="C161" s="216">
        <v>121000.0</v>
      </c>
      <c r="D161" s="69">
        <v>131184.0</v>
      </c>
      <c r="E161" s="70">
        <v>142096.0</v>
      </c>
    </row>
    <row r="162" ht="15.75" customHeight="1">
      <c r="B162" s="215">
        <v>122.0</v>
      </c>
      <c r="C162" s="216">
        <v>122000.0</v>
      </c>
      <c r="D162" s="69">
        <v>132269.0</v>
      </c>
      <c r="E162" s="70">
        <v>143188.0</v>
      </c>
    </row>
    <row r="163" ht="15.75" customHeight="1">
      <c r="B163" s="215">
        <v>123.0</v>
      </c>
      <c r="C163" s="216">
        <v>123000.0</v>
      </c>
      <c r="D163" s="69">
        <v>133353.0</v>
      </c>
      <c r="E163" s="70">
        <v>144281.0</v>
      </c>
    </row>
    <row r="164" ht="15.75" customHeight="1">
      <c r="B164" s="215">
        <v>124.0</v>
      </c>
      <c r="C164" s="216">
        <v>124000.0</v>
      </c>
      <c r="D164" s="69">
        <v>134436.0</v>
      </c>
      <c r="E164" s="70">
        <v>145373.0</v>
      </c>
    </row>
    <row r="165" ht="15.75" customHeight="1">
      <c r="B165" s="215">
        <v>125.0</v>
      </c>
      <c r="C165" s="216">
        <v>125000.0</v>
      </c>
      <c r="D165" s="69">
        <v>135520.0</v>
      </c>
      <c r="E165" s="70">
        <v>146466.0</v>
      </c>
    </row>
    <row r="166" ht="15.75" customHeight="1">
      <c r="B166" s="215">
        <v>126.0</v>
      </c>
      <c r="C166" s="216">
        <v>126000.0</v>
      </c>
      <c r="D166" s="69">
        <v>136603.0</v>
      </c>
      <c r="E166" s="70">
        <v>147558.0</v>
      </c>
    </row>
    <row r="167" ht="15.75" customHeight="1">
      <c r="B167" s="215">
        <v>127.0</v>
      </c>
      <c r="C167" s="216">
        <v>127000.0</v>
      </c>
      <c r="D167" s="69">
        <v>137687.0</v>
      </c>
      <c r="E167" s="70">
        <v>148651.0</v>
      </c>
    </row>
    <row r="168" ht="15.75" customHeight="1">
      <c r="B168" s="215">
        <v>128.0</v>
      </c>
      <c r="C168" s="216">
        <v>128000.0</v>
      </c>
      <c r="D168" s="69">
        <v>138771.0</v>
      </c>
      <c r="E168" s="70">
        <v>149743.0</v>
      </c>
    </row>
    <row r="169" ht="15.75" customHeight="1">
      <c r="B169" s="215">
        <v>129.0</v>
      </c>
      <c r="C169" s="216">
        <v>129000.0</v>
      </c>
      <c r="D169" s="69">
        <v>139854.0</v>
      </c>
      <c r="E169" s="70">
        <v>150836.0</v>
      </c>
    </row>
    <row r="170" ht="15.75" customHeight="1">
      <c r="B170" s="215">
        <v>130.0</v>
      </c>
      <c r="C170" s="216">
        <v>130000.0</v>
      </c>
      <c r="D170" s="69">
        <v>140938.0</v>
      </c>
      <c r="E170" s="70">
        <v>151928.0</v>
      </c>
    </row>
    <row r="171" ht="15.75" customHeight="1">
      <c r="B171" s="215">
        <v>131.0</v>
      </c>
      <c r="C171" s="216">
        <v>131000.0</v>
      </c>
      <c r="D171" s="69">
        <v>142021.0</v>
      </c>
      <c r="E171" s="70">
        <v>153021.0</v>
      </c>
    </row>
    <row r="172" ht="15.75" customHeight="1">
      <c r="B172" s="215">
        <v>132.0</v>
      </c>
      <c r="C172" s="216">
        <v>132000.0</v>
      </c>
      <c r="D172" s="69">
        <v>143105.0</v>
      </c>
      <c r="E172" s="70">
        <v>154113.0</v>
      </c>
    </row>
    <row r="173" ht="15.75" customHeight="1">
      <c r="B173" s="215">
        <v>133.0</v>
      </c>
      <c r="C173" s="216">
        <v>133000.0</v>
      </c>
      <c r="D173" s="69">
        <v>144189.0</v>
      </c>
      <c r="E173" s="70">
        <v>155206.0</v>
      </c>
    </row>
    <row r="174" ht="15.75" customHeight="1">
      <c r="B174" s="215">
        <v>134.0</v>
      </c>
      <c r="C174" s="216">
        <v>134000.0</v>
      </c>
      <c r="D174" s="69">
        <v>145272.0</v>
      </c>
      <c r="E174" s="70">
        <v>156298.0</v>
      </c>
    </row>
    <row r="175" ht="15.75" customHeight="1">
      <c r="B175" s="215">
        <v>135.0</v>
      </c>
      <c r="C175" s="216">
        <v>135000.0</v>
      </c>
      <c r="D175" s="69">
        <v>146357.0</v>
      </c>
      <c r="E175" s="70">
        <v>157391.0</v>
      </c>
    </row>
    <row r="176" ht="15.75" customHeight="1">
      <c r="B176" s="215">
        <v>136.0</v>
      </c>
      <c r="C176" s="216">
        <v>136000.0</v>
      </c>
      <c r="D176" s="69">
        <v>147440.0</v>
      </c>
      <c r="E176" s="70">
        <v>158483.0</v>
      </c>
    </row>
    <row r="177" ht="15.75" customHeight="1">
      <c r="B177" s="215">
        <v>137.0</v>
      </c>
      <c r="C177" s="216">
        <v>137000.0</v>
      </c>
      <c r="D177" s="69">
        <v>148524.0</v>
      </c>
      <c r="E177" s="70">
        <v>159576.0</v>
      </c>
    </row>
    <row r="178" ht="15.75" customHeight="1">
      <c r="B178" s="215">
        <v>138.0</v>
      </c>
      <c r="C178" s="216">
        <v>138000.0</v>
      </c>
      <c r="D178" s="69">
        <v>149608.0</v>
      </c>
      <c r="E178" s="70">
        <v>160669.0</v>
      </c>
    </row>
    <row r="179" ht="15.75" customHeight="1">
      <c r="B179" s="215">
        <v>139.0</v>
      </c>
      <c r="C179" s="216">
        <v>139000.0</v>
      </c>
      <c r="D179" s="69">
        <v>150691.0</v>
      </c>
      <c r="E179" s="70">
        <v>161761.0</v>
      </c>
    </row>
    <row r="180" ht="15.75" customHeight="1">
      <c r="B180" s="215">
        <v>140.0</v>
      </c>
      <c r="C180" s="216">
        <v>140000.0</v>
      </c>
      <c r="D180" s="69">
        <v>151775.0</v>
      </c>
      <c r="E180" s="70">
        <v>162854.0</v>
      </c>
    </row>
    <row r="181" ht="15.75" customHeight="1">
      <c r="B181" s="215">
        <v>141.0</v>
      </c>
      <c r="C181" s="216">
        <v>141000.0</v>
      </c>
      <c r="D181" s="69">
        <v>152858.0</v>
      </c>
      <c r="E181" s="70">
        <v>163946.0</v>
      </c>
    </row>
    <row r="182" ht="15.75" customHeight="1">
      <c r="B182" s="215">
        <v>142.0</v>
      </c>
      <c r="C182" s="216">
        <v>142000.0</v>
      </c>
      <c r="D182" s="69">
        <v>153942.0</v>
      </c>
      <c r="E182" s="70">
        <v>165039.0</v>
      </c>
    </row>
    <row r="183" ht="15.75" customHeight="1">
      <c r="B183" s="215">
        <v>143.0</v>
      </c>
      <c r="C183" s="216">
        <v>143000.0</v>
      </c>
      <c r="D183" s="69">
        <v>155026.0</v>
      </c>
      <c r="E183" s="70">
        <v>166131.0</v>
      </c>
    </row>
    <row r="184" ht="15.75" customHeight="1">
      <c r="B184" s="215">
        <v>144.0</v>
      </c>
      <c r="C184" s="216">
        <v>144000.0</v>
      </c>
      <c r="D184" s="69">
        <v>156109.0</v>
      </c>
      <c r="E184" s="70">
        <v>167224.0</v>
      </c>
    </row>
    <row r="185" ht="15.75" customHeight="1">
      <c r="B185" s="215">
        <v>145.0</v>
      </c>
      <c r="C185" s="216">
        <v>145000.0</v>
      </c>
      <c r="D185" s="69">
        <v>157193.0</v>
      </c>
      <c r="E185" s="70">
        <v>168316.0</v>
      </c>
    </row>
    <row r="186" ht="15.75" customHeight="1">
      <c r="B186" s="215">
        <v>146.0</v>
      </c>
      <c r="C186" s="216">
        <v>146000.0</v>
      </c>
      <c r="D186" s="69">
        <v>158276.0</v>
      </c>
      <c r="E186" s="70">
        <v>169409.0</v>
      </c>
    </row>
    <row r="187" ht="15.75" customHeight="1">
      <c r="B187" s="215">
        <v>147.0</v>
      </c>
      <c r="C187" s="216">
        <v>147000.0</v>
      </c>
      <c r="D187" s="69">
        <v>159360.0</v>
      </c>
      <c r="E187" s="70">
        <v>170501.0</v>
      </c>
    </row>
    <row r="188" ht="15.75" customHeight="1">
      <c r="B188" s="215">
        <v>148.0</v>
      </c>
      <c r="C188" s="216">
        <v>148000.0</v>
      </c>
      <c r="D188" s="69">
        <v>160445.0</v>
      </c>
      <c r="E188" s="70">
        <v>171594.0</v>
      </c>
    </row>
    <row r="189" ht="15.75" customHeight="1">
      <c r="B189" s="215">
        <v>149.0</v>
      </c>
      <c r="C189" s="216">
        <v>149000.0</v>
      </c>
      <c r="D189" s="69">
        <v>161528.0</v>
      </c>
      <c r="E189" s="70">
        <v>172686.0</v>
      </c>
    </row>
    <row r="190" ht="15.75" customHeight="1">
      <c r="B190" s="215">
        <v>150.0</v>
      </c>
      <c r="C190" s="216">
        <v>150000.0</v>
      </c>
      <c r="D190" s="69">
        <v>162612.0</v>
      </c>
      <c r="E190" s="70">
        <v>173779.0</v>
      </c>
    </row>
    <row r="191" ht="15.75" customHeight="1">
      <c r="B191" s="215">
        <v>151.0</v>
      </c>
      <c r="C191" s="216">
        <v>151000.0</v>
      </c>
      <c r="D191" s="69">
        <v>163695.0</v>
      </c>
      <c r="E191" s="70">
        <v>174870.0</v>
      </c>
    </row>
    <row r="192" ht="15.75" customHeight="1">
      <c r="B192" s="215">
        <v>152.0</v>
      </c>
      <c r="C192" s="216">
        <v>152000.0</v>
      </c>
      <c r="D192" s="69">
        <v>164779.0</v>
      </c>
      <c r="E192" s="70">
        <v>175963.0</v>
      </c>
    </row>
    <row r="193" ht="15.75" customHeight="1">
      <c r="B193" s="215">
        <v>153.0</v>
      </c>
      <c r="C193" s="216">
        <v>153000.0</v>
      </c>
      <c r="D193" s="69">
        <v>165863.0</v>
      </c>
      <c r="E193" s="70">
        <v>177055.0</v>
      </c>
    </row>
    <row r="194" ht="15.75" customHeight="1">
      <c r="B194" s="215">
        <v>154.0</v>
      </c>
      <c r="C194" s="216">
        <v>154000.0</v>
      </c>
      <c r="D194" s="69">
        <v>166946.0</v>
      </c>
      <c r="E194" s="70">
        <v>178148.0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5:L15"/>
    <mergeCell ref="B16:O16"/>
    <mergeCell ref="B17:D17"/>
    <mergeCell ref="B20:D20"/>
  </mergeCells>
  <dataValidations>
    <dataValidation type="list" allowBlank="1" sqref="I3:J3">
      <formula1>"0,1"</formula1>
    </dataValidation>
    <dataValidation type="decimal" operator="greaterThan" allowBlank="1" showDropDown="1" showErrorMessage="1" sqref="G3">
      <formula1>-10000.0</formula1>
    </dataValidation>
    <dataValidation type="decimal" allowBlank="1" showDropDown="1" showErrorMessage="1" sqref="D3:E3">
      <formula1>0.0</formula1>
      <formula2>1.0</formula2>
    </dataValidation>
  </dataValidations>
  <hyperlinks>
    <hyperlink r:id="rId1" ref="D2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71"/>
    <col customWidth="1" min="2" max="15" width="17.57"/>
    <col customWidth="1" min="16" max="26" width="8.71"/>
  </cols>
  <sheetData>
    <row r="1">
      <c r="A1" s="117"/>
      <c r="B1" s="119" t="s">
        <v>2283</v>
      </c>
      <c r="C1" s="120" t="s">
        <v>2286</v>
      </c>
      <c r="D1" s="121"/>
      <c r="E1" s="121"/>
      <c r="F1" s="121"/>
      <c r="G1" s="121"/>
      <c r="H1" s="121"/>
      <c r="I1" s="121"/>
      <c r="J1" s="122"/>
      <c r="K1" s="121"/>
      <c r="L1" s="123"/>
      <c r="M1" s="123"/>
      <c r="N1" s="123"/>
      <c r="O1" s="123"/>
      <c r="P1" s="99" t="s">
        <v>2295</v>
      </c>
      <c r="Q1" s="99" t="str">
        <f t="array" ref="Q1">INDEX('設定'!G50:G76,MATCH('設定'!B27,'設定'!F50:F76,0))</f>
        <v>IT</v>
      </c>
    </row>
    <row r="2">
      <c r="A2" s="129"/>
      <c r="B2" s="131">
        <f>'設定'!B4</f>
        <v>158.158</v>
      </c>
      <c r="C2" s="134">
        <f>'計算式'!T4</f>
        <v>0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99" t="s">
        <v>2335</v>
      </c>
      <c r="Q2" s="99" t="str">
        <f t="array" ref="Q2">INDEX('設定'!H50:H76,MATCH('設定'!B27,'設定'!F50:F76,0))</f>
        <v>M</v>
      </c>
    </row>
    <row r="3" ht="30.0" customHeight="1">
      <c r="A3" s="136"/>
      <c r="B3" s="138" t="s">
        <v>2362</v>
      </c>
      <c r="C3" s="138" t="s">
        <v>2365</v>
      </c>
      <c r="D3" s="138" t="s">
        <v>2367</v>
      </c>
      <c r="E3" s="138" t="s">
        <v>2370</v>
      </c>
      <c r="F3" s="138" t="s">
        <v>2372</v>
      </c>
      <c r="G3" s="139" t="s">
        <v>2374</v>
      </c>
      <c r="H3" s="139" t="s">
        <v>2376</v>
      </c>
      <c r="I3" s="139" t="s">
        <v>2377</v>
      </c>
      <c r="J3" s="139" t="s">
        <v>2379</v>
      </c>
      <c r="K3" s="139" t="s">
        <v>2381</v>
      </c>
      <c r="L3" s="139" t="s">
        <v>2383</v>
      </c>
      <c r="M3" s="141"/>
      <c r="N3" s="141"/>
      <c r="O3" s="141"/>
      <c r="P3" s="99" t="s">
        <v>2386</v>
      </c>
      <c r="Q3" s="99" t="str">
        <f>IF('設定'!B51="自動",IF(C4/B2&gt;2500,"正式","簡易"),'設定'!B51)</f>
        <v>簡易</v>
      </c>
    </row>
    <row r="4">
      <c r="A4" s="136"/>
      <c r="B4" s="146">
        <f>IF(ISNUMBER('計算式'!B2),'計算式'!B2,"")</f>
        <v>82.98</v>
      </c>
      <c r="C4" s="149">
        <f>IF(ISNUMBER('計算式'!L2),'計算式'!L2,"")</f>
        <v>5800</v>
      </c>
      <c r="D4" s="150">
        <f>'計算式'!V2</f>
        <v>1500</v>
      </c>
      <c r="E4" s="155">
        <f t="array" ref="E4">IF(COUNTIF('カテゴリー手数料一覧'!$B$1:$U$1,1)=0,"カテゴリ未登録",INDEX('カテゴリー手数料一覧'!$B$2:$U$2,1,MATCH(1,'カテゴリー手数料一覧'!$B$1:$U$1,0)))</f>
        <v>0.127</v>
      </c>
      <c r="F4" s="159" t="str">
        <f>TRIM('計算式'!AF2)</f>
        <v>69528</v>
      </c>
      <c r="G4" s="161">
        <f>'設定'!B5</f>
        <v>0.0135</v>
      </c>
      <c r="H4" s="162">
        <f>'設定'!B6</f>
        <v>0.025</v>
      </c>
      <c r="I4" s="161">
        <f>'設定'!B7</f>
        <v>0</v>
      </c>
      <c r="J4" s="164" t="str">
        <f>'設定'!B8</f>
        <v>On</v>
      </c>
      <c r="K4" s="162">
        <f>'設定'!B9</f>
        <v>0.1</v>
      </c>
      <c r="L4" s="165">
        <f>'設定'!B10</f>
        <v>0.125</v>
      </c>
      <c r="M4" s="166"/>
      <c r="N4" s="166"/>
      <c r="O4" s="166"/>
      <c r="P4" s="99" t="s">
        <v>2528</v>
      </c>
      <c r="Q4" s="99">
        <f>C4/'設定'!B42</f>
        <v>32.79337348</v>
      </c>
    </row>
    <row r="5">
      <c r="A5" s="129"/>
      <c r="B5" s="123"/>
      <c r="C5" s="166"/>
      <c r="D5" s="166"/>
      <c r="E5" s="123"/>
      <c r="F5" s="123"/>
      <c r="G5" s="123"/>
      <c r="H5" s="123"/>
      <c r="I5" s="123"/>
      <c r="J5" s="123"/>
      <c r="K5" s="123"/>
      <c r="L5" s="167"/>
      <c r="M5" s="121"/>
      <c r="N5" s="121"/>
      <c r="O5" s="121"/>
      <c r="P5" s="99" t="s">
        <v>2546</v>
      </c>
      <c r="Q5" s="99">
        <f>IF(ISNUMBER('設定'!B50),'設定'!B50,IF(Q4&gt;150,"EU関税額を入力",ROUND('設定'!B28*'設定'!B45,0)))</f>
        <v>555</v>
      </c>
    </row>
    <row r="6">
      <c r="A6" s="136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2"/>
      <c r="M6" s="167"/>
      <c r="N6" s="167"/>
      <c r="O6" s="123"/>
      <c r="P6" s="99" t="s">
        <v>2563</v>
      </c>
      <c r="Q6" s="99">
        <f>IF(ISNUMBER('設定'!B47),'設定'!B47,ROUND(C4*L4,0))</f>
        <v>725</v>
      </c>
    </row>
    <row r="7" ht="30.0" customHeight="1">
      <c r="A7" s="136"/>
      <c r="B7" s="138" t="s">
        <v>2571</v>
      </c>
      <c r="C7" s="168" t="s">
        <v>2573</v>
      </c>
      <c r="D7" s="138" t="s">
        <v>2575</v>
      </c>
      <c r="E7" s="138" t="s">
        <v>2576</v>
      </c>
      <c r="F7" s="138" t="s">
        <v>2577</v>
      </c>
      <c r="G7" s="138" t="s">
        <v>2579</v>
      </c>
      <c r="H7" s="141" t="s">
        <v>2581</v>
      </c>
      <c r="I7" s="139" t="s">
        <v>2582</v>
      </c>
      <c r="J7" s="139" t="s">
        <v>2583</v>
      </c>
      <c r="K7" s="139" t="s">
        <v>2584</v>
      </c>
      <c r="L7" s="139" t="s">
        <v>2586</v>
      </c>
      <c r="M7" s="169"/>
      <c r="N7" s="169"/>
      <c r="O7" s="170"/>
      <c r="P7" s="99" t="s">
        <v>2589</v>
      </c>
      <c r="Q7" s="99">
        <f>IF(ISNUMBER('設定'!B57),'設定'!B57,ROUND(C4*L4,0))</f>
        <v>725</v>
      </c>
    </row>
    <row r="8">
      <c r="A8" s="136"/>
      <c r="B8" s="174">
        <f>MAX(D4,F8)</f>
        <v>1500</v>
      </c>
      <c r="C8" s="177">
        <f>'計算式'!B4</f>
        <v>20</v>
      </c>
      <c r="D8" s="177">
        <f>'計算式'!H4</f>
        <v>20</v>
      </c>
      <c r="E8" s="177">
        <f>'計算式'!N4</f>
        <v>20</v>
      </c>
      <c r="F8" s="174">
        <f>PRODUCT(C8:E8)/'設定'!B20*1000</f>
        <v>1000</v>
      </c>
      <c r="G8" s="185">
        <f>PRODUCT(C8:E8)/'設定'!B21*1000</f>
        <v>1600</v>
      </c>
      <c r="H8" s="123">
        <f>MAX(ROUNDUP(D4,0),ROUNDUP(ROUNDUP(C8,0)*ROUNDUP(D8,0)*ROUNDUP(E8,0)/'設定'!B21*1000,0),IF(OR(MAX(ROUNDUP(C8,0),ROUNDUP(D8,0),ROUNDUP(E8,0))&gt;121,SUM(ROUNDUP(C8,0),ROUNDUP(D8,0),ROUNDUP(E8,0))-MAX(ROUNDUP(C8,0),ROUNDUP(D8,0),ROUNDUP(E8,0))-MIN(ROUNDUP(C8,0),ROUNDUP(D8,0),ROUNDUP(E8,0))&gt;76,2*SUM(ROUNDUP(C8,0),ROUNDUP(D8,0),ROUNDUP(E8,0))-MAX(ROUNDUP(C8,0),ROUNDUP(D8,0),ROUNDUP(E8,0))&gt;266,ROUNDUP(C8,0)*ROUNDUP(D8,0)*ROUNDUP(E8,0)&gt;169901),18000,0),'FedEx 送料'!P12)</f>
        <v>1600</v>
      </c>
      <c r="I8" s="193">
        <f>IF(ISNUMBER(I16),Q6+ROUND(Q6*'設定'!B16,0)+'設定'!B17,I16)</f>
        <v>985</v>
      </c>
      <c r="J8" s="193">
        <f>Q19</f>
        <v>1187</v>
      </c>
      <c r="K8" s="193">
        <f>Q18</f>
        <v>1068</v>
      </c>
      <c r="L8" s="194">
        <f>Q12</f>
        <v>438</v>
      </c>
      <c r="M8" s="195"/>
      <c r="N8" s="196"/>
      <c r="O8" s="123"/>
      <c r="P8" s="99" t="s">
        <v>2731</v>
      </c>
      <c r="Q8" s="99">
        <f>IF(ISNUMBER('設定'!B58),'設定'!B58,ROUND(C4*L4,0))</f>
        <v>725</v>
      </c>
    </row>
    <row r="9">
      <c r="A9" s="136"/>
      <c r="B9" s="123"/>
      <c r="C9" s="123"/>
      <c r="D9" s="123"/>
      <c r="E9" s="166"/>
      <c r="F9" s="123"/>
      <c r="G9" s="123"/>
      <c r="H9" s="123">
        <f>ROUNDUP(MAX(D4,G8),0)</f>
        <v>1600</v>
      </c>
      <c r="I9" s="123"/>
      <c r="J9" s="166"/>
      <c r="K9" s="123"/>
      <c r="L9" s="123"/>
      <c r="M9" s="195"/>
      <c r="N9" s="196"/>
      <c r="O9" s="123"/>
      <c r="P9" s="99" t="s">
        <v>2756</v>
      </c>
      <c r="Q9" s="99">
        <f t="shared" ref="Q9:Q10" si="1">IF(H8&lt;=20000,CEILING(H8,500),CEILING(H8,1000))</f>
        <v>2000</v>
      </c>
    </row>
    <row r="10">
      <c r="A10" s="136"/>
      <c r="B10" s="123"/>
      <c r="C10" s="123"/>
      <c r="D10" s="123"/>
      <c r="E10" s="123"/>
      <c r="F10" s="123"/>
      <c r="G10" s="123"/>
      <c r="H10" s="123"/>
      <c r="I10" s="167"/>
      <c r="J10" s="123"/>
      <c r="K10" s="123"/>
      <c r="L10" s="167"/>
      <c r="M10" s="201"/>
      <c r="N10" s="201"/>
      <c r="O10" s="123"/>
      <c r="P10" s="99" t="s">
        <v>2768</v>
      </c>
      <c r="Q10" s="99">
        <f t="shared" si="1"/>
        <v>2000</v>
      </c>
    </row>
    <row r="11">
      <c r="A11" s="136"/>
      <c r="B11" s="123"/>
      <c r="C11" s="123"/>
      <c r="D11" s="123"/>
      <c r="E11" s="123"/>
      <c r="F11" s="123"/>
      <c r="G11" s="123"/>
      <c r="H11" s="123"/>
      <c r="I11" s="202"/>
      <c r="J11" s="202"/>
      <c r="K11" s="202"/>
      <c r="L11" s="203"/>
      <c r="M11" s="201" t="s">
        <v>2774</v>
      </c>
      <c r="N11" s="201"/>
      <c r="O11" s="123"/>
      <c r="P11" s="99" t="s">
        <v>2775</v>
      </c>
      <c r="Q11" s="99">
        <f>ROUNDUP(B8,0)</f>
        <v>1500</v>
      </c>
    </row>
    <row r="12" ht="30.0" customHeight="1">
      <c r="A12" s="136"/>
      <c r="B12" s="204" t="s">
        <v>2782</v>
      </c>
      <c r="C12" s="204" t="s">
        <v>2784</v>
      </c>
      <c r="D12" s="204" t="s">
        <v>2786</v>
      </c>
      <c r="E12" s="205" t="s">
        <v>2788</v>
      </c>
      <c r="F12" s="204" t="s">
        <v>32</v>
      </c>
      <c r="G12" s="204" t="s">
        <v>4</v>
      </c>
      <c r="H12" s="141"/>
      <c r="I12" s="206" t="s">
        <v>2792</v>
      </c>
      <c r="J12" s="207" t="s">
        <v>2794</v>
      </c>
      <c r="K12" s="208" t="s">
        <v>2192</v>
      </c>
      <c r="L12" s="209"/>
      <c r="M12" s="210" t="s">
        <v>2792</v>
      </c>
      <c r="N12" s="168"/>
      <c r="O12" s="168"/>
      <c r="P12" s="99" t="s">
        <v>2800</v>
      </c>
      <c r="Q12" s="99">
        <f>ROUND(IF(Q3="正式",MIN('設定'!B54,MAX('設定'!B53,C4/B2*'設定'!B52)),'設定'!B11)*B2,0)</f>
        <v>438</v>
      </c>
    </row>
    <row r="13">
      <c r="A13" s="136"/>
      <c r="B13" s="211" t="s">
        <v>37</v>
      </c>
      <c r="C13" s="214">
        <f>IF(ISNUMBER(C16),IF(ISNUMBER(B20),B20-C4-C16,B20),C16)</f>
        <v>1032.218451</v>
      </c>
      <c r="D13" s="214">
        <f>IF(ISNUMBER(D16),IF(ISNUMBER(B20),B20-C4-D16,B20),D16)</f>
        <v>1698.218451</v>
      </c>
      <c r="E13" s="214">
        <f>IF(ISNUMBER(E16),IF(ISNUMBER(B21),B21-C4-E16,B21),E16)</f>
        <v>-1125.840709</v>
      </c>
      <c r="F13" s="214">
        <f>IF(ISNUMBER(F16),IF(ISNUMBER(B21),B21-C4-F16,B21),F16)</f>
        <v>1016.159291</v>
      </c>
      <c r="G13" s="214">
        <f>IF(ISNUMBER(G16),IF(ISNUMBER(B21),B21-C4-G16,B21),G16)</f>
        <v>-99.84070876</v>
      </c>
      <c r="H13" s="123"/>
      <c r="I13" s="217">
        <f>IF(ISNUMBER(M13),IF(ISNUMBER(B20),B20-C4-M13,B20),M13)</f>
        <v>-347.7815492</v>
      </c>
      <c r="J13" s="218">
        <f>IF(ISNUMBER(J16),IF(ISNUMBER(B20),B20-C4-J16-Q19,B20),J16)</f>
        <v>-1790.781549</v>
      </c>
      <c r="K13" s="219">
        <f>IF(ISNUMBER(K16),IF(ISNUMBER(B20),B20-C4-K16-Q20,B20),K16)</f>
        <v>-2071.781549</v>
      </c>
      <c r="L13" s="220"/>
      <c r="M13" s="221">
        <f>'エコノミー送料'!G6</f>
        <v>5106</v>
      </c>
      <c r="N13" s="194"/>
      <c r="O13" s="194"/>
      <c r="P13" s="99" t="s">
        <v>2888</v>
      </c>
      <c r="Q13" s="99">
        <f>IF(AND(Q3="簡易",'DHL　送料'!I3=1),ROUND('設定'!B55*B2,0),0)</f>
        <v>218</v>
      </c>
    </row>
    <row r="14">
      <c r="A14" s="136"/>
      <c r="B14" s="194" t="s">
        <v>40</v>
      </c>
      <c r="C14" s="214">
        <f>IF(ISNUMBER(C13),C13+B22,C13)</f>
        <v>1559.491178</v>
      </c>
      <c r="D14" s="214">
        <f>IF(ISNUMBER(D13),D13+B22,D13)</f>
        <v>2225.491178</v>
      </c>
      <c r="E14" s="214">
        <f>IF(ISNUMBER(E13),E13+B22,E13)</f>
        <v>-598.5679815</v>
      </c>
      <c r="F14" s="214">
        <f>IF(ISNUMBER(F13),F13+B22,F13)</f>
        <v>1543.432019</v>
      </c>
      <c r="G14" s="214">
        <f>IF(ISNUMBER(G13),G13+B22,G13)</f>
        <v>427.4320185</v>
      </c>
      <c r="H14" s="166"/>
      <c r="I14" s="214">
        <f>IF(ISNUMBER(I13),I13+B22,I13)</f>
        <v>179.4911781</v>
      </c>
      <c r="J14" s="214">
        <f>IF(ISNUMBER(J13),J13+B22,J13)</f>
        <v>-1263.508822</v>
      </c>
      <c r="K14" s="214">
        <f>IF(ISNUMBER(K13),K13+B22,K13)</f>
        <v>-1544.508822</v>
      </c>
      <c r="L14" s="166"/>
      <c r="M14" s="123"/>
      <c r="N14" s="123"/>
      <c r="O14" s="123"/>
      <c r="P14" s="99" t="s">
        <v>2943</v>
      </c>
      <c r="Q14" s="99">
        <f>IF(Q3="正式",ROUND(MIN('設定'!B54,MAX('設定'!B53,C4/B2*'設定'!B52))*B2,0),0)</f>
        <v>0</v>
      </c>
    </row>
    <row r="15" ht="30.0" customHeight="1">
      <c r="A15" s="136"/>
      <c r="B15" s="222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210" t="s">
        <v>2961</v>
      </c>
      <c r="N15" s="168" t="s">
        <v>2962</v>
      </c>
      <c r="O15" s="141" t="s">
        <v>2963</v>
      </c>
      <c r="P15" s="99" t="s">
        <v>2965</v>
      </c>
      <c r="Q15" s="99">
        <f>IF(AND('DHL　送料'!J3=1,Q8&gt;0),ROUND(MAX(Q8*'設定'!B59,'設定'!B60),0),0)</f>
        <v>850</v>
      </c>
    </row>
    <row r="16">
      <c r="A16" s="136"/>
      <c r="B16" s="223" t="s">
        <v>2286</v>
      </c>
      <c r="C16" s="214">
        <f t="array" ref="C16">IF(D4&lt;=0,"重量未入力",IF(D4&gt;MAX('送料'!$I$2:$I$21),"発送不可",INDEX('送料'!$J$2:$J$21,COUNTIF('送料'!$I$2:$I$21,"&lt;"&amp;D4)+1)*(1-K4)))</f>
        <v>3726</v>
      </c>
      <c r="D16" s="224">
        <f t="array" ref="D16">IF(D4&lt;=0,"重量未入力",IF(D4&gt;MAX('送料'!$B$2:$B$21),"発送不可",INDEX('送料'!$C$2:$C$21,COUNTIF('送料'!$B$2:$B$21,"&lt;"&amp;D4)+1)*(1-K4)))</f>
        <v>3060</v>
      </c>
      <c r="E16" s="214">
        <f t="array" ref="E16">IF(D4&lt;=0,"重量未入力",IF(D4&gt;MAX('送料'!$B$23:$B$64),"発送不可",INDEX('送料'!$C$23:$C$64,COUNTIF('送料'!$B$23:$B$64,"&lt;"&amp;D4)+1)*(1-K4)))</f>
        <v>5940</v>
      </c>
      <c r="F16" s="214">
        <f t="array" ref="F16">IF(D4&lt;=0,"重量未入力",IF(D4&gt;MAX('送料'!$B$66:$B$89),"発送不可",INDEX('送料'!$C$66:$C$89,COUNTIF('送料'!$B$66:$B$89,"&lt;"&amp;D4)+1)*(1-K4)))</f>
        <v>3798</v>
      </c>
      <c r="G16" s="214">
        <f t="array" ref="G16">IF(D4&lt;=0,"重量未入力",IF(D4&gt;MAX('送料'!$L$2:$L$7),"発送不可",INDEX('送料'!$M$2:$M$7,COUNTIF('送料'!$L$2:$L$7,"&lt;"&amp;D4)+1)*(1-K4)))</f>
        <v>4914</v>
      </c>
      <c r="H16" s="166"/>
      <c r="I16" s="225">
        <f t="array" ref="I16">IF(D4&lt;=0,"重量未入力",IF(MIN(C8:E8)&lt;=0,"サイズ未入力",IF(OR(MAX(C8:E8)&gt;66,2*SUM(C8:E8)-MAX(C8:E8)&gt;274,C4/B2&gt;1200),"発送不可",IF('エコノミー送料'!G2="本土48州以外",IF(Q11&gt;15000,"発送不可",INDEX('エコノミー送料'!D82:D127,COUNTIF('エコノミー送料'!C82:C127,"&lt;"&amp;Q11)+1)),IF(Q11&gt;25000,"発送不可",INDEX('エコノミー送料'!D10:D75,COUNTIF('エコノミー送料'!C10:C75,"&lt;"&amp;Q11)+1))))))</f>
        <v>3599</v>
      </c>
      <c r="J16" s="225">
        <f>'FedEx 送料'!B12</f>
        <v>5362</v>
      </c>
      <c r="K16" s="225">
        <f>'DHL　送料'!B12</f>
        <v>4999</v>
      </c>
      <c r="L16" s="166"/>
      <c r="M16" s="226">
        <f>IF(ISNUMBER(C13),C13-M21,C13)</f>
        <v>-335.5975492</v>
      </c>
      <c r="N16" s="225">
        <f>IF(ISNUMBER(C13),C13-(C4*L4*'設定'!B13+'設定'!B14*B2+'設定'!B15),C13)</f>
        <v>389.4024508</v>
      </c>
      <c r="O16" s="227">
        <f>IF(ISNUMBER(D13),IF(ISNUMBER(O21),D13-O21,O21),D13)</f>
        <v>349.6234508</v>
      </c>
      <c r="P16" s="99" t="s">
        <v>3093</v>
      </c>
      <c r="Q16" s="99">
        <f>IF(Q3="正式",'設定'!B56,0)</f>
        <v>0</v>
      </c>
    </row>
    <row r="17">
      <c r="A17" s="136"/>
      <c r="B17" s="123"/>
      <c r="C17" s="166"/>
      <c r="D17" s="166"/>
      <c r="E17" s="123"/>
      <c r="F17" s="123"/>
      <c r="G17" s="123"/>
      <c r="H17" s="123"/>
      <c r="I17" s="194" t="s">
        <v>3102</v>
      </c>
      <c r="J17" s="166"/>
      <c r="K17" s="123"/>
      <c r="L17" s="228"/>
      <c r="M17" s="123"/>
      <c r="N17" s="123" t="s">
        <v>3104</v>
      </c>
      <c r="O17" s="227"/>
      <c r="P17" s="99" t="s">
        <v>3105</v>
      </c>
      <c r="Q17" s="229">
        <f>Q12+'設定'!B48</f>
        <v>438</v>
      </c>
    </row>
    <row r="18">
      <c r="A18" s="136"/>
      <c r="B18" s="123"/>
      <c r="C18" s="123"/>
      <c r="D18" s="123"/>
      <c r="E18" s="123"/>
      <c r="F18" s="123"/>
      <c r="G18" s="123"/>
      <c r="H18" s="123"/>
      <c r="I18" s="174">
        <f>Q11</f>
        <v>1500</v>
      </c>
      <c r="J18" s="123"/>
      <c r="K18" s="123"/>
      <c r="L18" s="123"/>
      <c r="M18" s="123"/>
      <c r="N18" s="123"/>
      <c r="O18" s="227"/>
      <c r="P18" s="99" t="s">
        <v>3118</v>
      </c>
      <c r="Q18" s="229">
        <f>SUM(Q13:Q16)+'設定'!B49</f>
        <v>1068</v>
      </c>
    </row>
    <row r="19" ht="30.0" customHeight="1">
      <c r="A19" s="230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141" t="s">
        <v>40</v>
      </c>
      <c r="N19" s="141" t="s">
        <v>40</v>
      </c>
      <c r="O19" s="232" t="s">
        <v>3130</v>
      </c>
      <c r="P19" s="99" t="s">
        <v>3131</v>
      </c>
      <c r="Q19" s="229">
        <f>Q7+Q17+ROUND((Q7+Q17)*'設定'!B16,0)</f>
        <v>1187</v>
      </c>
    </row>
    <row r="20">
      <c r="A20" s="129" t="s">
        <v>3141</v>
      </c>
      <c r="B20" s="227">
        <f>IF(NOT(ISNUMBER(B4)),"販売価格未入力",IF(NOT(ISNUMBER(C4)),"仕入価格未入力",IF(B2&lt;=0,"為替未設定",IF(ISNUMBER(E4),(B4+C2)*B2*(1-(E4+G4+H4+I4+IF(J4="On",'設定'!B18,0))),E4))))</f>
        <v>10558.21845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233">
        <f>IF(ISNUMBER(M16),M16+B22,M16)</f>
        <v>191.6751781</v>
      </c>
      <c r="N20" s="233">
        <f>IF(ISNUMBER(N16),N16+B22,N16)</f>
        <v>916.6751781</v>
      </c>
      <c r="O20" s="227">
        <f>IF(ISNUMBER(O16),O16+B22,O16)</f>
        <v>876.8961781</v>
      </c>
      <c r="P20" s="99" t="s">
        <v>3187</v>
      </c>
      <c r="Q20" s="229">
        <f>Q8+Q18+ROUND((Q8+Q18)*'設定'!B16,0)</f>
        <v>1831</v>
      </c>
    </row>
    <row r="21" ht="15.75" customHeight="1">
      <c r="A21" s="129" t="s">
        <v>3195</v>
      </c>
      <c r="B21" s="227">
        <f>IF(NOT(ISNUMBER(B4)),"販売価格未入力",IF(NOT(ISNUMBER(C4)),"仕入価格未入力",IF(B2&lt;=0,"為替未設定",IF(ISNUMBER(E4),(B4+C2)*(1-(E4+G4+I4+IF(J4="On",'設定'!B18,0)))*(1-H4)*B2,E4))))</f>
        <v>10614.15929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233">
        <f>C4*L4*(1+'設定'!B13)+'設定'!B14*B2+'設定'!B15</f>
        <v>1367.816</v>
      </c>
      <c r="N21" s="233"/>
      <c r="O21" s="227">
        <f>IF(AND(ISNUMBER('設定'!B42),'設定'!B42&gt;0),IF(AND(ISNUMBER('設定'!B26),'設定'!B26&gt;=0,ISNUMBER('設定'!B43),'設定'!B43&gt;=0),'設定'!B26+'設定'!B43*'設定'!B42,"EU費用未設定"),"為替取得不可")</f>
        <v>1348.595</v>
      </c>
      <c r="P21" s="99" t="s">
        <v>3258</v>
      </c>
      <c r="Q21" s="229">
        <f>IF(ISNUMBER(Q5),Q5+'設定'!B46+ROUND((Q5+'設定'!B46)*'設定'!B16,0),Q5)</f>
        <v>567</v>
      </c>
    </row>
    <row r="22" ht="15.75" customHeight="1">
      <c r="A22" s="129" t="s">
        <v>3268</v>
      </c>
      <c r="B22" s="227">
        <f>IF(ISNUMBER(C4),C4/(1+'設定'!B19)*'設定'!B19,"仕入価格未入力")</f>
        <v>527.2727273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 t="s">
        <v>3279</v>
      </c>
      <c r="N22" s="123"/>
      <c r="O22" s="123" t="s">
        <v>3280</v>
      </c>
      <c r="P22" s="99" t="s">
        <v>3281</v>
      </c>
      <c r="Q22" s="234">
        <f>IF(ISNUMBER(Q5),Q5+'設定'!C30+ROUND((Q5+'設定'!C30)*'設定'!B16,0),Q5)</f>
        <v>567</v>
      </c>
    </row>
    <row r="23" ht="15.75" customHeight="1">
      <c r="A23" s="129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99" t="s">
        <v>3296</v>
      </c>
      <c r="Q23" s="99">
        <f>IF(ISNUMBER(Q5),IF(Q5&gt;0,ROUND(MAX(Q5*'設定'!B59,'設定'!B60),0),0),Q5)</f>
        <v>850</v>
      </c>
    </row>
    <row r="24" ht="15.75" customHeight="1">
      <c r="A24" s="129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99" t="s">
        <v>3309</v>
      </c>
      <c r="Q24" s="234">
        <f>IF(ISNUMBER(Q5),Q5+Q23+'設定'!C31+ROUND((Q5+Q23+'設定'!C31)*'設定'!B16,0),Q5)</f>
        <v>1435</v>
      </c>
    </row>
    <row r="25" ht="15.75" customHeight="1">
      <c r="P25" s="99" t="s">
        <v>3321</v>
      </c>
      <c r="Q25" s="235">
        <f>IF(ISNUMBER('エコノミー送料'!G5),IF(ISNUMBER(B20),B20-C4-'エコノミー送料'!G5,B20),'エコノミー送料'!G5)</f>
        <v>-1440.781549</v>
      </c>
    </row>
    <row r="26" ht="15.75" customHeight="1">
      <c r="P26" s="99" t="s">
        <v>3333</v>
      </c>
      <c r="Q26" s="235">
        <f>IF(ISNUMBER(Q25),Q25+B22,Q25)</f>
        <v>-913.5088219</v>
      </c>
    </row>
    <row r="27" ht="15.75" customHeight="1">
      <c r="P27" s="99" t="s">
        <v>3340</v>
      </c>
      <c r="Q27" s="235">
        <f>IF(ISNUMBER(IF(ISNUMBER('設定'!B30),'設定'!B30,'FedEx 送料'!M3)),IF(ISNUMBER(Q22),IF(ISNUMBER(B20),B20-C4-IF(ISNUMBER('設定'!B30),'設定'!B30,'FedEx 送料'!M3)-Q22,B20),Q22),'FedEx 送料'!M3)</f>
        <v>-892.7815492</v>
      </c>
    </row>
    <row r="28" ht="15.75" customHeight="1">
      <c r="P28" s="99" t="s">
        <v>3361</v>
      </c>
      <c r="Q28" s="235">
        <f>IF(ISNUMBER(Q27),Q27+B22,Q27)</f>
        <v>-365.5088219</v>
      </c>
    </row>
    <row r="29" ht="15.75" customHeight="1">
      <c r="P29" s="99" t="s">
        <v>3368</v>
      </c>
      <c r="Q29" s="235">
        <f>IF(ISNUMBER(IF(ISNUMBER('設定'!B31),'設定'!B31,'DHL　送料'!M6)),IF(ISNUMBER(Q24),IF(ISNUMBER(B20),B20-C4-IF(ISNUMBER('設定'!B31),'設定'!B31,'DHL　送料'!M6)-Q24,B20),Q24),'DHL　送料'!M6)</f>
        <v>-2209.781549</v>
      </c>
    </row>
    <row r="30" ht="15.75" customHeight="1">
      <c r="P30" s="99" t="s">
        <v>3387</v>
      </c>
      <c r="Q30" s="235">
        <f>IF(ISNUMBER(Q29),Q29+B22,Q29)</f>
        <v>-1682.508822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92B2"/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3" width="17.71"/>
    <col customWidth="1" min="4" max="4" width="70.0"/>
    <col customWidth="1" min="5" max="5" width="8.71"/>
    <col customWidth="1" min="6" max="6" width="18.0"/>
    <col customWidth="1" min="7" max="9" width="13.0"/>
    <col customWidth="1" min="10" max="26" width="8.71"/>
  </cols>
  <sheetData>
    <row r="1" ht="25.5" customHeight="1">
      <c r="A1" s="124"/>
      <c r="B1" s="124"/>
      <c r="C1" s="124"/>
      <c r="D1" s="124"/>
    </row>
    <row r="2" ht="25.5" customHeight="1">
      <c r="A2" s="126" t="s">
        <v>2298</v>
      </c>
      <c r="B2" s="126"/>
      <c r="C2" s="126"/>
      <c r="D2" s="126"/>
    </row>
    <row r="3" ht="25.5" customHeight="1">
      <c r="A3" s="124"/>
      <c r="B3" s="124"/>
      <c r="C3" s="124"/>
      <c r="D3" s="124"/>
    </row>
    <row r="4" ht="25.5" customHeight="1">
      <c r="A4" s="124" t="s">
        <v>25</v>
      </c>
      <c r="B4" s="127">
        <f>IFERROR(__xludf.DUMMYFUNCTION("IFERROR(GOOGLEFINANCE(""CURRENCY:USDJPY""),158.4355)"),158.15800000000002)</f>
        <v>158.158</v>
      </c>
      <c r="C4" s="124"/>
      <c r="D4" s="124" t="s">
        <v>2305</v>
      </c>
    </row>
    <row r="5" ht="25.5" customHeight="1">
      <c r="A5" s="124" t="s">
        <v>2307</v>
      </c>
      <c r="B5" s="128">
        <v>0.0135</v>
      </c>
      <c r="C5" s="124"/>
      <c r="D5" s="124" t="s">
        <v>2310</v>
      </c>
    </row>
    <row r="6" ht="25.5" customHeight="1">
      <c r="A6" s="124" t="s">
        <v>2311</v>
      </c>
      <c r="B6" s="130">
        <v>0.025</v>
      </c>
      <c r="C6" s="124"/>
      <c r="D6" s="124" t="s">
        <v>2310</v>
      </c>
    </row>
    <row r="7" ht="25.5" customHeight="1">
      <c r="A7" s="124" t="s">
        <v>2313</v>
      </c>
      <c r="B7" s="128">
        <v>0.0</v>
      </c>
      <c r="C7" s="124"/>
      <c r="D7" s="124" t="s">
        <v>2310</v>
      </c>
    </row>
    <row r="8" ht="25.5" customHeight="1">
      <c r="A8" s="124" t="s">
        <v>2315</v>
      </c>
      <c r="B8" s="132" t="s">
        <v>2318</v>
      </c>
      <c r="C8" s="124"/>
      <c r="D8" s="124" t="s">
        <v>2320</v>
      </c>
    </row>
    <row r="9" ht="25.5" customHeight="1">
      <c r="A9" s="124" t="s">
        <v>2322</v>
      </c>
      <c r="B9" s="128">
        <v>0.1</v>
      </c>
      <c r="C9" s="124"/>
      <c r="D9" s="124" t="s">
        <v>2323</v>
      </c>
    </row>
    <row r="10" ht="25.5" customHeight="1">
      <c r="A10" s="124" t="s">
        <v>2325</v>
      </c>
      <c r="B10" s="128">
        <v>0.125</v>
      </c>
      <c r="C10" s="124"/>
      <c r="D10" s="124" t="s">
        <v>2326</v>
      </c>
    </row>
    <row r="11" ht="25.5" customHeight="1">
      <c r="A11" s="124" t="s">
        <v>2327</v>
      </c>
      <c r="B11" s="133">
        <v>2.77</v>
      </c>
      <c r="C11" s="124"/>
      <c r="D11" s="124" t="s">
        <v>2330</v>
      </c>
    </row>
    <row r="12" ht="25.5" customHeight="1">
      <c r="A12" s="124"/>
      <c r="B12" s="124"/>
      <c r="C12" s="124"/>
      <c r="D12" s="124"/>
    </row>
    <row r="13" ht="25.5" customHeight="1">
      <c r="A13" s="124" t="s">
        <v>2332</v>
      </c>
      <c r="B13" s="128">
        <v>0.1</v>
      </c>
      <c r="C13" s="124"/>
      <c r="D13" s="124" t="s">
        <v>2333</v>
      </c>
    </row>
    <row r="14" ht="25.5" customHeight="1">
      <c r="A14" s="124" t="s">
        <v>2334</v>
      </c>
      <c r="B14" s="132">
        <v>2.0</v>
      </c>
      <c r="C14" s="124"/>
      <c r="D14" s="124" t="s">
        <v>2336</v>
      </c>
    </row>
    <row r="15" ht="25.5" customHeight="1">
      <c r="A15" s="124" t="s">
        <v>2338</v>
      </c>
      <c r="B15" s="132">
        <v>254.0</v>
      </c>
      <c r="C15" s="124"/>
      <c r="D15" s="124" t="s">
        <v>2336</v>
      </c>
    </row>
    <row r="16" ht="25.5" customHeight="1">
      <c r="A16" s="124" t="s">
        <v>2340</v>
      </c>
      <c r="B16" s="128">
        <v>0.021</v>
      </c>
      <c r="C16" s="124"/>
      <c r="D16" s="124" t="s">
        <v>2341</v>
      </c>
    </row>
    <row r="17" ht="25.5" customHeight="1">
      <c r="A17" s="124" t="s">
        <v>2343</v>
      </c>
      <c r="B17" s="132">
        <v>245.0</v>
      </c>
      <c r="C17" s="124"/>
      <c r="D17" s="124" t="s">
        <v>2344</v>
      </c>
    </row>
    <row r="18" ht="25.5" customHeight="1">
      <c r="A18" s="124" t="s">
        <v>2345</v>
      </c>
      <c r="B18" s="128">
        <v>0.03</v>
      </c>
      <c r="C18" s="124"/>
      <c r="D18" s="124" t="s">
        <v>2346</v>
      </c>
    </row>
    <row r="19" ht="25.5" customHeight="1">
      <c r="A19" s="124" t="s">
        <v>2347</v>
      </c>
      <c r="B19" s="128">
        <v>0.1</v>
      </c>
      <c r="C19" s="124"/>
      <c r="D19" s="124" t="s">
        <v>2350</v>
      </c>
    </row>
    <row r="20" ht="25.5" customHeight="1">
      <c r="A20" s="124" t="s">
        <v>2352</v>
      </c>
      <c r="B20" s="132">
        <v>8000.0</v>
      </c>
      <c r="C20" s="124"/>
      <c r="D20" s="124" t="s">
        <v>2353</v>
      </c>
    </row>
    <row r="21" ht="25.5" customHeight="1">
      <c r="A21" s="124" t="s">
        <v>2354</v>
      </c>
      <c r="B21" s="132">
        <v>5000.0</v>
      </c>
      <c r="C21" s="124"/>
      <c r="D21" s="124" t="s">
        <v>2356</v>
      </c>
    </row>
    <row r="22" ht="25.5" customHeight="1">
      <c r="A22" s="124"/>
      <c r="B22" s="124"/>
      <c r="C22" s="124"/>
      <c r="D22" s="124"/>
    </row>
    <row r="23" ht="25.5" customHeight="1">
      <c r="A23" s="124" t="s">
        <v>2357</v>
      </c>
      <c r="B23" s="137">
        <f>'エコノミー送料'!G11</f>
        <v>0.145</v>
      </c>
      <c r="C23" s="124"/>
      <c r="D23" s="124" t="s">
        <v>2364</v>
      </c>
    </row>
    <row r="24" ht="25.5" customHeight="1">
      <c r="A24" s="124"/>
      <c r="B24" s="124"/>
      <c r="C24" s="124"/>
      <c r="D24" s="124"/>
    </row>
    <row r="25" ht="25.5" customHeight="1">
      <c r="A25" s="124" t="s">
        <v>2369</v>
      </c>
      <c r="B25" s="140">
        <f>'計算詳細'!D16</f>
        <v>3060</v>
      </c>
      <c r="C25" s="124"/>
      <c r="D25" s="124" t="s">
        <v>2378</v>
      </c>
    </row>
    <row r="26" ht="25.5" customHeight="1">
      <c r="A26" s="124" t="s">
        <v>2380</v>
      </c>
      <c r="B26" s="142">
        <v>818.0</v>
      </c>
      <c r="C26" s="124"/>
      <c r="D26" s="124" t="s">
        <v>2387</v>
      </c>
    </row>
    <row r="27" ht="25.5" customHeight="1">
      <c r="A27" s="124" t="s">
        <v>29</v>
      </c>
      <c r="B27" s="143" t="s">
        <v>2394</v>
      </c>
      <c r="C27" s="124"/>
      <c r="D27" s="124" t="s">
        <v>2395</v>
      </c>
    </row>
    <row r="28" ht="25.5" customHeight="1">
      <c r="A28" s="124" t="s">
        <v>2396</v>
      </c>
      <c r="B28" s="144">
        <v>555.0</v>
      </c>
      <c r="C28" s="124"/>
      <c r="D28" s="124" t="s">
        <v>2399</v>
      </c>
    </row>
    <row r="29" ht="25.5" customHeight="1">
      <c r="A29" s="124" t="s">
        <v>2400</v>
      </c>
    </row>
    <row r="30" ht="25.5" customHeight="1">
      <c r="A30" s="124" t="s">
        <v>2402</v>
      </c>
      <c r="B30" s="144"/>
      <c r="C30" s="144">
        <v>0.0</v>
      </c>
      <c r="D30" s="124" t="s">
        <v>2403</v>
      </c>
    </row>
    <row r="31" ht="25.5" customHeight="1">
      <c r="A31" s="124" t="s">
        <v>2404</v>
      </c>
      <c r="B31" s="144"/>
      <c r="C31" s="144">
        <v>0.0</v>
      </c>
      <c r="D31" s="124" t="s">
        <v>2403</v>
      </c>
    </row>
    <row r="32" ht="25.5" customHeight="1">
      <c r="A32" s="124"/>
      <c r="B32" s="124"/>
      <c r="C32" s="124"/>
      <c r="D32" s="124"/>
    </row>
    <row r="33" ht="25.5" customHeight="1">
      <c r="A33" s="145" t="s">
        <v>2407</v>
      </c>
    </row>
    <row r="34" ht="25.5" customHeight="1">
      <c r="A34" s="124" t="s">
        <v>2410</v>
      </c>
      <c r="B34" s="147">
        <f>'計算詳細'!E4</f>
        <v>0.127</v>
      </c>
      <c r="C34" s="124"/>
      <c r="D34" s="124"/>
    </row>
    <row r="35" ht="25.5" customHeight="1">
      <c r="A35" s="124" t="s">
        <v>2416</v>
      </c>
      <c r="B35" s="148">
        <f>'計算詳細'!I8</f>
        <v>985</v>
      </c>
      <c r="C35" s="124"/>
      <c r="D35" s="124"/>
    </row>
    <row r="36" ht="25.5" customHeight="1">
      <c r="A36" s="124" t="s">
        <v>2421</v>
      </c>
      <c r="B36" s="148">
        <f>'計算詳細'!Q19</f>
        <v>1187</v>
      </c>
      <c r="C36" s="124"/>
      <c r="D36" s="124"/>
    </row>
    <row r="37" ht="25.5" customHeight="1">
      <c r="A37" s="124" t="s">
        <v>2424</v>
      </c>
      <c r="B37" s="148">
        <f>'計算詳細'!Q20</f>
        <v>1831</v>
      </c>
      <c r="C37" s="124"/>
      <c r="D37" s="124"/>
    </row>
    <row r="38" ht="25.5" customHeight="1">
      <c r="A38" s="124" t="s">
        <v>2428</v>
      </c>
      <c r="B38" s="148">
        <f>'計算詳細'!M21</f>
        <v>1367.816</v>
      </c>
      <c r="C38" s="124"/>
      <c r="D38" s="124"/>
    </row>
    <row r="39" ht="25.5" customHeight="1">
      <c r="A39" s="124" t="s">
        <v>2432</v>
      </c>
      <c r="B39" s="148">
        <f>'計算詳細'!B22</f>
        <v>527.2727273</v>
      </c>
      <c r="C39" s="124"/>
      <c r="D39" s="124"/>
    </row>
    <row r="40" ht="25.5" customHeight="1">
      <c r="A40" s="124"/>
      <c r="B40" s="124"/>
      <c r="C40" s="124"/>
      <c r="D40" s="124"/>
    </row>
    <row r="41" ht="45.0" customHeight="1">
      <c r="A41" s="124" t="s">
        <v>2436</v>
      </c>
      <c r="B41" s="124"/>
      <c r="C41" s="124"/>
      <c r="D41" s="151" t="s">
        <v>2437</v>
      </c>
    </row>
    <row r="42" ht="30.0" customHeight="1">
      <c r="A42" s="152" t="s">
        <v>2440</v>
      </c>
      <c r="B42" s="153">
        <f>IFERROR(__xludf.DUMMYFUNCTION("IFERROR(GOOGLEFINANCE(""CURRENCY:EURJPY""),B44)"),176.865)</f>
        <v>176.865</v>
      </c>
      <c r="C42" s="154"/>
      <c r="D42" s="156" t="s">
        <v>2445</v>
      </c>
    </row>
    <row r="43" ht="30.0" customHeight="1">
      <c r="A43" s="152" t="s">
        <v>2446</v>
      </c>
      <c r="B43" s="157">
        <v>3.0</v>
      </c>
      <c r="C43" s="154"/>
      <c r="D43" s="156" t="s">
        <v>2450</v>
      </c>
    </row>
    <row r="44" ht="48.0" customHeight="1">
      <c r="A44" s="152" t="s">
        <v>2451</v>
      </c>
      <c r="B44" s="157">
        <v>178.15</v>
      </c>
      <c r="C44" s="154"/>
      <c r="D44" s="156" t="s">
        <v>2454</v>
      </c>
    </row>
    <row r="45" ht="42.0" customHeight="1">
      <c r="A45" s="158" t="s">
        <v>2456</v>
      </c>
      <c r="B45" s="160">
        <v>1.0</v>
      </c>
      <c r="C45" s="22"/>
      <c r="D45" s="22" t="s">
        <v>2459</v>
      </c>
    </row>
    <row r="46" ht="42.0" customHeight="1">
      <c r="A46" s="158" t="s">
        <v>2460</v>
      </c>
      <c r="B46" s="160">
        <v>0.0</v>
      </c>
      <c r="C46" s="22"/>
      <c r="D46" s="22" t="s">
        <v>2462</v>
      </c>
    </row>
    <row r="47" ht="42.0" customHeight="1">
      <c r="A47" s="158" t="s">
        <v>2463</v>
      </c>
      <c r="B47" s="160"/>
      <c r="C47" s="22"/>
      <c r="D47" s="22" t="s">
        <v>2464</v>
      </c>
    </row>
    <row r="48" ht="42.0" customHeight="1">
      <c r="A48" s="158" t="s">
        <v>2465</v>
      </c>
      <c r="B48" s="160">
        <v>0.0</v>
      </c>
      <c r="C48" s="22"/>
      <c r="D48" s="22" t="s">
        <v>2467</v>
      </c>
    </row>
    <row r="49" ht="42.0" customHeight="1">
      <c r="A49" s="158" t="s">
        <v>2469</v>
      </c>
      <c r="B49" s="160">
        <v>0.0</v>
      </c>
      <c r="C49" s="22"/>
      <c r="D49" s="22" t="s">
        <v>2470</v>
      </c>
      <c r="F49" s="62" t="s">
        <v>2472</v>
      </c>
      <c r="G49" s="62" t="s">
        <v>2473</v>
      </c>
      <c r="H49" s="62" t="s">
        <v>1172</v>
      </c>
      <c r="I49" s="62" t="s">
        <v>2475</v>
      </c>
    </row>
    <row r="50" ht="42.0" customHeight="1">
      <c r="A50" s="158" t="s">
        <v>2477</v>
      </c>
      <c r="B50" s="160"/>
      <c r="C50" s="22"/>
      <c r="D50" s="22" t="s">
        <v>2479</v>
      </c>
      <c r="F50" s="109" t="s">
        <v>2480</v>
      </c>
      <c r="G50" s="109" t="s">
        <v>243</v>
      </c>
      <c r="H50" s="109" t="s">
        <v>1935</v>
      </c>
      <c r="I50" s="109">
        <v>6.0</v>
      </c>
    </row>
    <row r="51" ht="42.0" customHeight="1">
      <c r="A51" s="158" t="s">
        <v>2386</v>
      </c>
      <c r="B51" s="24" t="s">
        <v>2484</v>
      </c>
      <c r="C51" s="22"/>
      <c r="D51" s="22" t="s">
        <v>2485</v>
      </c>
      <c r="F51" s="109" t="s">
        <v>2486</v>
      </c>
      <c r="G51" s="109" t="s">
        <v>246</v>
      </c>
      <c r="H51" s="109" t="s">
        <v>1933</v>
      </c>
      <c r="I51" s="109">
        <v>6.0</v>
      </c>
    </row>
    <row r="52" ht="42.0" customHeight="1">
      <c r="A52" s="158" t="s">
        <v>2488</v>
      </c>
      <c r="B52" s="163">
        <v>0.003464</v>
      </c>
      <c r="C52" s="22"/>
      <c r="D52" s="22" t="s">
        <v>2491</v>
      </c>
      <c r="F52" s="109" t="s">
        <v>2492</v>
      </c>
      <c r="G52" s="109" t="s">
        <v>248</v>
      </c>
      <c r="H52" s="109" t="s">
        <v>1935</v>
      </c>
      <c r="I52" s="109">
        <v>6.0</v>
      </c>
    </row>
    <row r="53" ht="42.0" customHeight="1">
      <c r="A53" s="158" t="s">
        <v>2493</v>
      </c>
      <c r="B53" s="160">
        <v>34.58</v>
      </c>
      <c r="C53" s="22"/>
      <c r="D53" s="22" t="s">
        <v>2494</v>
      </c>
      <c r="F53" s="109" t="s">
        <v>2495</v>
      </c>
      <c r="G53" s="109" t="s">
        <v>250</v>
      </c>
      <c r="H53" s="109" t="s">
        <v>1934</v>
      </c>
      <c r="I53" s="109">
        <v>6.0</v>
      </c>
    </row>
    <row r="54" ht="42.0" customHeight="1">
      <c r="A54" s="158" t="s">
        <v>2498</v>
      </c>
      <c r="B54" s="160">
        <v>670.86</v>
      </c>
      <c r="C54" s="22"/>
      <c r="D54" s="22" t="s">
        <v>2494</v>
      </c>
      <c r="F54" s="109" t="s">
        <v>2500</v>
      </c>
      <c r="G54" s="109" t="s">
        <v>253</v>
      </c>
      <c r="H54" s="109" t="s">
        <v>1934</v>
      </c>
      <c r="I54" s="109">
        <v>6.0</v>
      </c>
    </row>
    <row r="55" ht="42.0" customHeight="1">
      <c r="A55" s="158" t="s">
        <v>2503</v>
      </c>
      <c r="B55" s="160">
        <v>1.38</v>
      </c>
      <c r="C55" s="22"/>
      <c r="D55" s="22" t="s">
        <v>2504</v>
      </c>
      <c r="F55" s="109" t="s">
        <v>2505</v>
      </c>
      <c r="G55" s="109" t="s">
        <v>255</v>
      </c>
      <c r="H55" s="109" t="s">
        <v>1933</v>
      </c>
      <c r="I55" s="109">
        <v>6.0</v>
      </c>
    </row>
    <row r="56" ht="42.0" customHeight="1">
      <c r="A56" s="158" t="s">
        <v>2507</v>
      </c>
      <c r="B56" s="160">
        <v>1500.0</v>
      </c>
      <c r="C56" s="22"/>
      <c r="D56" s="22" t="s">
        <v>2508</v>
      </c>
      <c r="F56" s="109" t="s">
        <v>2509</v>
      </c>
      <c r="G56" s="109" t="s">
        <v>257</v>
      </c>
      <c r="H56" s="109" t="s">
        <v>1933</v>
      </c>
      <c r="I56" s="109">
        <v>6.0</v>
      </c>
    </row>
    <row r="57" ht="42.0" customHeight="1">
      <c r="A57" s="158" t="s">
        <v>2510</v>
      </c>
      <c r="B57" s="160"/>
      <c r="C57" s="22"/>
      <c r="D57" s="22" t="s">
        <v>2511</v>
      </c>
      <c r="F57" s="109" t="s">
        <v>2512</v>
      </c>
      <c r="G57" s="109" t="s">
        <v>259</v>
      </c>
      <c r="H57" s="109" t="s">
        <v>1934</v>
      </c>
      <c r="I57" s="109">
        <v>6.0</v>
      </c>
    </row>
    <row r="58" ht="42.0" customHeight="1">
      <c r="A58" s="158" t="s">
        <v>2514</v>
      </c>
      <c r="B58" s="160"/>
      <c r="C58" s="22"/>
      <c r="D58" s="22" t="s">
        <v>2511</v>
      </c>
      <c r="F58" s="109" t="s">
        <v>2516</v>
      </c>
      <c r="G58" s="109" t="s">
        <v>261</v>
      </c>
      <c r="H58" s="109" t="s">
        <v>1935</v>
      </c>
      <c r="I58" s="109">
        <v>6.0</v>
      </c>
    </row>
    <row r="59" ht="42.0" customHeight="1">
      <c r="A59" s="158" t="s">
        <v>2518</v>
      </c>
      <c r="B59" s="163">
        <v>0.02</v>
      </c>
      <c r="C59" s="22"/>
      <c r="D59" s="22" t="s">
        <v>2519</v>
      </c>
      <c r="F59" s="109" t="s">
        <v>2520</v>
      </c>
      <c r="G59" s="109" t="s">
        <v>263</v>
      </c>
      <c r="H59" s="109" t="s">
        <v>1933</v>
      </c>
      <c r="I59" s="109">
        <v>6.0</v>
      </c>
    </row>
    <row r="60" ht="42.0" customHeight="1">
      <c r="A60" s="158" t="s">
        <v>2521</v>
      </c>
      <c r="B60" s="160">
        <v>850.0</v>
      </c>
      <c r="C60" s="22"/>
      <c r="D60" s="22" t="s">
        <v>2523</v>
      </c>
      <c r="F60" s="109" t="s">
        <v>2524</v>
      </c>
      <c r="G60" s="109" t="s">
        <v>265</v>
      </c>
      <c r="H60" s="109" t="s">
        <v>1935</v>
      </c>
      <c r="I60" s="109">
        <v>6.0</v>
      </c>
    </row>
    <row r="61" ht="42.0" customHeight="1">
      <c r="A61" s="158" t="s">
        <v>2526</v>
      </c>
      <c r="B61" s="24" t="s">
        <v>2527</v>
      </c>
      <c r="C61" s="22"/>
      <c r="D61" s="22" t="s">
        <v>2530</v>
      </c>
      <c r="F61" s="109" t="s">
        <v>2531</v>
      </c>
      <c r="G61" s="109" t="s">
        <v>267</v>
      </c>
      <c r="H61" s="109" t="s">
        <v>1933</v>
      </c>
      <c r="I61" s="109">
        <v>6.0</v>
      </c>
    </row>
    <row r="62" ht="15.75" customHeight="1">
      <c r="F62" s="109" t="s">
        <v>2532</v>
      </c>
      <c r="G62" s="109" t="s">
        <v>269</v>
      </c>
      <c r="H62" s="109" t="s">
        <v>1934</v>
      </c>
      <c r="I62" s="109">
        <v>6.0</v>
      </c>
    </row>
    <row r="63" ht="15.75" customHeight="1">
      <c r="F63" s="109" t="s">
        <v>2534</v>
      </c>
      <c r="G63" s="109" t="s">
        <v>271</v>
      </c>
      <c r="H63" s="109" t="s">
        <v>1933</v>
      </c>
      <c r="I63" s="109">
        <v>6.0</v>
      </c>
    </row>
    <row r="64" ht="15.75" customHeight="1">
      <c r="F64" s="109" t="s">
        <v>2536</v>
      </c>
      <c r="G64" s="109" t="s">
        <v>273</v>
      </c>
      <c r="H64" s="109" t="s">
        <v>1933</v>
      </c>
      <c r="I64" s="109">
        <v>6.0</v>
      </c>
    </row>
    <row r="65" ht="15.75" customHeight="1">
      <c r="F65" s="109" t="s">
        <v>2394</v>
      </c>
      <c r="G65" s="109" t="s">
        <v>275</v>
      </c>
      <c r="H65" s="109" t="s">
        <v>1935</v>
      </c>
      <c r="I65" s="109">
        <v>6.0</v>
      </c>
    </row>
    <row r="66" ht="15.75" customHeight="1">
      <c r="F66" s="109" t="s">
        <v>2538</v>
      </c>
      <c r="G66" s="109" t="s">
        <v>276</v>
      </c>
      <c r="H66" s="109" t="s">
        <v>1934</v>
      </c>
      <c r="I66" s="109">
        <v>6.0</v>
      </c>
    </row>
    <row r="67" ht="15.75" customHeight="1">
      <c r="F67" s="109" t="s">
        <v>2540</v>
      </c>
      <c r="G67" s="109" t="s">
        <v>278</v>
      </c>
      <c r="H67" s="109" t="s">
        <v>1933</v>
      </c>
      <c r="I67" s="109">
        <v>6.0</v>
      </c>
    </row>
    <row r="68" ht="15.75" customHeight="1">
      <c r="F68" s="109" t="s">
        <v>2542</v>
      </c>
      <c r="G68" s="109" t="s">
        <v>281</v>
      </c>
      <c r="H68" s="109" t="s">
        <v>1934</v>
      </c>
      <c r="I68" s="109">
        <v>6.0</v>
      </c>
    </row>
    <row r="69" ht="15.75" customHeight="1">
      <c r="F69" s="109" t="s">
        <v>2543</v>
      </c>
      <c r="G69" s="109" t="s">
        <v>283</v>
      </c>
      <c r="H69" s="109" t="s">
        <v>1934</v>
      </c>
      <c r="I69" s="109">
        <v>6.0</v>
      </c>
    </row>
    <row r="70" ht="15.75" customHeight="1">
      <c r="F70" s="109" t="s">
        <v>2545</v>
      </c>
      <c r="G70" s="109" t="s">
        <v>285</v>
      </c>
      <c r="H70" s="109" t="s">
        <v>1935</v>
      </c>
      <c r="I70" s="109">
        <v>6.0</v>
      </c>
    </row>
    <row r="71" ht="15.75" customHeight="1">
      <c r="F71" s="109" t="s">
        <v>2547</v>
      </c>
      <c r="G71" s="109" t="s">
        <v>288</v>
      </c>
      <c r="H71" s="109" t="s">
        <v>1933</v>
      </c>
      <c r="I71" s="109">
        <v>6.0</v>
      </c>
    </row>
    <row r="72" ht="15.75" customHeight="1">
      <c r="F72" s="109" t="s">
        <v>2549</v>
      </c>
      <c r="G72" s="109" t="s">
        <v>290</v>
      </c>
      <c r="H72" s="109" t="s">
        <v>1933</v>
      </c>
      <c r="I72" s="109">
        <v>6.0</v>
      </c>
    </row>
    <row r="73" ht="15.75" customHeight="1">
      <c r="F73" s="109" t="s">
        <v>2550</v>
      </c>
      <c r="G73" s="109" t="s">
        <v>293</v>
      </c>
      <c r="H73" s="109" t="s">
        <v>1934</v>
      </c>
      <c r="I73" s="109">
        <v>6.0</v>
      </c>
    </row>
    <row r="74" ht="15.75" customHeight="1">
      <c r="F74" s="109" t="s">
        <v>2552</v>
      </c>
      <c r="G74" s="109" t="s">
        <v>295</v>
      </c>
      <c r="H74" s="109" t="s">
        <v>1933</v>
      </c>
      <c r="I74" s="109">
        <v>6.0</v>
      </c>
    </row>
    <row r="75" ht="15.75" customHeight="1">
      <c r="F75" s="109" t="s">
        <v>2553</v>
      </c>
      <c r="G75" s="109" t="s">
        <v>298</v>
      </c>
      <c r="H75" s="109" t="s">
        <v>1934</v>
      </c>
      <c r="I75" s="109">
        <v>6.0</v>
      </c>
    </row>
    <row r="76" ht="15.75" customHeight="1">
      <c r="F76" s="109" t="s">
        <v>2556</v>
      </c>
      <c r="G76" s="109" t="s">
        <v>300</v>
      </c>
      <c r="H76" s="109" t="s">
        <v>1933</v>
      </c>
      <c r="I76" s="109">
        <v>6.0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9:D29"/>
    <mergeCell ref="A33:D33"/>
  </mergeCells>
  <dataValidations>
    <dataValidation type="list" allowBlank="1" sqref="B8">
      <formula1>"On,Off"</formula1>
    </dataValidation>
    <dataValidation type="list" allowBlank="1" sqref="B51">
      <formula1>"自動,簡易,正式"</formula1>
    </dataValidation>
    <dataValidation type="list" allowBlank="1" sqref="B27">
      <formula1>"ドイツ,オーストリア,ベルギー,ブルガリア,キプロス,チェコ,デンマーク,エストニア,スペイン,フィンランド,フランス,ギリシャ,クロアチア,ハンガリー,アイルランド,イタリア,リトアニア,ルクセンブルク,ラトビア,マルタ,オランダ,ポーランド,ポルトガル,ルーマニア,スウェーデン,スロベニア,スロバキア"</formula1>
    </dataValidation>
    <dataValidation type="decimal" operator="greaterThan" allowBlank="1" sqref="B44">
      <formula1>0.0</formula1>
    </dataValidation>
    <dataValidation type="decimal" operator="greaterThanOrEqual" allowBlank="1" sqref="B26 B43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AB5C3"/>
    <pageSetUpPr/>
  </sheetPr>
  <sheetViews>
    <sheetView showGridLines="0" workbookViewId="0"/>
  </sheetViews>
  <sheetFormatPr customHeight="1" defaultColWidth="14.43" defaultRowHeight="15.0"/>
  <cols>
    <col customWidth="1" min="1" max="1" width="22.29"/>
    <col customWidth="1" min="2" max="2" width="117.71"/>
    <col customWidth="1" min="3" max="26" width="8.71"/>
  </cols>
  <sheetData>
    <row r="1" ht="28.5" customHeight="1">
      <c r="A1" s="124"/>
      <c r="B1" s="151"/>
    </row>
    <row r="2" ht="28.5" customHeight="1">
      <c r="A2" s="126" t="s">
        <v>2664</v>
      </c>
      <c r="B2" s="188"/>
    </row>
    <row r="3" ht="28.5" customHeight="1">
      <c r="A3" s="124"/>
      <c r="B3" s="151"/>
    </row>
    <row r="4" ht="37.5" customHeight="1">
      <c r="A4" s="189" t="s">
        <v>2668</v>
      </c>
      <c r="B4" s="190" t="s">
        <v>2670</v>
      </c>
    </row>
    <row r="5" ht="37.5" customHeight="1">
      <c r="A5" s="191" t="s">
        <v>2673</v>
      </c>
      <c r="B5" s="192" t="s">
        <v>2678</v>
      </c>
    </row>
    <row r="6" ht="37.5" customHeight="1">
      <c r="A6" s="189" t="s">
        <v>2682</v>
      </c>
      <c r="B6" s="190" t="s">
        <v>2683</v>
      </c>
    </row>
    <row r="7" ht="37.5" customHeight="1">
      <c r="A7" s="191" t="s">
        <v>2685</v>
      </c>
      <c r="B7" s="192" t="s">
        <v>2687</v>
      </c>
    </row>
    <row r="8" ht="37.5" customHeight="1">
      <c r="A8" s="189" t="s">
        <v>2688</v>
      </c>
      <c r="B8" s="190" t="s">
        <v>2690</v>
      </c>
    </row>
    <row r="9" ht="37.5" customHeight="1">
      <c r="A9" s="191" t="s">
        <v>2691</v>
      </c>
      <c r="B9" s="192" t="s">
        <v>2692</v>
      </c>
    </row>
    <row r="10" ht="37.5" customHeight="1">
      <c r="A10" s="189" t="s">
        <v>40</v>
      </c>
      <c r="B10" s="190" t="s">
        <v>2694</v>
      </c>
    </row>
    <row r="11" ht="37.5" customHeight="1">
      <c r="A11" s="191" t="s">
        <v>2696</v>
      </c>
      <c r="B11" s="192" t="s">
        <v>2697</v>
      </c>
    </row>
    <row r="12" ht="37.5" customHeight="1">
      <c r="A12" s="189" t="s">
        <v>2698</v>
      </c>
      <c r="B12" s="190" t="s">
        <v>2700</v>
      </c>
    </row>
    <row r="13" ht="37.5" customHeight="1">
      <c r="A13" s="191" t="s">
        <v>2701</v>
      </c>
      <c r="B13" s="192" t="s">
        <v>2702</v>
      </c>
    </row>
    <row r="14" ht="37.5" customHeight="1">
      <c r="A14" s="189" t="s">
        <v>2703</v>
      </c>
      <c r="B14" s="190" t="s">
        <v>2705</v>
      </c>
    </row>
    <row r="15" ht="37.5" customHeight="1">
      <c r="A15" s="191" t="s">
        <v>2707</v>
      </c>
      <c r="B15" s="192" t="s">
        <v>2708</v>
      </c>
    </row>
    <row r="16" ht="37.5" customHeight="1">
      <c r="A16" s="189" t="s">
        <v>1624</v>
      </c>
      <c r="B16" s="190" t="s">
        <v>2710</v>
      </c>
    </row>
    <row r="17" ht="37.5" customHeight="1">
      <c r="A17" s="191" t="s">
        <v>2711</v>
      </c>
      <c r="B17" s="192" t="s">
        <v>2712</v>
      </c>
    </row>
    <row r="18" ht="37.5" customHeight="1">
      <c r="A18" s="189" t="s">
        <v>2713</v>
      </c>
      <c r="B18" s="190" t="s">
        <v>2715</v>
      </c>
    </row>
    <row r="19" ht="37.5" customHeight="1">
      <c r="A19" s="191" t="s">
        <v>2717</v>
      </c>
      <c r="B19" s="192" t="s">
        <v>2718</v>
      </c>
    </row>
    <row r="20" ht="37.5" customHeight="1">
      <c r="A20" s="189" t="s">
        <v>2719</v>
      </c>
      <c r="B20" s="190" t="s">
        <v>2720</v>
      </c>
    </row>
    <row r="21" ht="37.5" customHeight="1">
      <c r="A21" s="191" t="s">
        <v>2722</v>
      </c>
      <c r="B21" s="192" t="s">
        <v>2723</v>
      </c>
    </row>
    <row r="22" ht="37.5" customHeight="1">
      <c r="A22" s="189" t="s">
        <v>2724</v>
      </c>
      <c r="B22" s="190" t="s">
        <v>2725</v>
      </c>
    </row>
    <row r="23" ht="37.5" customHeight="1">
      <c r="A23" s="191" t="s">
        <v>2726</v>
      </c>
      <c r="B23" s="192" t="s">
        <v>2727</v>
      </c>
    </row>
    <row r="24" ht="42.0" customHeight="1">
      <c r="A24" s="197" t="s">
        <v>2730</v>
      </c>
      <c r="B24" s="198" t="s">
        <v>2733</v>
      </c>
    </row>
    <row r="25" ht="42.0" customHeight="1">
      <c r="A25" s="197" t="s">
        <v>2734</v>
      </c>
      <c r="B25" s="198" t="s">
        <v>2735</v>
      </c>
    </row>
    <row r="26" ht="42.0" customHeight="1">
      <c r="A26" s="199" t="s">
        <v>2737</v>
      </c>
      <c r="B26" s="200" t="s">
        <v>2739</v>
      </c>
    </row>
    <row r="27" ht="42.0" customHeight="1">
      <c r="A27" s="199" t="s">
        <v>2741</v>
      </c>
      <c r="B27" s="200" t="s">
        <v>2742</v>
      </c>
    </row>
    <row r="28" ht="42.0" customHeight="1">
      <c r="A28" s="199" t="s">
        <v>2743</v>
      </c>
      <c r="B28" s="200" t="s">
        <v>2744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